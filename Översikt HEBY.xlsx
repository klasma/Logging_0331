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46011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46011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46011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46011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46011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46011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46011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46011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46011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46011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46011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46011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46011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46011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46011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46011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46011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46011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46011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46011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1396-2022</t>
        </is>
      </c>
      <c r="B22" s="1" t="n">
        <v>44573</v>
      </c>
      <c r="C22" s="1" t="n">
        <v>46011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Åkergroda
Vanlig groda
Vanlig padda</t>
        </is>
      </c>
      <c r="S22">
        <f>HYPERLINK("https://klasma.github.io/Logging_0331/artfynd/A 1396-2022 artfynd.xlsx", "A 1396-2022")</f>
        <v/>
      </c>
      <c r="T22">
        <f>HYPERLINK("https://klasma.github.io/Logging_0331/kartor/A 1396-2022 karta.png", "A 1396-2022")</f>
        <v/>
      </c>
      <c r="V22">
        <f>HYPERLINK("https://klasma.github.io/Logging_0331/klagomål/A 1396-2022 FSC-klagomål.docx", "A 1396-2022")</f>
        <v/>
      </c>
      <c r="W22">
        <f>HYPERLINK("https://klasma.github.io/Logging_0331/klagomålsmail/A 1396-2022 FSC-klagomål mail.docx", "A 1396-2022")</f>
        <v/>
      </c>
      <c r="X22">
        <f>HYPERLINK("https://klasma.github.io/Logging_0331/tillsyn/A 1396-2022 tillsynsbegäran.docx", "A 1396-2022")</f>
        <v/>
      </c>
      <c r="Y22">
        <f>HYPERLINK("https://klasma.github.io/Logging_0331/tillsynsmail/A 1396-2022 tillsynsbegäran mail.docx", "A 1396-2022")</f>
        <v/>
      </c>
    </row>
    <row r="23" ht="15" customHeight="1">
      <c r="A23" t="inlineStr">
        <is>
          <t>A 61925-2025</t>
        </is>
      </c>
      <c r="B23" s="1" t="n">
        <v>46003.51346064815</v>
      </c>
      <c r="C23" s="1" t="n">
        <v>46011</v>
      </c>
      <c r="D23" t="inlineStr">
        <is>
          <t>UPPSALA LÄN</t>
        </is>
      </c>
      <c r="E23" t="inlineStr">
        <is>
          <t>HEBY</t>
        </is>
      </c>
      <c r="G23" t="n">
        <v>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Revlummer</t>
        </is>
      </c>
      <c r="S23">
        <f>HYPERLINK("https://klasma.github.io/Logging_0331/artfynd/A 61925-2025 artfynd.xlsx", "A 61925-2025")</f>
        <v/>
      </c>
      <c r="T23">
        <f>HYPERLINK("https://klasma.github.io/Logging_0331/kartor/A 61925-2025 karta.png", "A 61925-2025")</f>
        <v/>
      </c>
      <c r="V23">
        <f>HYPERLINK("https://klasma.github.io/Logging_0331/klagomål/A 61925-2025 FSC-klagomål.docx", "A 61925-2025")</f>
        <v/>
      </c>
      <c r="W23">
        <f>HYPERLINK("https://klasma.github.io/Logging_0331/klagomålsmail/A 61925-2025 FSC-klagomål mail.docx", "A 61925-2025")</f>
        <v/>
      </c>
      <c r="X23">
        <f>HYPERLINK("https://klasma.github.io/Logging_0331/tillsyn/A 61925-2025 tillsynsbegäran.docx", "A 61925-2025")</f>
        <v/>
      </c>
      <c r="Y23">
        <f>HYPERLINK("https://klasma.github.io/Logging_0331/tillsynsmail/A 61925-2025 tillsynsbegäran mail.docx", "A 61925-2025")</f>
        <v/>
      </c>
      <c r="Z23">
        <f>HYPERLINK("https://klasma.github.io/Logging_0331/fåglar/A 61925-2025 prioriterade fågelarter.docx", "A 61925-2025")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46011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2554-2024</t>
        </is>
      </c>
      <c r="B25" s="1" t="n">
        <v>45313</v>
      </c>
      <c r="C25" s="1" t="n">
        <v>46011</v>
      </c>
      <c r="D25" t="inlineStr">
        <is>
          <t>UPPSALA LÄN</t>
        </is>
      </c>
      <c r="E25" t="inlineStr">
        <is>
          <t>HEBY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Motaggsvamp</t>
        </is>
      </c>
      <c r="S25">
        <f>HYPERLINK("https://klasma.github.io/Logging_0331/artfynd/A 2554-2024 artfynd.xlsx", "A 2554-2024")</f>
        <v/>
      </c>
      <c r="T25">
        <f>HYPERLINK("https://klasma.github.io/Logging_0331/kartor/A 2554-2024 karta.png", "A 2554-2024")</f>
        <v/>
      </c>
      <c r="U25">
        <f>HYPERLINK("https://klasma.github.io/Logging_0331/knärot/A 2554-2024 karta knärot.png", "A 2554-2024")</f>
        <v/>
      </c>
      <c r="V25">
        <f>HYPERLINK("https://klasma.github.io/Logging_0331/klagomål/A 2554-2024 FSC-klagomål.docx", "A 2554-2024")</f>
        <v/>
      </c>
      <c r="W25">
        <f>HYPERLINK("https://klasma.github.io/Logging_0331/klagomålsmail/A 2554-2024 FSC-klagomål mail.docx", "A 2554-2024")</f>
        <v/>
      </c>
      <c r="X25">
        <f>HYPERLINK("https://klasma.github.io/Logging_0331/tillsyn/A 2554-2024 tillsynsbegäran.docx", "A 2554-2024")</f>
        <v/>
      </c>
      <c r="Y25">
        <f>HYPERLINK("https://klasma.github.io/Logging_0331/tillsynsmail/A 2554-2024 tillsynsbegäran mail.docx", "A 2554-2024")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46011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40662-2023</t>
        </is>
      </c>
      <c r="B27" s="1" t="n">
        <v>45170</v>
      </c>
      <c r="C27" s="1" t="n">
        <v>46011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5.7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Fläcknycklar</t>
        </is>
      </c>
      <c r="S27">
        <f>HYPERLINK("https://klasma.github.io/Logging_0331/artfynd/A 40662-2023 artfynd.xlsx", "A 40662-2023")</f>
        <v/>
      </c>
      <c r="T27">
        <f>HYPERLINK("https://klasma.github.io/Logging_0331/kartor/A 40662-2023 karta.png", "A 40662-2023")</f>
        <v/>
      </c>
      <c r="U27">
        <f>HYPERLINK("https://klasma.github.io/Logging_0331/knärot/A 40662-2023 karta knärot.png", "A 40662-2023")</f>
        <v/>
      </c>
      <c r="V27">
        <f>HYPERLINK("https://klasma.github.io/Logging_0331/klagomål/A 40662-2023 FSC-klagomål.docx", "A 40662-2023")</f>
        <v/>
      </c>
      <c r="W27">
        <f>HYPERLINK("https://klasma.github.io/Logging_0331/klagomålsmail/A 40662-2023 FSC-klagomål mail.docx", "A 40662-2023")</f>
        <v/>
      </c>
      <c r="X27">
        <f>HYPERLINK("https://klasma.github.io/Logging_0331/tillsyn/A 40662-2023 tillsynsbegäran.docx", "A 40662-2023")</f>
        <v/>
      </c>
      <c r="Y27">
        <f>HYPERLINK("https://klasma.github.io/Logging_0331/tillsynsmail/A 40662-2023 tillsynsbegäran mail.docx", "A 40662-2023")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46011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46011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60304-2025</t>
        </is>
      </c>
      <c r="B30" s="1" t="n">
        <v>45993</v>
      </c>
      <c r="C30" s="1" t="n">
        <v>46011</v>
      </c>
      <c r="D30" t="inlineStr">
        <is>
          <t>UPPSALA LÄN</t>
        </is>
      </c>
      <c r="E30" t="inlineStr">
        <is>
          <t>HEBY</t>
        </is>
      </c>
      <c r="G30" t="n">
        <v>19.6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Blåsippa</t>
        </is>
      </c>
      <c r="S30">
        <f>HYPERLINK("https://klasma.github.io/Logging_0331/artfynd/A 60304-2025 artfynd.xlsx", "A 60304-2025")</f>
        <v/>
      </c>
      <c r="T30">
        <f>HYPERLINK("https://klasma.github.io/Logging_0331/kartor/A 60304-2025 karta.png", "A 60304-2025")</f>
        <v/>
      </c>
      <c r="V30">
        <f>HYPERLINK("https://klasma.github.io/Logging_0331/klagomål/A 60304-2025 FSC-klagomål.docx", "A 60304-2025")</f>
        <v/>
      </c>
      <c r="W30">
        <f>HYPERLINK("https://klasma.github.io/Logging_0331/klagomålsmail/A 60304-2025 FSC-klagomål mail.docx", "A 60304-2025")</f>
        <v/>
      </c>
      <c r="X30">
        <f>HYPERLINK("https://klasma.github.io/Logging_0331/tillsyn/A 60304-2025 tillsynsbegäran.docx", "A 60304-2025")</f>
        <v/>
      </c>
      <c r="Y30">
        <f>HYPERLINK("https://klasma.github.io/Logging_0331/tillsynsmail/A 60304-2025 tillsynsbegäran mail.docx", "A 60304-2025")</f>
        <v/>
      </c>
      <c r="Z30">
        <f>HYPERLINK("https://klasma.github.io/Logging_0331/fåglar/A 60304-2025 prioriterade fågelarter.docx", "A 60304-2025")</f>
        <v/>
      </c>
    </row>
    <row r="31" ht="15" customHeight="1">
      <c r="A31" t="inlineStr">
        <is>
          <t>A 54814-2024</t>
        </is>
      </c>
      <c r="B31" s="1" t="n">
        <v>45618.5216087963</v>
      </c>
      <c r="C31" s="1" t="n">
        <v>46011</v>
      </c>
      <c r="D31" t="inlineStr">
        <is>
          <t>UPPSALA LÄN</t>
        </is>
      </c>
      <c r="E31" t="inlineStr">
        <is>
          <t>HEBY</t>
        </is>
      </c>
      <c r="G31" t="n">
        <v>2.5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Talltita</t>
        </is>
      </c>
      <c r="S31">
        <f>HYPERLINK("https://klasma.github.io/Logging_0331/artfynd/A 54814-2024 artfynd.xlsx", "A 54814-2024")</f>
        <v/>
      </c>
      <c r="T31">
        <f>HYPERLINK("https://klasma.github.io/Logging_0331/kartor/A 54814-2024 karta.png", "A 54814-2024")</f>
        <v/>
      </c>
      <c r="U31">
        <f>HYPERLINK("https://klasma.github.io/Logging_0331/knärot/A 54814-2024 karta knärot.png", "A 54814-2024")</f>
        <v/>
      </c>
      <c r="V31">
        <f>HYPERLINK("https://klasma.github.io/Logging_0331/klagomål/A 54814-2024 FSC-klagomål.docx", "A 54814-2024")</f>
        <v/>
      </c>
      <c r="W31">
        <f>HYPERLINK("https://klasma.github.io/Logging_0331/klagomålsmail/A 54814-2024 FSC-klagomål mail.docx", "A 54814-2024")</f>
        <v/>
      </c>
      <c r="X31">
        <f>HYPERLINK("https://klasma.github.io/Logging_0331/tillsyn/A 54814-2024 tillsynsbegäran.docx", "A 54814-2024")</f>
        <v/>
      </c>
      <c r="Y31">
        <f>HYPERLINK("https://klasma.github.io/Logging_0331/tillsynsmail/A 54814-2024 tillsynsbegäran mail.docx", "A 54814-2024")</f>
        <v/>
      </c>
      <c r="Z31">
        <f>HYPERLINK("https://klasma.github.io/Logging_0331/fåglar/A 54814-2024 prioriterade fågelarter.docx", "A 54814-2024")</f>
        <v/>
      </c>
    </row>
    <row r="32" ht="15" customHeight="1">
      <c r="A32" t="inlineStr">
        <is>
          <t>A 46086-2022</t>
        </is>
      </c>
      <c r="B32" s="1" t="n">
        <v>44847</v>
      </c>
      <c r="C32" s="1" t="n">
        <v>46011</v>
      </c>
      <c r="D32" t="inlineStr">
        <is>
          <t>UPPSALA LÄN</t>
        </is>
      </c>
      <c r="E32" t="inlineStr">
        <is>
          <t>HEBY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HYPERLINK("https://klasma.github.io/Logging_0331/artfynd/A 46086-2022 artfynd.xlsx", "A 46086-2022")</f>
        <v/>
      </c>
      <c r="T32">
        <f>HYPERLINK("https://klasma.github.io/Logging_0331/kartor/A 46086-2022 karta.png", "A 46086-2022")</f>
        <v/>
      </c>
      <c r="U32">
        <f>HYPERLINK("https://klasma.github.io/Logging_0331/knärot/A 46086-2022 karta knärot.png", "A 46086-2022")</f>
        <v/>
      </c>
      <c r="V32">
        <f>HYPERLINK("https://klasma.github.io/Logging_0331/klagomål/A 46086-2022 FSC-klagomål.docx", "A 46086-2022")</f>
        <v/>
      </c>
      <c r="W32">
        <f>HYPERLINK("https://klasma.github.io/Logging_0331/klagomålsmail/A 46086-2022 FSC-klagomål mail.docx", "A 46086-2022")</f>
        <v/>
      </c>
      <c r="X32">
        <f>HYPERLINK("https://klasma.github.io/Logging_0331/tillsyn/A 46086-2022 tillsynsbegäran.docx", "A 46086-2022")</f>
        <v/>
      </c>
      <c r="Y32">
        <f>HYPERLINK("https://klasma.github.io/Logging_0331/tillsynsmail/A 46086-2022 tillsynsbegäran mail.docx", "A 46086-2022")</f>
        <v/>
      </c>
    </row>
    <row r="33" ht="15" customHeight="1">
      <c r="A33" t="inlineStr">
        <is>
          <t>A 48167-2022</t>
        </is>
      </c>
      <c r="B33" s="1" t="n">
        <v>44858.36881944445</v>
      </c>
      <c r="C33" s="1" t="n">
        <v>46011</v>
      </c>
      <c r="D33" t="inlineStr">
        <is>
          <t>UPPSALA LÄN</t>
        </is>
      </c>
      <c r="E33" t="inlineStr">
        <is>
          <t>HEBY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HYPERLINK("https://klasma.github.io/Logging_0331/artfynd/A 48167-2022 artfynd.xlsx", "A 48167-2022")</f>
        <v/>
      </c>
      <c r="T33">
        <f>HYPERLINK("https://klasma.github.io/Logging_0331/kartor/A 48167-2022 karta.png", "A 48167-2022")</f>
        <v/>
      </c>
      <c r="V33">
        <f>HYPERLINK("https://klasma.github.io/Logging_0331/klagomål/A 48167-2022 FSC-klagomål.docx", "A 48167-2022")</f>
        <v/>
      </c>
      <c r="W33">
        <f>HYPERLINK("https://klasma.github.io/Logging_0331/klagomålsmail/A 48167-2022 FSC-klagomål mail.docx", "A 48167-2022")</f>
        <v/>
      </c>
      <c r="X33">
        <f>HYPERLINK("https://klasma.github.io/Logging_0331/tillsyn/A 48167-2022 tillsynsbegäran.docx", "A 48167-2022")</f>
        <v/>
      </c>
      <c r="Y33">
        <f>HYPERLINK("https://klasma.github.io/Logging_0331/tillsynsmail/A 48167-2022 tillsynsbegäran mail.docx", "A 48167-2022")</f>
        <v/>
      </c>
      <c r="Z33">
        <f>HYPERLINK("https://klasma.github.io/Logging_0331/fåglar/A 48167-2022 prioriterade fågelarter.docx", "A 48167-2022")</f>
        <v/>
      </c>
    </row>
    <row r="34" ht="15" customHeight="1">
      <c r="A34" t="inlineStr">
        <is>
          <t>A 41382-2022</t>
        </is>
      </c>
      <c r="B34" s="1" t="n">
        <v>44826.59002314815</v>
      </c>
      <c r="C34" s="1" t="n">
        <v>46011</v>
      </c>
      <c r="D34" t="inlineStr">
        <is>
          <t>UPPSALA LÄN</t>
        </is>
      </c>
      <c r="E34" t="inlineStr">
        <is>
          <t>HEBY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HYPERLINK("https://klasma.github.io/Logging_0331/artfynd/A 41382-2022 artfynd.xlsx", "A 41382-2022")</f>
        <v/>
      </c>
      <c r="T34">
        <f>HYPERLINK("https://klasma.github.io/Logging_0331/kartor/A 41382-2022 karta.png", "A 41382-2022")</f>
        <v/>
      </c>
      <c r="V34">
        <f>HYPERLINK("https://klasma.github.io/Logging_0331/klagomål/A 41382-2022 FSC-klagomål.docx", "A 41382-2022")</f>
        <v/>
      </c>
      <c r="W34">
        <f>HYPERLINK("https://klasma.github.io/Logging_0331/klagomålsmail/A 41382-2022 FSC-klagomål mail.docx", "A 41382-2022")</f>
        <v/>
      </c>
      <c r="X34">
        <f>HYPERLINK("https://klasma.github.io/Logging_0331/tillsyn/A 41382-2022 tillsynsbegäran.docx", "A 41382-2022")</f>
        <v/>
      </c>
      <c r="Y34">
        <f>HYPERLINK("https://klasma.github.io/Logging_0331/tillsynsmail/A 41382-2022 tillsynsbegäran mail.docx", "A 41382-2022")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46011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Rostfläck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</row>
    <row r="36" ht="15" customHeight="1">
      <c r="A36" t="inlineStr">
        <is>
          <t>A 26932-2023</t>
        </is>
      </c>
      <c r="B36" s="1" t="n">
        <v>45093</v>
      </c>
      <c r="C36" s="1" t="n">
        <v>46011</v>
      </c>
      <c r="D36" t="inlineStr">
        <is>
          <t>UPPSALA LÄN</t>
        </is>
      </c>
      <c r="E36" t="inlineStr">
        <is>
          <t>HEBY</t>
        </is>
      </c>
      <c r="G36" t="n">
        <v>12.3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HYPERLINK("https://klasma.github.io/Logging_0331/artfynd/A 26932-2023 artfynd.xlsx", "A 26932-2023")</f>
        <v/>
      </c>
      <c r="T36">
        <f>HYPERLINK("https://klasma.github.io/Logging_0331/kartor/A 26932-2023 karta.png", "A 26932-2023")</f>
        <v/>
      </c>
      <c r="V36">
        <f>HYPERLINK("https://klasma.github.io/Logging_0331/klagomål/A 26932-2023 FSC-klagomål.docx", "A 26932-2023")</f>
        <v/>
      </c>
      <c r="W36">
        <f>HYPERLINK("https://klasma.github.io/Logging_0331/klagomålsmail/A 26932-2023 FSC-klagomål mail.docx", "A 26932-2023")</f>
        <v/>
      </c>
      <c r="X36">
        <f>HYPERLINK("https://klasma.github.io/Logging_0331/tillsyn/A 26932-2023 tillsynsbegäran.docx", "A 26932-2023")</f>
        <v/>
      </c>
      <c r="Y36">
        <f>HYPERLINK("https://klasma.github.io/Logging_0331/tillsynsmail/A 26932-2023 tillsynsbegäran mail.docx", "A 26932-2023")</f>
        <v/>
      </c>
      <c r="Z36">
        <f>HYPERLINK("https://klasma.github.io/Logging_0331/fåglar/A 26932-2023 prioriterade fågelarter.docx", "A 26932-2023")</f>
        <v/>
      </c>
    </row>
    <row r="37" ht="15" customHeight="1">
      <c r="A37" t="inlineStr">
        <is>
          <t>A 37076-2021</t>
        </is>
      </c>
      <c r="B37" s="1" t="n">
        <v>44395</v>
      </c>
      <c r="C37" s="1" t="n">
        <v>46011</v>
      </c>
      <c r="D37" t="inlineStr">
        <is>
          <t>UPPSALA LÄN</t>
        </is>
      </c>
      <c r="E37" t="inlineStr">
        <is>
          <t>HEBY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37076-2021 artfynd.xlsx", "A 37076-2021")</f>
        <v/>
      </c>
      <c r="T37">
        <f>HYPERLINK("https://klasma.github.io/Logging_0331/kartor/A 37076-2021 karta.png", "A 37076-2021")</f>
        <v/>
      </c>
      <c r="U37">
        <f>HYPERLINK("https://klasma.github.io/Logging_0331/knärot/A 37076-2021 karta knärot.png", "A 37076-2021")</f>
        <v/>
      </c>
      <c r="V37">
        <f>HYPERLINK("https://klasma.github.io/Logging_0331/klagomål/A 37076-2021 FSC-klagomål.docx", "A 37076-2021")</f>
        <v/>
      </c>
      <c r="W37">
        <f>HYPERLINK("https://klasma.github.io/Logging_0331/klagomålsmail/A 37076-2021 FSC-klagomål mail.docx", "A 37076-2021")</f>
        <v/>
      </c>
      <c r="X37">
        <f>HYPERLINK("https://klasma.github.io/Logging_0331/tillsyn/A 37076-2021 tillsynsbegäran.docx", "A 37076-2021")</f>
        <v/>
      </c>
      <c r="Y37">
        <f>HYPERLINK("https://klasma.github.io/Logging_0331/tillsynsmail/A 37076-2021 tillsynsbegäran mail.docx", "A 37076-2021")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46011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25318-2025</t>
        </is>
      </c>
      <c r="B39" s="1" t="n">
        <v>45799</v>
      </c>
      <c r="C39" s="1" t="n">
        <v>46011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29.7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25318-2025 artfynd.xlsx", "A 25318-2025")</f>
        <v/>
      </c>
      <c r="T39">
        <f>HYPERLINK("https://klasma.github.io/Logging_0331/kartor/A 25318-2025 karta.png", "A 25318-2025")</f>
        <v/>
      </c>
      <c r="V39">
        <f>HYPERLINK("https://klasma.github.io/Logging_0331/klagomål/A 25318-2025 FSC-klagomål.docx", "A 25318-2025")</f>
        <v/>
      </c>
      <c r="W39">
        <f>HYPERLINK("https://klasma.github.io/Logging_0331/klagomålsmail/A 25318-2025 FSC-klagomål mail.docx", "A 25318-2025")</f>
        <v/>
      </c>
      <c r="X39">
        <f>HYPERLINK("https://klasma.github.io/Logging_0331/tillsyn/A 25318-2025 tillsynsbegäran.docx", "A 25318-2025")</f>
        <v/>
      </c>
      <c r="Y39">
        <f>HYPERLINK("https://klasma.github.io/Logging_0331/tillsynsmail/A 25318-2025 tillsynsbegäran mail.docx", "A 25318-2025")</f>
        <v/>
      </c>
      <c r="Z39">
        <f>HYPERLINK("https://klasma.github.io/Logging_0331/fåglar/A 25318-2025 prioriterade fågelarter.docx", "A 25318-2025")</f>
        <v/>
      </c>
    </row>
    <row r="40" ht="15" customHeight="1">
      <c r="A40" t="inlineStr">
        <is>
          <t>A 17006-2024</t>
        </is>
      </c>
      <c r="B40" s="1" t="n">
        <v>45411</v>
      </c>
      <c r="C40" s="1" t="n">
        <v>46011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14.6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HYPERLINK("https://klasma.github.io/Logging_0331/artfynd/A 17006-2024 artfynd.xlsx", "A 17006-2024")</f>
        <v/>
      </c>
      <c r="T40">
        <f>HYPERLINK("https://klasma.github.io/Logging_0331/kartor/A 17006-2024 karta.png", "A 17006-2024")</f>
        <v/>
      </c>
      <c r="V40">
        <f>HYPERLINK("https://klasma.github.io/Logging_0331/klagomål/A 17006-2024 FSC-klagomål.docx", "A 17006-2024")</f>
        <v/>
      </c>
      <c r="W40">
        <f>HYPERLINK("https://klasma.github.io/Logging_0331/klagomålsmail/A 17006-2024 FSC-klagomål mail.docx", "A 17006-2024")</f>
        <v/>
      </c>
      <c r="X40">
        <f>HYPERLINK("https://klasma.github.io/Logging_0331/tillsyn/A 17006-2024 tillsynsbegäran.docx", "A 17006-2024")</f>
        <v/>
      </c>
      <c r="Y40">
        <f>HYPERLINK("https://klasma.github.io/Logging_0331/tillsynsmail/A 17006-2024 tillsynsbegäran mail.docx", "A 17006-2024")</f>
        <v/>
      </c>
      <c r="Z40">
        <f>HYPERLINK("https://klasma.github.io/Logging_0331/fåglar/A 17006-2024 prioriterade fågelarter.docx", "A 17006-2024")</f>
        <v/>
      </c>
    </row>
    <row r="41" ht="15" customHeight="1">
      <c r="A41" t="inlineStr">
        <is>
          <t>A 32141-2021</t>
        </is>
      </c>
      <c r="B41" s="1" t="n">
        <v>44370</v>
      </c>
      <c r="C41" s="1" t="n">
        <v>46011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HYPERLINK("https://klasma.github.io/Logging_0331/artfynd/A 32141-2021 artfynd.xlsx", "A 32141-2021")</f>
        <v/>
      </c>
      <c r="T41">
        <f>HYPERLINK("https://klasma.github.io/Logging_0331/kartor/A 32141-2021 karta.png", "A 32141-2021")</f>
        <v/>
      </c>
      <c r="V41">
        <f>HYPERLINK("https://klasma.github.io/Logging_0331/klagomål/A 32141-2021 FSC-klagomål.docx", "A 32141-2021")</f>
        <v/>
      </c>
      <c r="W41">
        <f>HYPERLINK("https://klasma.github.io/Logging_0331/klagomålsmail/A 32141-2021 FSC-klagomål mail.docx", "A 32141-2021")</f>
        <v/>
      </c>
      <c r="X41">
        <f>HYPERLINK("https://klasma.github.io/Logging_0331/tillsyn/A 32141-2021 tillsynsbegäran.docx", "A 32141-2021")</f>
        <v/>
      </c>
      <c r="Y41">
        <f>HYPERLINK("https://klasma.github.io/Logging_0331/tillsynsmail/A 32141-2021 tillsynsbegäran mail.docx", "A 32141-2021")</f>
        <v/>
      </c>
      <c r="Z41">
        <f>HYPERLINK("https://klasma.github.io/Logging_0331/fåglar/A 32141-2021 prioriterade fågelarter.docx", "A 32141-2021")</f>
        <v/>
      </c>
    </row>
    <row r="42" ht="15" customHeight="1">
      <c r="A42" t="inlineStr">
        <is>
          <t>A 23384-2024</t>
        </is>
      </c>
      <c r="B42" s="1" t="n">
        <v>45453</v>
      </c>
      <c r="C42" s="1" t="n">
        <v>46011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30.3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HYPERLINK("https://klasma.github.io/Logging_0331/artfynd/A 23384-2024 artfynd.xlsx", "A 23384-2024")</f>
        <v/>
      </c>
      <c r="T42">
        <f>HYPERLINK("https://klasma.github.io/Logging_0331/kartor/A 23384-2024 karta.png", "A 23384-2024")</f>
        <v/>
      </c>
      <c r="V42">
        <f>HYPERLINK("https://klasma.github.io/Logging_0331/klagomål/A 23384-2024 FSC-klagomål.docx", "A 23384-2024")</f>
        <v/>
      </c>
      <c r="W42">
        <f>HYPERLINK("https://klasma.github.io/Logging_0331/klagomålsmail/A 23384-2024 FSC-klagomål mail.docx", "A 23384-2024")</f>
        <v/>
      </c>
      <c r="X42">
        <f>HYPERLINK("https://klasma.github.io/Logging_0331/tillsyn/A 23384-2024 tillsynsbegäran.docx", "A 23384-2024")</f>
        <v/>
      </c>
      <c r="Y42">
        <f>HYPERLINK("https://klasma.github.io/Logging_0331/tillsynsmail/A 23384-2024 tillsynsbegäran mail.docx", "A 23384-2024")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46011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57988-2025</t>
        </is>
      </c>
      <c r="B44" s="1" t="n">
        <v>45982.42078703704</v>
      </c>
      <c r="C44" s="1" t="n">
        <v>46011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57988-2025 artfynd.xlsx", "A 57988-2025")</f>
        <v/>
      </c>
      <c r="T44">
        <f>HYPERLINK("https://klasma.github.io/Logging_0331/kartor/A 57988-2025 karta.png", "A 57988-2025")</f>
        <v/>
      </c>
      <c r="V44">
        <f>HYPERLINK("https://klasma.github.io/Logging_0331/klagomål/A 57988-2025 FSC-klagomål.docx", "A 57988-2025")</f>
        <v/>
      </c>
      <c r="W44">
        <f>HYPERLINK("https://klasma.github.io/Logging_0331/klagomålsmail/A 57988-2025 FSC-klagomål mail.docx", "A 57988-2025")</f>
        <v/>
      </c>
      <c r="X44">
        <f>HYPERLINK("https://klasma.github.io/Logging_0331/tillsyn/A 57988-2025 tillsynsbegäran.docx", "A 57988-2025")</f>
        <v/>
      </c>
      <c r="Y44">
        <f>HYPERLINK("https://klasma.github.io/Logging_0331/tillsynsmail/A 57988-2025 tillsynsbegäran mail.docx", "A 57988-2025")</f>
        <v/>
      </c>
    </row>
    <row r="45" ht="15" customHeight="1">
      <c r="A45" t="inlineStr">
        <is>
          <t>A 57983-2025</t>
        </is>
      </c>
      <c r="B45" s="1" t="n">
        <v>45982.41523148148</v>
      </c>
      <c r="C45" s="1" t="n">
        <v>46011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HYPERLINK("https://klasma.github.io/Logging_0331/artfynd/A 57983-2025 artfynd.xlsx", "A 57983-2025")</f>
        <v/>
      </c>
      <c r="T45">
        <f>HYPERLINK("https://klasma.github.io/Logging_0331/kartor/A 57983-2025 karta.png", "A 57983-2025")</f>
        <v/>
      </c>
      <c r="V45">
        <f>HYPERLINK("https://klasma.github.io/Logging_0331/klagomål/A 57983-2025 FSC-klagomål.docx", "A 57983-2025")</f>
        <v/>
      </c>
      <c r="W45">
        <f>HYPERLINK("https://klasma.github.io/Logging_0331/klagomålsmail/A 57983-2025 FSC-klagomål mail.docx", "A 57983-2025")</f>
        <v/>
      </c>
      <c r="X45">
        <f>HYPERLINK("https://klasma.github.io/Logging_0331/tillsyn/A 57983-2025 tillsynsbegäran.docx", "A 57983-2025")</f>
        <v/>
      </c>
      <c r="Y45">
        <f>HYPERLINK("https://klasma.github.io/Logging_0331/tillsynsmail/A 57983-2025 tillsynsbegäran mail.docx", "A 57983-2025")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46011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46011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27871-2023</t>
        </is>
      </c>
      <c r="B48" s="1" t="n">
        <v>45098</v>
      </c>
      <c r="C48" s="1" t="n">
        <v>46011</v>
      </c>
      <c r="D48" t="inlineStr">
        <is>
          <t>UPPSALA LÄN</t>
        </is>
      </c>
      <c r="E48" t="inlineStr">
        <is>
          <t>HEBY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HYPERLINK("https://klasma.github.io/Logging_0331/artfynd/A 27871-2023 artfynd.xlsx", "A 27871-2023")</f>
        <v/>
      </c>
      <c r="T48">
        <f>HYPERLINK("https://klasma.github.io/Logging_0331/kartor/A 27871-2023 karta.png", "A 27871-2023")</f>
        <v/>
      </c>
      <c r="V48">
        <f>HYPERLINK("https://klasma.github.io/Logging_0331/klagomål/A 27871-2023 FSC-klagomål.docx", "A 27871-2023")</f>
        <v/>
      </c>
      <c r="W48">
        <f>HYPERLINK("https://klasma.github.io/Logging_0331/klagomålsmail/A 27871-2023 FSC-klagomål mail.docx", "A 27871-2023")</f>
        <v/>
      </c>
      <c r="X48">
        <f>HYPERLINK("https://klasma.github.io/Logging_0331/tillsyn/A 27871-2023 tillsynsbegäran.docx", "A 27871-2023")</f>
        <v/>
      </c>
      <c r="Y48">
        <f>HYPERLINK("https://klasma.github.io/Logging_0331/tillsynsmail/A 27871-2023 tillsynsbegäran mail.docx", "A 27871-2023")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46011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59728-2025</t>
        </is>
      </c>
      <c r="B50" s="1" t="n">
        <v>45992.55565972222</v>
      </c>
      <c r="C50" s="1" t="n">
        <v>46011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59728-2025 artfynd.xlsx", "A 59728-2025")</f>
        <v/>
      </c>
      <c r="T50">
        <f>HYPERLINK("https://klasma.github.io/Logging_0331/kartor/A 59728-2025 karta.png", "A 59728-2025")</f>
        <v/>
      </c>
      <c r="V50">
        <f>HYPERLINK("https://klasma.github.io/Logging_0331/klagomål/A 59728-2025 FSC-klagomål.docx", "A 59728-2025")</f>
        <v/>
      </c>
      <c r="W50">
        <f>HYPERLINK("https://klasma.github.io/Logging_0331/klagomålsmail/A 59728-2025 FSC-klagomål mail.docx", "A 59728-2025")</f>
        <v/>
      </c>
      <c r="X50">
        <f>HYPERLINK("https://klasma.github.io/Logging_0331/tillsyn/A 59728-2025 tillsynsbegäran.docx", "A 59728-2025")</f>
        <v/>
      </c>
      <c r="Y50">
        <f>HYPERLINK("https://klasma.github.io/Logging_0331/tillsynsmail/A 59728-2025 tillsynsbegäran mail.docx", "A 59728-2025")</f>
        <v/>
      </c>
    </row>
    <row r="51" ht="15" customHeight="1">
      <c r="A51" t="inlineStr">
        <is>
          <t>A 18424-2025</t>
        </is>
      </c>
      <c r="B51" s="1" t="n">
        <v>45762</v>
      </c>
      <c r="C51" s="1" t="n">
        <v>46011</v>
      </c>
      <c r="D51" t="inlineStr">
        <is>
          <t>UPPSALA LÄN</t>
        </is>
      </c>
      <c r="E51" t="inlineStr">
        <is>
          <t>HEBY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HYPERLINK("https://klasma.github.io/Logging_0331/artfynd/A 18424-2025 artfynd.xlsx", "A 18424-2025")</f>
        <v/>
      </c>
      <c r="T51">
        <f>HYPERLINK("https://klasma.github.io/Logging_0331/kartor/A 18424-2025 karta.png", "A 18424-2025")</f>
        <v/>
      </c>
      <c r="V51">
        <f>HYPERLINK("https://klasma.github.io/Logging_0331/klagomål/A 18424-2025 FSC-klagomål.docx", "A 18424-2025")</f>
        <v/>
      </c>
      <c r="W51">
        <f>HYPERLINK("https://klasma.github.io/Logging_0331/klagomålsmail/A 18424-2025 FSC-klagomål mail.docx", "A 18424-2025")</f>
        <v/>
      </c>
      <c r="X51">
        <f>HYPERLINK("https://klasma.github.io/Logging_0331/tillsyn/A 18424-2025 tillsynsbegäran.docx", "A 18424-2025")</f>
        <v/>
      </c>
      <c r="Y51">
        <f>HYPERLINK("https://klasma.github.io/Logging_0331/tillsynsmail/A 18424-2025 tillsynsbegäran mail.docx", "A 18424-2025")</f>
        <v/>
      </c>
    </row>
    <row r="52" ht="15" customHeight="1">
      <c r="A52" t="inlineStr">
        <is>
          <t>A 60103-2025</t>
        </is>
      </c>
      <c r="B52" s="1" t="n">
        <v>45993.99002314815</v>
      </c>
      <c r="C52" s="1" t="n">
        <v>46011</v>
      </c>
      <c r="D52" t="inlineStr">
        <is>
          <t>UPPSALA LÄN</t>
        </is>
      </c>
      <c r="E52" t="inlineStr">
        <is>
          <t>HEBY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60103-2025 artfynd.xlsx", "A 60103-2025")</f>
        <v/>
      </c>
      <c r="T52">
        <f>HYPERLINK("https://klasma.github.io/Logging_0331/kartor/A 60103-2025 karta.png", "A 60103-2025")</f>
        <v/>
      </c>
      <c r="V52">
        <f>HYPERLINK("https://klasma.github.io/Logging_0331/klagomål/A 60103-2025 FSC-klagomål.docx", "A 60103-2025")</f>
        <v/>
      </c>
      <c r="W52">
        <f>HYPERLINK("https://klasma.github.io/Logging_0331/klagomålsmail/A 60103-2025 FSC-klagomål mail.docx", "A 60103-2025")</f>
        <v/>
      </c>
      <c r="X52">
        <f>HYPERLINK("https://klasma.github.io/Logging_0331/tillsyn/A 60103-2025 tillsynsbegäran.docx", "A 60103-2025")</f>
        <v/>
      </c>
      <c r="Y52">
        <f>HYPERLINK("https://klasma.github.io/Logging_0331/tillsynsmail/A 60103-2025 tillsynsbegäran mail.docx", "A 60103-2025")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46011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8624-2024</t>
        </is>
      </c>
      <c r="B54" s="1" t="n">
        <v>45355</v>
      </c>
      <c r="C54" s="1" t="n">
        <v>46011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8624-2024 artfynd.xlsx", "A 8624-2024")</f>
        <v/>
      </c>
      <c r="T54">
        <f>HYPERLINK("https://klasma.github.io/Logging_0331/kartor/A 8624-2024 karta.png", "A 8624-2024")</f>
        <v/>
      </c>
      <c r="V54">
        <f>HYPERLINK("https://klasma.github.io/Logging_0331/klagomål/A 8624-2024 FSC-klagomål.docx", "A 8624-2024")</f>
        <v/>
      </c>
      <c r="W54">
        <f>HYPERLINK("https://klasma.github.io/Logging_0331/klagomålsmail/A 8624-2024 FSC-klagomål mail.docx", "A 8624-2024")</f>
        <v/>
      </c>
      <c r="X54">
        <f>HYPERLINK("https://klasma.github.io/Logging_0331/tillsyn/A 8624-2024 tillsynsbegäran.docx", "A 8624-2024")</f>
        <v/>
      </c>
      <c r="Y54">
        <f>HYPERLINK("https://klasma.github.io/Logging_0331/tillsynsmail/A 8624-2024 tillsynsbegäran mail.docx", "A 8624-2024")</f>
        <v/>
      </c>
    </row>
    <row r="55" ht="15" customHeight="1">
      <c r="A55" t="inlineStr">
        <is>
          <t>A 8181-2022</t>
        </is>
      </c>
      <c r="B55" s="1" t="n">
        <v>44609</v>
      </c>
      <c r="C55" s="1" t="n">
        <v>46011</v>
      </c>
      <c r="D55" t="inlineStr">
        <is>
          <t>UPPSALA LÄN</t>
        </is>
      </c>
      <c r="E55" t="inlineStr">
        <is>
          <t>HEBY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HYPERLINK("https://klasma.github.io/Logging_0331/artfynd/A 8181-2022 artfynd.xlsx", "A 8181-2022")</f>
        <v/>
      </c>
      <c r="T55">
        <f>HYPERLINK("https://klasma.github.io/Logging_0331/kartor/A 8181-2022 karta.png", "A 8181-2022")</f>
        <v/>
      </c>
      <c r="V55">
        <f>HYPERLINK("https://klasma.github.io/Logging_0331/klagomål/A 8181-2022 FSC-klagomål.docx", "A 8181-2022")</f>
        <v/>
      </c>
      <c r="W55">
        <f>HYPERLINK("https://klasma.github.io/Logging_0331/klagomålsmail/A 8181-2022 FSC-klagomål mail.docx", "A 8181-2022")</f>
        <v/>
      </c>
      <c r="X55">
        <f>HYPERLINK("https://klasma.github.io/Logging_0331/tillsyn/A 8181-2022 tillsynsbegäran.docx", "A 8181-2022")</f>
        <v/>
      </c>
      <c r="Y55">
        <f>HYPERLINK("https://klasma.github.io/Logging_0331/tillsynsmail/A 8181-2022 tillsynsbegäran mail.docx", "A 8181-2022")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46011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19139-2021</t>
        </is>
      </c>
      <c r="B57" s="1" t="n">
        <v>44308</v>
      </c>
      <c r="C57" s="1" t="n">
        <v>46011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19139-2021 artfynd.xlsx", "A 19139-2021")</f>
        <v/>
      </c>
      <c r="T57">
        <f>HYPERLINK("https://klasma.github.io/Logging_0331/kartor/A 19139-2021 karta.png", "A 19139-2021")</f>
        <v/>
      </c>
      <c r="U57">
        <f>HYPERLINK("https://klasma.github.io/Logging_0331/knärot/A 19139-2021 karta knärot.png", "A 19139-2021")</f>
        <v/>
      </c>
      <c r="V57">
        <f>HYPERLINK("https://klasma.github.io/Logging_0331/klagomål/A 19139-2021 FSC-klagomål.docx", "A 19139-2021")</f>
        <v/>
      </c>
      <c r="W57">
        <f>HYPERLINK("https://klasma.github.io/Logging_0331/klagomålsmail/A 19139-2021 FSC-klagomål mail.docx", "A 19139-2021")</f>
        <v/>
      </c>
      <c r="X57">
        <f>HYPERLINK("https://klasma.github.io/Logging_0331/tillsyn/A 19139-2021 tillsynsbegäran.docx", "A 19139-2021")</f>
        <v/>
      </c>
      <c r="Y57">
        <f>HYPERLINK("https://klasma.github.io/Logging_0331/tillsynsmail/A 19139-2021 tillsynsbegäran mail.docx", "A 19139-2021")</f>
        <v/>
      </c>
    </row>
    <row r="58" ht="15" customHeight="1">
      <c r="A58" t="inlineStr">
        <is>
          <t>A 63982-2023</t>
        </is>
      </c>
      <c r="B58" s="1" t="n">
        <v>45278.72756944445</v>
      </c>
      <c r="C58" s="1" t="n">
        <v>46011</v>
      </c>
      <c r="D58" t="inlineStr">
        <is>
          <t>UPPSALA LÄN</t>
        </is>
      </c>
      <c r="E58" t="inlineStr">
        <is>
          <t>HEBY</t>
        </is>
      </c>
      <c r="F58" t="inlineStr">
        <is>
          <t>Kyrkan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HYPERLINK("https://klasma.github.io/Logging_0331/artfynd/A 63982-2023 artfynd.xlsx", "A 63982-2023")</f>
        <v/>
      </c>
      <c r="T58">
        <f>HYPERLINK("https://klasma.github.io/Logging_0331/kartor/A 63982-2023 karta.png", "A 63982-2023")</f>
        <v/>
      </c>
      <c r="V58">
        <f>HYPERLINK("https://klasma.github.io/Logging_0331/klagomål/A 63982-2023 FSC-klagomål.docx", "A 63982-2023")</f>
        <v/>
      </c>
      <c r="W58">
        <f>HYPERLINK("https://klasma.github.io/Logging_0331/klagomålsmail/A 63982-2023 FSC-klagomål mail.docx", "A 63982-2023")</f>
        <v/>
      </c>
      <c r="X58">
        <f>HYPERLINK("https://klasma.github.io/Logging_0331/tillsyn/A 63982-2023 tillsynsbegäran.docx", "A 63982-2023")</f>
        <v/>
      </c>
      <c r="Y58">
        <f>HYPERLINK("https://klasma.github.io/Logging_0331/tillsynsmail/A 63982-2023 tillsynsbegäran mail.docx", "A 63982-2023")</f>
        <v/>
      </c>
      <c r="Z58">
        <f>HYPERLINK("https://klasma.github.io/Logging_0331/fåglar/A 63982-2023 prioriterade fågelarter.docx", "A 63982-2023")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46011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61598-2021</t>
        </is>
      </c>
      <c r="B60" s="1" t="n">
        <v>44501.46684027778</v>
      </c>
      <c r="C60" s="1" t="n">
        <v>46011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55663-2024</t>
        </is>
      </c>
      <c r="B61" s="1" t="n">
        <v>45622</v>
      </c>
      <c r="C61" s="1" t="n">
        <v>46011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HYPERLINK("https://klasma.github.io/Logging_0331/artfynd/A 55663-2024 artfynd.xlsx", "A 55663-2024")</f>
        <v/>
      </c>
      <c r="T61">
        <f>HYPERLINK("https://klasma.github.io/Logging_0331/kartor/A 55663-2024 karta.png", "A 55663-2024")</f>
        <v/>
      </c>
      <c r="V61">
        <f>HYPERLINK("https://klasma.github.io/Logging_0331/klagomål/A 55663-2024 FSC-klagomål.docx", "A 55663-2024")</f>
        <v/>
      </c>
      <c r="W61">
        <f>HYPERLINK("https://klasma.github.io/Logging_0331/klagomålsmail/A 55663-2024 FSC-klagomål mail.docx", "A 55663-2024")</f>
        <v/>
      </c>
      <c r="X61">
        <f>HYPERLINK("https://klasma.github.io/Logging_0331/tillsyn/A 55663-2024 tillsynsbegäran.docx", "A 55663-2024")</f>
        <v/>
      </c>
      <c r="Y61">
        <f>HYPERLINK("https://klasma.github.io/Logging_0331/tillsynsmail/A 55663-2024 tillsynsbegäran mail.docx", "A 55663-2024")</f>
        <v/>
      </c>
    </row>
    <row r="62" ht="15" customHeight="1">
      <c r="A62" t="inlineStr">
        <is>
          <t>A 44281-2024</t>
        </is>
      </c>
      <c r="B62" s="1" t="n">
        <v>45573.49663194444</v>
      </c>
      <c r="C62" s="1" t="n">
        <v>46011</v>
      </c>
      <c r="D62" t="inlineStr">
        <is>
          <t>UPPSALA LÄN</t>
        </is>
      </c>
      <c r="E62" t="inlineStr">
        <is>
          <t>HEBY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Fläckstumpbagge</t>
        </is>
      </c>
      <c r="S62">
        <f>HYPERLINK("https://klasma.github.io/Logging_0331/artfynd/A 44281-2024 artfynd.xlsx", "A 44281-2024")</f>
        <v/>
      </c>
      <c r="T62">
        <f>HYPERLINK("https://klasma.github.io/Logging_0331/kartor/A 44281-2024 karta.png", "A 44281-2024")</f>
        <v/>
      </c>
      <c r="V62">
        <f>HYPERLINK("https://klasma.github.io/Logging_0331/klagomål/A 44281-2024 FSC-klagomål.docx", "A 44281-2024")</f>
        <v/>
      </c>
      <c r="W62">
        <f>HYPERLINK("https://klasma.github.io/Logging_0331/klagomålsmail/A 44281-2024 FSC-klagomål mail.docx", "A 44281-2024")</f>
        <v/>
      </c>
      <c r="X62">
        <f>HYPERLINK("https://klasma.github.io/Logging_0331/tillsyn/A 44281-2024 tillsynsbegäran.docx", "A 44281-2024")</f>
        <v/>
      </c>
      <c r="Y62">
        <f>HYPERLINK("https://klasma.github.io/Logging_0331/tillsynsmail/A 44281-2024 tillsynsbegäran mail.docx", "A 44281-2024")</f>
        <v/>
      </c>
    </row>
    <row r="63" ht="15" customHeight="1">
      <c r="A63" t="inlineStr">
        <is>
          <t>A 21203-2025</t>
        </is>
      </c>
      <c r="B63" s="1" t="n">
        <v>45777</v>
      </c>
      <c r="C63" s="1" t="n">
        <v>46011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27.7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HYPERLINK("https://klasma.github.io/Logging_0331/artfynd/A 21203-2025 artfynd.xlsx", "A 21203-2025")</f>
        <v/>
      </c>
      <c r="T63">
        <f>HYPERLINK("https://klasma.github.io/Logging_0331/kartor/A 21203-2025 karta.png", "A 21203-2025")</f>
        <v/>
      </c>
      <c r="V63">
        <f>HYPERLINK("https://klasma.github.io/Logging_0331/klagomål/A 21203-2025 FSC-klagomål.docx", "A 21203-2025")</f>
        <v/>
      </c>
      <c r="W63">
        <f>HYPERLINK("https://klasma.github.io/Logging_0331/klagomålsmail/A 21203-2025 FSC-klagomål mail.docx", "A 21203-2025")</f>
        <v/>
      </c>
      <c r="X63">
        <f>HYPERLINK("https://klasma.github.io/Logging_0331/tillsyn/A 21203-2025 tillsynsbegäran.docx", "A 21203-2025")</f>
        <v/>
      </c>
      <c r="Y63">
        <f>HYPERLINK("https://klasma.github.io/Logging_0331/tillsynsmail/A 21203-2025 tillsynsbegäran mail.docx", "A 21203-2025")</f>
        <v/>
      </c>
    </row>
    <row r="64" ht="15" customHeight="1">
      <c r="A64" t="inlineStr">
        <is>
          <t>A 17972-2024</t>
        </is>
      </c>
      <c r="B64" s="1" t="n">
        <v>45419</v>
      </c>
      <c r="C64" s="1" t="n">
        <v>46011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9.699999999999999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Spädstarr</t>
        </is>
      </c>
      <c r="S64">
        <f>HYPERLINK("https://klasma.github.io/Logging_0331/artfynd/A 17972-2024 artfynd.xlsx", "A 17972-2024")</f>
        <v/>
      </c>
      <c r="T64">
        <f>HYPERLINK("https://klasma.github.io/Logging_0331/kartor/A 17972-2024 karta.png", "A 17972-2024")</f>
        <v/>
      </c>
      <c r="V64">
        <f>HYPERLINK("https://klasma.github.io/Logging_0331/klagomål/A 17972-2024 FSC-klagomål.docx", "A 17972-2024")</f>
        <v/>
      </c>
      <c r="W64">
        <f>HYPERLINK("https://klasma.github.io/Logging_0331/klagomålsmail/A 17972-2024 FSC-klagomål mail.docx", "A 17972-2024")</f>
        <v/>
      </c>
      <c r="X64">
        <f>HYPERLINK("https://klasma.github.io/Logging_0331/tillsyn/A 17972-2024 tillsynsbegäran.docx", "A 17972-2024")</f>
        <v/>
      </c>
      <c r="Y64">
        <f>HYPERLINK("https://klasma.github.io/Logging_0331/tillsynsmail/A 17972-2024 tillsynsbegäran mail.docx", "A 17972-2024")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46011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46011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14306-2021</t>
        </is>
      </c>
      <c r="B67" s="1" t="n">
        <v>44278</v>
      </c>
      <c r="C67" s="1" t="n">
        <v>46011</v>
      </c>
      <c r="D67" t="inlineStr">
        <is>
          <t>UPPSALA LÄN</t>
        </is>
      </c>
      <c r="E67" t="inlineStr">
        <is>
          <t>HEBY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23637-2021</t>
        </is>
      </c>
      <c r="B68" s="1" t="n">
        <v>44334</v>
      </c>
      <c r="C68" s="1" t="n">
        <v>46011</v>
      </c>
      <c r="D68" t="inlineStr">
        <is>
          <t>UPPSALA LÄN</t>
        </is>
      </c>
      <c r="E68" t="inlineStr">
        <is>
          <t>HEBY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19268-2021</t>
        </is>
      </c>
      <c r="B69" s="1" t="n">
        <v>44309</v>
      </c>
      <c r="C69" s="1" t="n">
        <v>46011</v>
      </c>
      <c r="D69" t="inlineStr">
        <is>
          <t>UPPSALA LÄN</t>
        </is>
      </c>
      <c r="E69" t="inlineStr">
        <is>
          <t>HEBY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37980-2021</t>
        </is>
      </c>
      <c r="B70" s="1" t="n">
        <v>44404</v>
      </c>
      <c r="C70" s="1" t="n">
        <v>46011</v>
      </c>
      <c r="D70" t="inlineStr">
        <is>
          <t>UPPSALA LÄN</t>
        </is>
      </c>
      <c r="E70" t="inlineStr">
        <is>
          <t>HEBY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38050-2021</t>
        </is>
      </c>
      <c r="B71" s="1" t="n">
        <v>44404</v>
      </c>
      <c r="C71" s="1" t="n">
        <v>46011</v>
      </c>
      <c r="D71" t="inlineStr">
        <is>
          <t>UPPSALA LÄN</t>
        </is>
      </c>
      <c r="E71" t="inlineStr">
        <is>
          <t>HEBY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38051-2021</t>
        </is>
      </c>
      <c r="B72" s="1" t="n">
        <v>44404</v>
      </c>
      <c r="C72" s="1" t="n">
        <v>46011</v>
      </c>
      <c r="D72" t="inlineStr">
        <is>
          <t>UPPSALA LÄN</t>
        </is>
      </c>
      <c r="E72" t="inlineStr">
        <is>
          <t>HEBY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9824-2022</t>
        </is>
      </c>
      <c r="B73" s="1" t="n">
        <v>44620</v>
      </c>
      <c r="C73" s="1" t="n">
        <v>46011</v>
      </c>
      <c r="D73" t="inlineStr">
        <is>
          <t>UPPSALA LÄN</t>
        </is>
      </c>
      <c r="E73" t="inlineStr">
        <is>
          <t>HEBY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4821-2021</t>
        </is>
      </c>
      <c r="B74" s="1" t="n">
        <v>44225</v>
      </c>
      <c r="C74" s="1" t="n">
        <v>46011</v>
      </c>
      <c r="D74" t="inlineStr">
        <is>
          <t>UPPSALA LÄN</t>
        </is>
      </c>
      <c r="E74" t="inlineStr">
        <is>
          <t>HEBY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56138-2021</t>
        </is>
      </c>
      <c r="B75" s="1" t="n">
        <v>44477</v>
      </c>
      <c r="C75" s="1" t="n">
        <v>46011</v>
      </c>
      <c r="D75" t="inlineStr">
        <is>
          <t>UPPSALA LÄN</t>
        </is>
      </c>
      <c r="E75" t="inlineStr">
        <is>
          <t>HEBY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49352-2021</t>
        </is>
      </c>
      <c r="B76" s="1" t="n">
        <v>44454.586875</v>
      </c>
      <c r="C76" s="1" t="n">
        <v>46011</v>
      </c>
      <c r="D76" t="inlineStr">
        <is>
          <t>UPPSALA LÄN</t>
        </is>
      </c>
      <c r="E76" t="inlineStr">
        <is>
          <t>HEBY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798-2021</t>
        </is>
      </c>
      <c r="B77" s="1" t="n">
        <v>44204</v>
      </c>
      <c r="C77" s="1" t="n">
        <v>46011</v>
      </c>
      <c r="D77" t="inlineStr">
        <is>
          <t>UPPSALA LÄN</t>
        </is>
      </c>
      <c r="E77" t="inlineStr">
        <is>
          <t>HEBY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46094-2022</t>
        </is>
      </c>
      <c r="B78" s="1" t="n">
        <v>44847</v>
      </c>
      <c r="C78" s="1" t="n">
        <v>46011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42987-2021</t>
        </is>
      </c>
      <c r="B79" s="1" t="n">
        <v>44431</v>
      </c>
      <c r="C79" s="1" t="n">
        <v>46011</v>
      </c>
      <c r="D79" t="inlineStr">
        <is>
          <t>UPPSALA LÄN</t>
        </is>
      </c>
      <c r="E79" t="inlineStr">
        <is>
          <t>HEBY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29644-2022</t>
        </is>
      </c>
      <c r="B80" s="1" t="n">
        <v>44754</v>
      </c>
      <c r="C80" s="1" t="n">
        <v>46011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9230-2021</t>
        </is>
      </c>
      <c r="B81" s="1" t="n">
        <v>44250.4206712963</v>
      </c>
      <c r="C81" s="1" t="n">
        <v>46011</v>
      </c>
      <c r="D81" t="inlineStr">
        <is>
          <t>UPPSALA LÄN</t>
        </is>
      </c>
      <c r="E81" t="inlineStr">
        <is>
          <t>HEBY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46011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46011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46011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46011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46011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46011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46011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46011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46011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46011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46011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10734-2021</t>
        </is>
      </c>
      <c r="B93" s="1" t="n">
        <v>44259</v>
      </c>
      <c r="C93" s="1" t="n">
        <v>46011</v>
      </c>
      <c r="D93" t="inlineStr">
        <is>
          <t>UPPSALA LÄN</t>
        </is>
      </c>
      <c r="E93" t="inlineStr">
        <is>
          <t>HEBY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46011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46011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46011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46011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15481-2021</t>
        </is>
      </c>
      <c r="B98" s="1" t="n">
        <v>44285</v>
      </c>
      <c r="C98" s="1" t="n">
        <v>46011</v>
      </c>
      <c r="D98" t="inlineStr">
        <is>
          <t>UPPSALA LÄN</t>
        </is>
      </c>
      <c r="E98" t="inlineStr">
        <is>
          <t>HEBY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33284-2022</t>
        </is>
      </c>
      <c r="B99" s="1" t="n">
        <v>44788.35174768518</v>
      </c>
      <c r="C99" s="1" t="n">
        <v>46011</v>
      </c>
      <c r="D99" t="inlineStr">
        <is>
          <t>UPPSALA LÄN</t>
        </is>
      </c>
      <c r="E99" t="inlineStr">
        <is>
          <t>HEBY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47199-2022</t>
        </is>
      </c>
      <c r="B100" s="1" t="n">
        <v>44852.64951388889</v>
      </c>
      <c r="C100" s="1" t="n">
        <v>46011</v>
      </c>
      <c r="D100" t="inlineStr">
        <is>
          <t>UPPSALA LÄN</t>
        </is>
      </c>
      <c r="E100" t="inlineStr">
        <is>
          <t>HEBY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63393-2021</t>
        </is>
      </c>
      <c r="B101" s="1" t="n">
        <v>44508.53688657407</v>
      </c>
      <c r="C101" s="1" t="n">
        <v>46011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öst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63826-2021</t>
        </is>
      </c>
      <c r="B102" s="1" t="n">
        <v>44509</v>
      </c>
      <c r="C102" s="1" t="n">
        <v>46011</v>
      </c>
      <c r="D102" t="inlineStr">
        <is>
          <t>UPPSALA LÄN</t>
        </is>
      </c>
      <c r="E102" t="inlineStr">
        <is>
          <t>HEBY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38859-2021</t>
        </is>
      </c>
      <c r="B103" s="1" t="n">
        <v>44411</v>
      </c>
      <c r="C103" s="1" t="n">
        <v>46011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63047-2021</t>
        </is>
      </c>
      <c r="B104" s="1" t="n">
        <v>44505</v>
      </c>
      <c r="C104" s="1" t="n">
        <v>46011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32221-2021</t>
        </is>
      </c>
      <c r="B105" s="1" t="n">
        <v>44371</v>
      </c>
      <c r="C105" s="1" t="n">
        <v>46011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46011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46011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46011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46011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14843-2021</t>
        </is>
      </c>
      <c r="B110" s="1" t="n">
        <v>44280</v>
      </c>
      <c r="C110" s="1" t="n">
        <v>46011</v>
      </c>
      <c r="D110" t="inlineStr">
        <is>
          <t>UPPSALA LÄN</t>
        </is>
      </c>
      <c r="E110" t="inlineStr">
        <is>
          <t>HEBY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66025-2021</t>
        </is>
      </c>
      <c r="B111" s="1" t="n">
        <v>44517.59695601852</v>
      </c>
      <c r="C111" s="1" t="n">
        <v>46011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23255-2021</t>
        </is>
      </c>
      <c r="B112" s="1" t="n">
        <v>44333</v>
      </c>
      <c r="C112" s="1" t="n">
        <v>46011</v>
      </c>
      <c r="D112" t="inlineStr">
        <is>
          <t>UPPSALA LÄN</t>
        </is>
      </c>
      <c r="E112" t="inlineStr">
        <is>
          <t>HEBY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29231-2021</t>
        </is>
      </c>
      <c r="B113" s="1" t="n">
        <v>44360</v>
      </c>
      <c r="C113" s="1" t="n">
        <v>46011</v>
      </c>
      <c r="D113" t="inlineStr">
        <is>
          <t>UPPSALA LÄN</t>
        </is>
      </c>
      <c r="E113" t="inlineStr">
        <is>
          <t>HEBY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65626-2021</t>
        </is>
      </c>
      <c r="B114" s="1" t="n">
        <v>44516.55341435185</v>
      </c>
      <c r="C114" s="1" t="n">
        <v>46011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312-2022</t>
        </is>
      </c>
      <c r="B115" s="1" t="n">
        <v>44565</v>
      </c>
      <c r="C115" s="1" t="n">
        <v>46011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45185-2022</t>
        </is>
      </c>
      <c r="B116" s="1" t="n">
        <v>44844</v>
      </c>
      <c r="C116" s="1" t="n">
        <v>46011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22216-2022</t>
        </is>
      </c>
      <c r="B117" s="1" t="n">
        <v>44712</v>
      </c>
      <c r="C117" s="1" t="n">
        <v>46011</v>
      </c>
      <c r="D117" t="inlineStr">
        <is>
          <t>UPPSALA LÄN</t>
        </is>
      </c>
      <c r="E117" t="inlineStr">
        <is>
          <t>HEBY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27295-2021</t>
        </is>
      </c>
      <c r="B118" s="1" t="n">
        <v>44351.32269675926</v>
      </c>
      <c r="C118" s="1" t="n">
        <v>46011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46011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46011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46011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67664-2021</t>
        </is>
      </c>
      <c r="B122" s="1" t="n">
        <v>44524</v>
      </c>
      <c r="C122" s="1" t="n">
        <v>46011</v>
      </c>
      <c r="D122" t="inlineStr">
        <is>
          <t>UPPSALA LÄN</t>
        </is>
      </c>
      <c r="E122" t="inlineStr">
        <is>
          <t>HEBY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63959-2021</t>
        </is>
      </c>
      <c r="B123" s="1" t="n">
        <v>44509</v>
      </c>
      <c r="C123" s="1" t="n">
        <v>46011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26316-2022</t>
        </is>
      </c>
      <c r="B124" s="1" t="n">
        <v>44735</v>
      </c>
      <c r="C124" s="1" t="n">
        <v>46011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27858-2022</t>
        </is>
      </c>
      <c r="B125" s="1" t="n">
        <v>44743.633125</v>
      </c>
      <c r="C125" s="1" t="n">
        <v>46011</v>
      </c>
      <c r="D125" t="inlineStr">
        <is>
          <t>UPPSALA LÄN</t>
        </is>
      </c>
      <c r="E125" t="inlineStr">
        <is>
          <t>HEBY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66519-2021</t>
        </is>
      </c>
      <c r="B126" s="1" t="n">
        <v>44519</v>
      </c>
      <c r="C126" s="1" t="n">
        <v>46011</v>
      </c>
      <c r="D126" t="inlineStr">
        <is>
          <t>UPPSALA LÄN</t>
        </is>
      </c>
      <c r="E126" t="inlineStr">
        <is>
          <t>HEBY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16043-2021</t>
        </is>
      </c>
      <c r="B127" s="1" t="n">
        <v>44287</v>
      </c>
      <c r="C127" s="1" t="n">
        <v>46011</v>
      </c>
      <c r="D127" t="inlineStr">
        <is>
          <t>UPPSALA LÄN</t>
        </is>
      </c>
      <c r="E127" t="inlineStr">
        <is>
          <t>HEBY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46651-2022</t>
        </is>
      </c>
      <c r="B128" s="1" t="n">
        <v>44850.31813657407</v>
      </c>
      <c r="C128" s="1" t="n">
        <v>46011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44614.36751157408</v>
      </c>
      <c r="C129" s="1" t="n">
        <v>46011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59599-2021</t>
        </is>
      </c>
      <c r="B130" s="1" t="n">
        <v>44491.67335648148</v>
      </c>
      <c r="C130" s="1" t="n">
        <v>46011</v>
      </c>
      <c r="D130" t="inlineStr">
        <is>
          <t>UPPSALA LÄN</t>
        </is>
      </c>
      <c r="E130" t="inlineStr">
        <is>
          <t>HEBY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24091-2022</t>
        </is>
      </c>
      <c r="B131" s="1" t="n">
        <v>44725.37670138889</v>
      </c>
      <c r="C131" s="1" t="n">
        <v>46011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66818-2021</t>
        </is>
      </c>
      <c r="B132" s="1" t="n">
        <v>44522.3946875</v>
      </c>
      <c r="C132" s="1" t="n">
        <v>46011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46011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46011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46011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31283-2021</t>
        </is>
      </c>
      <c r="B136" s="1" t="n">
        <v>44368</v>
      </c>
      <c r="C136" s="1" t="n">
        <v>46011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9010-2021</t>
        </is>
      </c>
      <c r="B137" s="1" t="n">
        <v>44249</v>
      </c>
      <c r="C137" s="1" t="n">
        <v>46011</v>
      </c>
      <c r="D137" t="inlineStr">
        <is>
          <t>UPPSALA LÄN</t>
        </is>
      </c>
      <c r="E137" t="inlineStr">
        <is>
          <t>HEBY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50546-2021</t>
        </is>
      </c>
      <c r="B138" s="1" t="n">
        <v>44459</v>
      </c>
      <c r="C138" s="1" t="n">
        <v>46011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50541-2021</t>
        </is>
      </c>
      <c r="B139" s="1" t="n">
        <v>44459</v>
      </c>
      <c r="C139" s="1" t="n">
        <v>46011</v>
      </c>
      <c r="D139" t="inlineStr">
        <is>
          <t>UPPSALA LÄN</t>
        </is>
      </c>
      <c r="E139" t="inlineStr">
        <is>
          <t>HEBY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25203-2021</t>
        </is>
      </c>
      <c r="B140" s="1" t="n">
        <v>44342</v>
      </c>
      <c r="C140" s="1" t="n">
        <v>46011</v>
      </c>
      <c r="D140" t="inlineStr">
        <is>
          <t>UPPSALA LÄN</t>
        </is>
      </c>
      <c r="E140" t="inlineStr">
        <is>
          <t>HEBY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34494-2021</t>
        </is>
      </c>
      <c r="B141" s="1" t="n">
        <v>44382.32331018519</v>
      </c>
      <c r="C141" s="1" t="n">
        <v>46011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46011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26789-2021</t>
        </is>
      </c>
      <c r="B143" s="1" t="n">
        <v>44349</v>
      </c>
      <c r="C143" s="1" t="n">
        <v>46011</v>
      </c>
      <c r="D143" t="inlineStr">
        <is>
          <t>UPPSALA LÄN</t>
        </is>
      </c>
      <c r="E143" t="inlineStr">
        <is>
          <t>HEBY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46011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31049-2022</t>
        </is>
      </c>
      <c r="B145" s="1" t="n">
        <v>44769</v>
      </c>
      <c r="C145" s="1" t="n">
        <v>46011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14008-2022</t>
        </is>
      </c>
      <c r="B146" s="1" t="n">
        <v>44650.66174768518</v>
      </c>
      <c r="C146" s="1" t="n">
        <v>46011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14603-2022</t>
        </is>
      </c>
      <c r="B147" s="1" t="n">
        <v>44655.59482638889</v>
      </c>
      <c r="C147" s="1" t="n">
        <v>46011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23979-2022</t>
        </is>
      </c>
      <c r="B148" s="1" t="n">
        <v>44722.88414351852</v>
      </c>
      <c r="C148" s="1" t="n">
        <v>46011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20627-2022</t>
        </is>
      </c>
      <c r="B149" s="1" t="n">
        <v>44700.53931712963</v>
      </c>
      <c r="C149" s="1" t="n">
        <v>46011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69597-2021</t>
        </is>
      </c>
      <c r="B150" s="1" t="n">
        <v>44532</v>
      </c>
      <c r="C150" s="1" t="n">
        <v>46011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29391-2022</t>
        </is>
      </c>
      <c r="B151" s="1" t="n">
        <v>44753.43171296296</v>
      </c>
      <c r="C151" s="1" t="n">
        <v>46011</v>
      </c>
      <c r="D151" t="inlineStr">
        <is>
          <t>UPPSALA LÄN</t>
        </is>
      </c>
      <c r="E151" t="inlineStr">
        <is>
          <t>HEBY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8850-2022</t>
        </is>
      </c>
      <c r="B152" s="1" t="n">
        <v>44614.53547453704</v>
      </c>
      <c r="C152" s="1" t="n">
        <v>46011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46011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9478-2025</t>
        </is>
      </c>
      <c r="B154" s="1" t="n">
        <v>45715.47774305556</v>
      </c>
      <c r="C154" s="1" t="n">
        <v>46011</v>
      </c>
      <c r="D154" t="inlineStr">
        <is>
          <t>UPPSALA LÄN</t>
        </is>
      </c>
      <c r="E154" t="inlineStr">
        <is>
          <t>HEBY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4666-2025</t>
        </is>
      </c>
      <c r="B155" s="1" t="n">
        <v>45687</v>
      </c>
      <c r="C155" s="1" t="n">
        <v>46011</v>
      </c>
      <c r="D155" t="inlineStr">
        <is>
          <t>UPPSALA LÄN</t>
        </is>
      </c>
      <c r="E155" t="inlineStr">
        <is>
          <t>HEBY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4737-2025</t>
        </is>
      </c>
      <c r="B156" s="1" t="n">
        <v>45688</v>
      </c>
      <c r="C156" s="1" t="n">
        <v>46011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12489-2024</t>
        </is>
      </c>
      <c r="B157" s="1" t="n">
        <v>45379.55935185185</v>
      </c>
      <c r="C157" s="1" t="n">
        <v>46011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11059-2025</t>
        </is>
      </c>
      <c r="B158" s="1" t="n">
        <v>45723.5122337963</v>
      </c>
      <c r="C158" s="1" t="n">
        <v>46011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10131-2025</t>
        </is>
      </c>
      <c r="B159" s="1" t="n">
        <v>45719.61053240741</v>
      </c>
      <c r="C159" s="1" t="n">
        <v>46011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6882-2024</t>
        </is>
      </c>
      <c r="B160" s="1" t="n">
        <v>45342.88319444445</v>
      </c>
      <c r="C160" s="1" t="n">
        <v>46011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6885-2024</t>
        </is>
      </c>
      <c r="B161" s="1" t="n">
        <v>45342.88614583333</v>
      </c>
      <c r="C161" s="1" t="n">
        <v>46011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11057-2024</t>
        </is>
      </c>
      <c r="B162" s="1" t="n">
        <v>45370.73208333334</v>
      </c>
      <c r="C162" s="1" t="n">
        <v>46011</v>
      </c>
      <c r="D162" t="inlineStr">
        <is>
          <t>UPPSALA LÄN</t>
        </is>
      </c>
      <c r="E162" t="inlineStr">
        <is>
          <t>HEBY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46011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24562-2023</t>
        </is>
      </c>
      <c r="B164" s="1" t="n">
        <v>45083</v>
      </c>
      <c r="C164" s="1" t="n">
        <v>46011</v>
      </c>
      <c r="D164" t="inlineStr">
        <is>
          <t>UPPSALA LÄN</t>
        </is>
      </c>
      <c r="E164" t="inlineStr">
        <is>
          <t>HEBY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13679-2024</t>
        </is>
      </c>
      <c r="B165" s="1" t="n">
        <v>45390.55424768518</v>
      </c>
      <c r="C165" s="1" t="n">
        <v>46011</v>
      </c>
      <c r="D165" t="inlineStr">
        <is>
          <t>UPPSALA LÄN</t>
        </is>
      </c>
      <c r="E165" t="inlineStr">
        <is>
          <t>HEBY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13688-2024</t>
        </is>
      </c>
      <c r="B166" s="1" t="n">
        <v>45390</v>
      </c>
      <c r="C166" s="1" t="n">
        <v>46011</v>
      </c>
      <c r="D166" t="inlineStr">
        <is>
          <t>UPPSALA LÄN</t>
        </is>
      </c>
      <c r="E166" t="inlineStr">
        <is>
          <t>HEBY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17747-2021</t>
        </is>
      </c>
      <c r="B167" s="1" t="n">
        <v>44300</v>
      </c>
      <c r="C167" s="1" t="n">
        <v>46011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11009-2025</t>
        </is>
      </c>
      <c r="B168" s="1" t="n">
        <v>45723.45451388889</v>
      </c>
      <c r="C168" s="1" t="n">
        <v>46011</v>
      </c>
      <c r="D168" t="inlineStr">
        <is>
          <t>UPPSALA LÄN</t>
        </is>
      </c>
      <c r="E168" t="inlineStr">
        <is>
          <t>HEBY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5875-2021</t>
        </is>
      </c>
      <c r="B169" s="1" t="n">
        <v>44231</v>
      </c>
      <c r="C169" s="1" t="n">
        <v>46011</v>
      </c>
      <c r="D169" t="inlineStr">
        <is>
          <t>UPPSALA LÄN</t>
        </is>
      </c>
      <c r="E169" t="inlineStr">
        <is>
          <t>HEBY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58914-2023</t>
        </is>
      </c>
      <c r="B170" s="1" t="n">
        <v>45250</v>
      </c>
      <c r="C170" s="1" t="n">
        <v>46011</v>
      </c>
      <c r="D170" t="inlineStr">
        <is>
          <t>UPPSALA LÄN</t>
        </is>
      </c>
      <c r="E170" t="inlineStr">
        <is>
          <t>HEBY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2007-2024</t>
        </is>
      </c>
      <c r="B171" s="1" t="n">
        <v>45308.65503472222</v>
      </c>
      <c r="C171" s="1" t="n">
        <v>46011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49971-2022</t>
        </is>
      </c>
      <c r="B172" s="1" t="n">
        <v>44865.38575231482</v>
      </c>
      <c r="C172" s="1" t="n">
        <v>46011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56398-2023</t>
        </is>
      </c>
      <c r="B173" s="1" t="n">
        <v>45243.42628472222</v>
      </c>
      <c r="C173" s="1" t="n">
        <v>46011</v>
      </c>
      <c r="D173" t="inlineStr">
        <is>
          <t>UPPSALA LÄN</t>
        </is>
      </c>
      <c r="E173" t="inlineStr">
        <is>
          <t>HEBY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5391-2024</t>
        </is>
      </c>
      <c r="B174" s="1" t="n">
        <v>45331</v>
      </c>
      <c r="C174" s="1" t="n">
        <v>46011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46647-2022</t>
        </is>
      </c>
      <c r="B175" s="1" t="n">
        <v>44849.86905092592</v>
      </c>
      <c r="C175" s="1" t="n">
        <v>46011</v>
      </c>
      <c r="D175" t="inlineStr">
        <is>
          <t>UPPSALA LÄN</t>
        </is>
      </c>
      <c r="E175" t="inlineStr">
        <is>
          <t>HEBY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40533-2022</t>
        </is>
      </c>
      <c r="B176" s="1" t="n">
        <v>44823</v>
      </c>
      <c r="C176" s="1" t="n">
        <v>46011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38049-2021</t>
        </is>
      </c>
      <c r="B177" s="1" t="n">
        <v>44404</v>
      </c>
      <c r="C177" s="1" t="n">
        <v>46011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58332-2023</t>
        </is>
      </c>
      <c r="B178" s="1" t="n">
        <v>45250</v>
      </c>
      <c r="C178" s="1" t="n">
        <v>46011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53911-2023</t>
        </is>
      </c>
      <c r="B179" s="1" t="n">
        <v>45231.56061342593</v>
      </c>
      <c r="C179" s="1" t="n">
        <v>46011</v>
      </c>
      <c r="D179" t="inlineStr">
        <is>
          <t>UPPSALA LÄN</t>
        </is>
      </c>
      <c r="E179" t="inlineStr">
        <is>
          <t>HEBY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3355-2024</t>
        </is>
      </c>
      <c r="B180" s="1" t="n">
        <v>45317</v>
      </c>
      <c r="C180" s="1" t="n">
        <v>46011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42938-2022</t>
        </is>
      </c>
      <c r="B181" s="1" t="n">
        <v>44833</v>
      </c>
      <c r="C181" s="1" t="n">
        <v>46011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9761-2023</t>
        </is>
      </c>
      <c r="B182" s="1" t="n">
        <v>44984.57246527778</v>
      </c>
      <c r="C182" s="1" t="n">
        <v>46011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9773-2023</t>
        </is>
      </c>
      <c r="B183" s="1" t="n">
        <v>44984</v>
      </c>
      <c r="C183" s="1" t="n">
        <v>46011</v>
      </c>
      <c r="D183" t="inlineStr">
        <is>
          <t>UPPSALA LÄN</t>
        </is>
      </c>
      <c r="E183" t="inlineStr">
        <is>
          <t>HEBY</t>
        </is>
      </c>
      <c r="F183" t="inlineStr">
        <is>
          <t>Allmännings- och besparingsskogar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8805-2023</t>
        </is>
      </c>
      <c r="B184" s="1" t="n">
        <v>44978.61866898148</v>
      </c>
      <c r="C184" s="1" t="n">
        <v>46011</v>
      </c>
      <c r="D184" t="inlineStr">
        <is>
          <t>UPPSALA LÄN</t>
        </is>
      </c>
      <c r="E184" t="inlineStr">
        <is>
          <t>HEBY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41556-2023</t>
        </is>
      </c>
      <c r="B185" s="1" t="n">
        <v>45175.58421296296</v>
      </c>
      <c r="C185" s="1" t="n">
        <v>46011</v>
      </c>
      <c r="D185" t="inlineStr">
        <is>
          <t>UPPSALA LÄN</t>
        </is>
      </c>
      <c r="E185" t="inlineStr">
        <is>
          <t>HEBY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62650-2022</t>
        </is>
      </c>
      <c r="B186" s="1" t="n">
        <v>44925.48966435185</v>
      </c>
      <c r="C186" s="1" t="n">
        <v>46011</v>
      </c>
      <c r="D186" t="inlineStr">
        <is>
          <t>UPPSALA LÄN</t>
        </is>
      </c>
      <c r="E186" t="inlineStr">
        <is>
          <t>HEBY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38479-2025</t>
        </is>
      </c>
      <c r="B187" s="1" t="n">
        <v>45884.32216435186</v>
      </c>
      <c r="C187" s="1" t="n">
        <v>46011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55204-2022</t>
        </is>
      </c>
      <c r="B188" s="1" t="n">
        <v>44886</v>
      </c>
      <c r="C188" s="1" t="n">
        <v>46011</v>
      </c>
      <c r="D188" t="inlineStr">
        <is>
          <t>UPPSALA LÄN</t>
        </is>
      </c>
      <c r="E188" t="inlineStr">
        <is>
          <t>HEBY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3234-2023</t>
        </is>
      </c>
      <c r="B189" s="1" t="n">
        <v>44946.81241898148</v>
      </c>
      <c r="C189" s="1" t="n">
        <v>46011</v>
      </c>
      <c r="D189" t="inlineStr">
        <is>
          <t>UPPSALA LÄN</t>
        </is>
      </c>
      <c r="E189" t="inlineStr">
        <is>
          <t>HEBY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4740-2024</t>
        </is>
      </c>
      <c r="B190" s="1" t="n">
        <v>45328</v>
      </c>
      <c r="C190" s="1" t="n">
        <v>46011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33734-2023</t>
        </is>
      </c>
      <c r="B191" s="1" t="n">
        <v>45133.32862268519</v>
      </c>
      <c r="C191" s="1" t="n">
        <v>46011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32867-2023</t>
        </is>
      </c>
      <c r="B192" s="1" t="n">
        <v>45112</v>
      </c>
      <c r="C192" s="1" t="n">
        <v>46011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48948-2023</t>
        </is>
      </c>
      <c r="B193" s="1" t="n">
        <v>45209.58063657407</v>
      </c>
      <c r="C193" s="1" t="n">
        <v>46011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52796-2024</t>
        </is>
      </c>
      <c r="B194" s="1" t="n">
        <v>45610.56269675926</v>
      </c>
      <c r="C194" s="1" t="n">
        <v>46011</v>
      </c>
      <c r="D194" t="inlineStr">
        <is>
          <t>UPPSALA LÄN</t>
        </is>
      </c>
      <c r="E194" t="inlineStr">
        <is>
          <t>HEBY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69377-2021</t>
        </is>
      </c>
      <c r="B195" s="1" t="n">
        <v>44531</v>
      </c>
      <c r="C195" s="1" t="n">
        <v>46011</v>
      </c>
      <c r="D195" t="inlineStr">
        <is>
          <t>UPPSALA LÄN</t>
        </is>
      </c>
      <c r="E195" t="inlineStr">
        <is>
          <t>HEBY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6497-2024</t>
        </is>
      </c>
      <c r="B196" s="1" t="n">
        <v>45339.74579861111</v>
      </c>
      <c r="C196" s="1" t="n">
        <v>46011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31101-2024</t>
        </is>
      </c>
      <c r="B197" s="1" t="n">
        <v>45502</v>
      </c>
      <c r="C197" s="1" t="n">
        <v>46011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33350-2024</t>
        </is>
      </c>
      <c r="B198" s="1" t="n">
        <v>45519</v>
      </c>
      <c r="C198" s="1" t="n">
        <v>46011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38380-2025</t>
        </is>
      </c>
      <c r="B199" s="1" t="n">
        <v>45883.5737962963</v>
      </c>
      <c r="C199" s="1" t="n">
        <v>46011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38432-2025</t>
        </is>
      </c>
      <c r="B200" s="1" t="n">
        <v>45883.63840277777</v>
      </c>
      <c r="C200" s="1" t="n">
        <v>46011</v>
      </c>
      <c r="D200" t="inlineStr">
        <is>
          <t>UPPSALA LÄN</t>
        </is>
      </c>
      <c r="E200" t="inlineStr">
        <is>
          <t>HEBY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38474-2025</t>
        </is>
      </c>
      <c r="B201" s="1" t="n">
        <v>45884.31611111111</v>
      </c>
      <c r="C201" s="1" t="n">
        <v>46011</v>
      </c>
      <c r="D201" t="inlineStr">
        <is>
          <t>UPPSALA LÄN</t>
        </is>
      </c>
      <c r="E201" t="inlineStr">
        <is>
          <t>HEBY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24381-2025</t>
        </is>
      </c>
      <c r="B202" s="1" t="n">
        <v>45797</v>
      </c>
      <c r="C202" s="1" t="n">
        <v>46011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56302-2021</t>
        </is>
      </c>
      <c r="B203" s="1" t="n">
        <v>44477</v>
      </c>
      <c r="C203" s="1" t="n">
        <v>46011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38392-2025</t>
        </is>
      </c>
      <c r="B204" s="1" t="n">
        <v>45883.57503472222</v>
      </c>
      <c r="C204" s="1" t="n">
        <v>46011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45313-2022</t>
        </is>
      </c>
      <c r="B205" s="1" t="n">
        <v>44844.57619212963</v>
      </c>
      <c r="C205" s="1" t="n">
        <v>46011</v>
      </c>
      <c r="D205" t="inlineStr">
        <is>
          <t>UPPSALA LÄN</t>
        </is>
      </c>
      <c r="E205" t="inlineStr">
        <is>
          <t>HEBY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8783-2023</t>
        </is>
      </c>
      <c r="B206" s="1" t="n">
        <v>44978.58017361111</v>
      </c>
      <c r="C206" s="1" t="n">
        <v>46011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38831-2024</t>
        </is>
      </c>
      <c r="B207" s="1" t="n">
        <v>45547.57539351852</v>
      </c>
      <c r="C207" s="1" t="n">
        <v>46011</v>
      </c>
      <c r="D207" t="inlineStr">
        <is>
          <t>UPPSALA LÄN</t>
        </is>
      </c>
      <c r="E207" t="inlineStr">
        <is>
          <t>HEBY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36483-2024</t>
        </is>
      </c>
      <c r="B208" s="1" t="n">
        <v>45537</v>
      </c>
      <c r="C208" s="1" t="n">
        <v>46011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25968-2025</t>
        </is>
      </c>
      <c r="B209" s="1" t="n">
        <v>45804.62293981481</v>
      </c>
      <c r="C209" s="1" t="n">
        <v>46011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25969-2025</t>
        </is>
      </c>
      <c r="B210" s="1" t="n">
        <v>45804.62568287037</v>
      </c>
      <c r="C210" s="1" t="n">
        <v>46011</v>
      </c>
      <c r="D210" t="inlineStr">
        <is>
          <t>UPPSALA LÄN</t>
        </is>
      </c>
      <c r="E210" t="inlineStr">
        <is>
          <t>HEBY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25675-2025</t>
        </is>
      </c>
      <c r="B211" s="1" t="n">
        <v>45803.63481481482</v>
      </c>
      <c r="C211" s="1" t="n">
        <v>46011</v>
      </c>
      <c r="D211" t="inlineStr">
        <is>
          <t>UPPSALA LÄN</t>
        </is>
      </c>
      <c r="E211" t="inlineStr">
        <is>
          <t>HEBY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25677-2025</t>
        </is>
      </c>
      <c r="B212" s="1" t="n">
        <v>45803.6384375</v>
      </c>
      <c r="C212" s="1" t="n">
        <v>46011</v>
      </c>
      <c r="D212" t="inlineStr">
        <is>
          <t>UPPSALA LÄN</t>
        </is>
      </c>
      <c r="E212" t="inlineStr">
        <is>
          <t>HEBY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7497-2025</t>
        </is>
      </c>
      <c r="B213" s="1" t="n">
        <v>45705</v>
      </c>
      <c r="C213" s="1" t="n">
        <v>46011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1755-2022</t>
        </is>
      </c>
      <c r="B214" s="1" t="n">
        <v>44574</v>
      </c>
      <c r="C214" s="1" t="n">
        <v>46011</v>
      </c>
      <c r="D214" t="inlineStr">
        <is>
          <t>UPPSALA LÄN</t>
        </is>
      </c>
      <c r="E214" t="inlineStr">
        <is>
          <t>HEBY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20935-2024</t>
        </is>
      </c>
      <c r="B215" s="1" t="n">
        <v>45439.5318287037</v>
      </c>
      <c r="C215" s="1" t="n">
        <v>46011</v>
      </c>
      <c r="D215" t="inlineStr">
        <is>
          <t>UPPSALA LÄN</t>
        </is>
      </c>
      <c r="E215" t="inlineStr">
        <is>
          <t>HEBY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26100-2025</t>
        </is>
      </c>
      <c r="B216" s="1" t="n">
        <v>45805.35634259259</v>
      </c>
      <c r="C216" s="1" t="n">
        <v>46011</v>
      </c>
      <c r="D216" t="inlineStr">
        <is>
          <t>UPPSALA LÄN</t>
        </is>
      </c>
      <c r="E216" t="inlineStr">
        <is>
          <t>HEBY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39409-2025</t>
        </is>
      </c>
      <c r="B217" s="1" t="n">
        <v>45889</v>
      </c>
      <c r="C217" s="1" t="n">
        <v>46011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64899-2021</t>
        </is>
      </c>
      <c r="B218" s="1" t="n">
        <v>44512</v>
      </c>
      <c r="C218" s="1" t="n">
        <v>46011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26099-2025</t>
        </is>
      </c>
      <c r="B219" s="1" t="n">
        <v>45805.35449074074</v>
      </c>
      <c r="C219" s="1" t="n">
        <v>46011</v>
      </c>
      <c r="D219" t="inlineStr">
        <is>
          <t>UPPSALA LÄN</t>
        </is>
      </c>
      <c r="E219" t="inlineStr">
        <is>
          <t>HEBY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26849-2025</t>
        </is>
      </c>
      <c r="B220" s="1" t="n">
        <v>45810.66966435185</v>
      </c>
      <c r="C220" s="1" t="n">
        <v>46011</v>
      </c>
      <c r="D220" t="inlineStr">
        <is>
          <t>UPPSALA LÄN</t>
        </is>
      </c>
      <c r="E220" t="inlineStr">
        <is>
          <t>HEBY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13676-2024</t>
        </is>
      </c>
      <c r="B221" s="1" t="n">
        <v>45390.54846064815</v>
      </c>
      <c r="C221" s="1" t="n">
        <v>46011</v>
      </c>
      <c r="D221" t="inlineStr">
        <is>
          <t>UPPSALA LÄN</t>
        </is>
      </c>
      <c r="E221" t="inlineStr">
        <is>
          <t>HEBY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14884-2024</t>
        </is>
      </c>
      <c r="B222" s="1" t="n">
        <v>45398.54893518519</v>
      </c>
      <c r="C222" s="1" t="n">
        <v>46011</v>
      </c>
      <c r="D222" t="inlineStr">
        <is>
          <t>UPPSALA LÄN</t>
        </is>
      </c>
      <c r="E222" t="inlineStr">
        <is>
          <t>HEBY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60722-2022</t>
        </is>
      </c>
      <c r="B223" s="1" t="n">
        <v>44913</v>
      </c>
      <c r="C223" s="1" t="n">
        <v>46011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3466-2025</t>
        </is>
      </c>
      <c r="B224" s="1" t="n">
        <v>45680.50231481482</v>
      </c>
      <c r="C224" s="1" t="n">
        <v>46011</v>
      </c>
      <c r="D224" t="inlineStr">
        <is>
          <t>UPPSALA LÄN</t>
        </is>
      </c>
      <c r="E224" t="inlineStr">
        <is>
          <t>HEBY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23065-2023</t>
        </is>
      </c>
      <c r="B225" s="1" t="n">
        <v>45075</v>
      </c>
      <c r="C225" s="1" t="n">
        <v>46011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9758-2023</t>
        </is>
      </c>
      <c r="B226" s="1" t="n">
        <v>44984.56869212963</v>
      </c>
      <c r="C226" s="1" t="n">
        <v>46011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33366-2024</t>
        </is>
      </c>
      <c r="B227" s="1" t="n">
        <v>45519.42024305555</v>
      </c>
      <c r="C227" s="1" t="n">
        <v>46011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25525-2023</t>
        </is>
      </c>
      <c r="B228" s="1" t="n">
        <v>45089</v>
      </c>
      <c r="C228" s="1" t="n">
        <v>46011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26830-2025</t>
        </is>
      </c>
      <c r="B229" s="1" t="n">
        <v>45810.65658564815</v>
      </c>
      <c r="C229" s="1" t="n">
        <v>46011</v>
      </c>
      <c r="D229" t="inlineStr">
        <is>
          <t>UPPSALA LÄN</t>
        </is>
      </c>
      <c r="E229" t="inlineStr">
        <is>
          <t>HEBY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39831-2025</t>
        </is>
      </c>
      <c r="B230" s="1" t="n">
        <v>45891.55961805556</v>
      </c>
      <c r="C230" s="1" t="n">
        <v>46011</v>
      </c>
      <c r="D230" t="inlineStr">
        <is>
          <t>UPPSALA LÄN</t>
        </is>
      </c>
      <c r="E230" t="inlineStr">
        <is>
          <t>HEBY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56795-2024</t>
        </is>
      </c>
      <c r="B231" s="1" t="n">
        <v>45628.46144675926</v>
      </c>
      <c r="C231" s="1" t="n">
        <v>46011</v>
      </c>
      <c r="D231" t="inlineStr">
        <is>
          <t>UPPSALA LÄN</t>
        </is>
      </c>
      <c r="E231" t="inlineStr">
        <is>
          <t>HEBY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8199-2025</t>
        </is>
      </c>
      <c r="B232" s="1" t="n">
        <v>45708</v>
      </c>
      <c r="C232" s="1" t="n">
        <v>46011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49536-2024</t>
        </is>
      </c>
      <c r="B233" s="1" t="n">
        <v>45596</v>
      </c>
      <c r="C233" s="1" t="n">
        <v>46011</v>
      </c>
      <c r="D233" t="inlineStr">
        <is>
          <t>UPPSALA LÄN</t>
        </is>
      </c>
      <c r="E233" t="inlineStr">
        <is>
          <t>HEBY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39892-2025</t>
        </is>
      </c>
      <c r="B234" s="1" t="n">
        <v>45891.6290162037</v>
      </c>
      <c r="C234" s="1" t="n">
        <v>46011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26797-2025</t>
        </is>
      </c>
      <c r="B235" s="1" t="n">
        <v>45810.60292824074</v>
      </c>
      <c r="C235" s="1" t="n">
        <v>46011</v>
      </c>
      <c r="D235" t="inlineStr">
        <is>
          <t>UPPSALA LÄN</t>
        </is>
      </c>
      <c r="E235" t="inlineStr">
        <is>
          <t>HEBY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49392-2025</t>
        </is>
      </c>
      <c r="B236" s="1" t="n">
        <v>45938.65021990741</v>
      </c>
      <c r="C236" s="1" t="n">
        <v>46011</v>
      </c>
      <c r="D236" t="inlineStr">
        <is>
          <t>UPPSALA LÄN</t>
        </is>
      </c>
      <c r="E236" t="inlineStr">
        <is>
          <t>HEBY</t>
        </is>
      </c>
      <c r="G236" t="n">
        <v>14.3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3641-2022</t>
        </is>
      </c>
      <c r="B237" s="1" t="n">
        <v>44586.45454861111</v>
      </c>
      <c r="C237" s="1" t="n">
        <v>46011</v>
      </c>
      <c r="D237" t="inlineStr">
        <is>
          <t>UPPSALA LÄN</t>
        </is>
      </c>
      <c r="E237" t="inlineStr">
        <is>
          <t>HEBY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40435-2025</t>
        </is>
      </c>
      <c r="B238" s="1" t="n">
        <v>45895.61859953704</v>
      </c>
      <c r="C238" s="1" t="n">
        <v>46011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40455-2025</t>
        </is>
      </c>
      <c r="B239" s="1" t="n">
        <v>45895.63981481481</v>
      </c>
      <c r="C239" s="1" t="n">
        <v>46011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öst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40567-2025</t>
        </is>
      </c>
      <c r="B240" s="1" t="n">
        <v>45896.47104166666</v>
      </c>
      <c r="C240" s="1" t="n">
        <v>46011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öst AB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40475-2025</t>
        </is>
      </c>
      <c r="B241" s="1" t="n">
        <v>45895.68223379629</v>
      </c>
      <c r="C241" s="1" t="n">
        <v>46011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6618-2021</t>
        </is>
      </c>
      <c r="B242" s="1" t="n">
        <v>44235</v>
      </c>
      <c r="C242" s="1" t="n">
        <v>46011</v>
      </c>
      <c r="D242" t="inlineStr">
        <is>
          <t>UPPSALA LÄN</t>
        </is>
      </c>
      <c r="E242" t="inlineStr">
        <is>
          <t>HEBY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42859-2024</t>
        </is>
      </c>
      <c r="B243" s="1" t="n">
        <v>45566.65292824074</v>
      </c>
      <c r="C243" s="1" t="n">
        <v>46011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59015-2022</t>
        </is>
      </c>
      <c r="B244" s="1" t="n">
        <v>44903</v>
      </c>
      <c r="C244" s="1" t="n">
        <v>46011</v>
      </c>
      <c r="D244" t="inlineStr">
        <is>
          <t>UPPSALA LÄN</t>
        </is>
      </c>
      <c r="E244" t="inlineStr">
        <is>
          <t>HEBY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52254-2024</t>
        </is>
      </c>
      <c r="B245" s="1" t="n">
        <v>45608</v>
      </c>
      <c r="C245" s="1" t="n">
        <v>46011</v>
      </c>
      <c r="D245" t="inlineStr">
        <is>
          <t>UPPSALA LÄN</t>
        </is>
      </c>
      <c r="E245" t="inlineStr">
        <is>
          <t>HEBY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28288-2025</t>
        </is>
      </c>
      <c r="B246" s="1" t="n">
        <v>45818.59078703704</v>
      </c>
      <c r="C246" s="1" t="n">
        <v>46011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28296-2025</t>
        </is>
      </c>
      <c r="B247" s="1" t="n">
        <v>45818.59925925926</v>
      </c>
      <c r="C247" s="1" t="n">
        <v>46011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41216-2025</t>
        </is>
      </c>
      <c r="B248" s="1" t="n">
        <v>45898.58221064815</v>
      </c>
      <c r="C248" s="1" t="n">
        <v>46011</v>
      </c>
      <c r="D248" t="inlineStr">
        <is>
          <t>UPPSALA LÄN</t>
        </is>
      </c>
      <c r="E248" t="inlineStr">
        <is>
          <t>HEBY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41219-2025</t>
        </is>
      </c>
      <c r="B249" s="1" t="n">
        <v>45898</v>
      </c>
      <c r="C249" s="1" t="n">
        <v>46011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41246-2025</t>
        </is>
      </c>
      <c r="B250" s="1" t="n">
        <v>45898.6009375</v>
      </c>
      <c r="C250" s="1" t="n">
        <v>46011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28558-2025</t>
        </is>
      </c>
      <c r="B251" s="1" t="n">
        <v>45818</v>
      </c>
      <c r="C251" s="1" t="n">
        <v>46011</v>
      </c>
      <c r="D251" t="inlineStr">
        <is>
          <t>UPPSALA LÄN</t>
        </is>
      </c>
      <c r="E251" t="inlineStr">
        <is>
          <t>HEBY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1752-2022</t>
        </is>
      </c>
      <c r="B252" s="1" t="n">
        <v>44574</v>
      </c>
      <c r="C252" s="1" t="n">
        <v>46011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28561-2025</t>
        </is>
      </c>
      <c r="B253" s="1" t="n">
        <v>45818</v>
      </c>
      <c r="C253" s="1" t="n">
        <v>46011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33394-2024</t>
        </is>
      </c>
      <c r="B254" s="1" t="n">
        <v>45519</v>
      </c>
      <c r="C254" s="1" t="n">
        <v>46011</v>
      </c>
      <c r="D254" t="inlineStr">
        <is>
          <t>UPPSALA LÄN</t>
        </is>
      </c>
      <c r="E254" t="inlineStr">
        <is>
          <t>HEBY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28812-2025</t>
        </is>
      </c>
      <c r="B255" s="1" t="n">
        <v>45820</v>
      </c>
      <c r="C255" s="1" t="n">
        <v>46011</v>
      </c>
      <c r="D255" t="inlineStr">
        <is>
          <t>UPPSALA LÄN</t>
        </is>
      </c>
      <c r="E255" t="inlineStr">
        <is>
          <t>HEBY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33680-2023</t>
        </is>
      </c>
      <c r="B256" s="1" t="n">
        <v>45119</v>
      </c>
      <c r="C256" s="1" t="n">
        <v>46011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66.90000000000001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23890-2025</t>
        </is>
      </c>
      <c r="B257" s="1" t="n">
        <v>45793</v>
      </c>
      <c r="C257" s="1" t="n">
        <v>46011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35.2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42215-2025</t>
        </is>
      </c>
      <c r="B258" s="1" t="n">
        <v>45904.50881944445</v>
      </c>
      <c r="C258" s="1" t="n">
        <v>46011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öst AB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42216-2025</t>
        </is>
      </c>
      <c r="B259" s="1" t="n">
        <v>45904.51081018519</v>
      </c>
      <c r="C259" s="1" t="n">
        <v>46011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öst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2860-2023</t>
        </is>
      </c>
      <c r="B260" s="1" t="n">
        <v>44945.40924768519</v>
      </c>
      <c r="C260" s="1" t="n">
        <v>46011</v>
      </c>
      <c r="D260" t="inlineStr">
        <is>
          <t>UPPSALA LÄN</t>
        </is>
      </c>
      <c r="E260" t="inlineStr">
        <is>
          <t>HEBY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46011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29739-2025</t>
        </is>
      </c>
      <c r="B262" s="1" t="n">
        <v>45825.59010416667</v>
      </c>
      <c r="C262" s="1" t="n">
        <v>46011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29968-2025</t>
        </is>
      </c>
      <c r="B263" s="1" t="n">
        <v>45826.48962962963</v>
      </c>
      <c r="C263" s="1" t="n">
        <v>46011</v>
      </c>
      <c r="D263" t="inlineStr">
        <is>
          <t>UPPSALA LÄN</t>
        </is>
      </c>
      <c r="E263" t="inlineStr">
        <is>
          <t>HEBY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52292-2022</t>
        </is>
      </c>
      <c r="B264" s="1" t="n">
        <v>44873.67304398148</v>
      </c>
      <c r="C264" s="1" t="n">
        <v>46011</v>
      </c>
      <c r="D264" t="inlineStr">
        <is>
          <t>UPPSALA LÄN</t>
        </is>
      </c>
      <c r="E264" t="inlineStr">
        <is>
          <t>HEBY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29671-2025</t>
        </is>
      </c>
      <c r="B265" s="1" t="n">
        <v>45825.49863425926</v>
      </c>
      <c r="C265" s="1" t="n">
        <v>46011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29730-2025</t>
        </is>
      </c>
      <c r="B266" s="1" t="n">
        <v>45825.58105324074</v>
      </c>
      <c r="C266" s="1" t="n">
        <v>46011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43089-2024</t>
        </is>
      </c>
      <c r="B267" s="1" t="n">
        <v>45567</v>
      </c>
      <c r="C267" s="1" t="n">
        <v>46011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30418-2025</t>
        </is>
      </c>
      <c r="B268" s="1" t="n">
        <v>45827.60844907408</v>
      </c>
      <c r="C268" s="1" t="n">
        <v>46011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30440-2025</t>
        </is>
      </c>
      <c r="B269" s="1" t="n">
        <v>45827.64317129629</v>
      </c>
      <c r="C269" s="1" t="n">
        <v>46011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385-2025</t>
        </is>
      </c>
      <c r="B270" s="1" t="n">
        <v>45662.65241898148</v>
      </c>
      <c r="C270" s="1" t="n">
        <v>46011</v>
      </c>
      <c r="D270" t="inlineStr">
        <is>
          <t>UPPSALA LÄN</t>
        </is>
      </c>
      <c r="E270" t="inlineStr">
        <is>
          <t>HEBY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27842-2025</t>
        </is>
      </c>
      <c r="B271" s="1" t="n">
        <v>45817.38511574074</v>
      </c>
      <c r="C271" s="1" t="n">
        <v>46011</v>
      </c>
      <c r="D271" t="inlineStr">
        <is>
          <t>UPPSALA LÄN</t>
        </is>
      </c>
      <c r="E271" t="inlineStr">
        <is>
          <t>HEBY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69468-2020</t>
        </is>
      </c>
      <c r="B272" s="1" t="n">
        <v>44193</v>
      </c>
      <c r="C272" s="1" t="n">
        <v>46011</v>
      </c>
      <c r="D272" t="inlineStr">
        <is>
          <t>UPPSALA LÄN</t>
        </is>
      </c>
      <c r="E272" t="inlineStr">
        <is>
          <t>HEBY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6142-2021</t>
        </is>
      </c>
      <c r="B273" s="1" t="n">
        <v>44232</v>
      </c>
      <c r="C273" s="1" t="n">
        <v>46011</v>
      </c>
      <c r="D273" t="inlineStr">
        <is>
          <t>UPPSALA LÄN</t>
        </is>
      </c>
      <c r="E273" t="inlineStr">
        <is>
          <t>HEBY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5340-2024</t>
        </is>
      </c>
      <c r="B274" s="1" t="n">
        <v>45331.44074074074</v>
      </c>
      <c r="C274" s="1" t="n">
        <v>46011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21143-2023</t>
        </is>
      </c>
      <c r="B275" s="1" t="n">
        <v>45062</v>
      </c>
      <c r="C275" s="1" t="n">
        <v>46011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10241-2025</t>
        </is>
      </c>
      <c r="B276" s="1" t="n">
        <v>45720.3462037037</v>
      </c>
      <c r="C276" s="1" t="n">
        <v>46011</v>
      </c>
      <c r="D276" t="inlineStr">
        <is>
          <t>UPPSALA LÄN</t>
        </is>
      </c>
      <c r="E276" t="inlineStr">
        <is>
          <t>HEBY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19764-2023</t>
        </is>
      </c>
      <c r="B277" s="1" t="n">
        <v>45050</v>
      </c>
      <c r="C277" s="1" t="n">
        <v>46011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2553-2023</t>
        </is>
      </c>
      <c r="B278" s="1" t="n">
        <v>44943.67108796296</v>
      </c>
      <c r="C278" s="1" t="n">
        <v>46011</v>
      </c>
      <c r="D278" t="inlineStr">
        <is>
          <t>UPPSALA LÄN</t>
        </is>
      </c>
      <c r="E278" t="inlineStr">
        <is>
          <t>HEBY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2617-2023</t>
        </is>
      </c>
      <c r="B279" s="1" t="n">
        <v>44944</v>
      </c>
      <c r="C279" s="1" t="n">
        <v>46011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2641-2023</t>
        </is>
      </c>
      <c r="B280" s="1" t="n">
        <v>44944.41800925926</v>
      </c>
      <c r="C280" s="1" t="n">
        <v>46011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29570-2025</t>
        </is>
      </c>
      <c r="B281" s="1" t="n">
        <v>45825</v>
      </c>
      <c r="C281" s="1" t="n">
        <v>46011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31058-2025</t>
        </is>
      </c>
      <c r="B282" s="1" t="n">
        <v>45832.57018518518</v>
      </c>
      <c r="C282" s="1" t="n">
        <v>46011</v>
      </c>
      <c r="D282" t="inlineStr">
        <is>
          <t>UPPSALA LÄN</t>
        </is>
      </c>
      <c r="E282" t="inlineStr">
        <is>
          <t>HEBY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47072-2024</t>
        </is>
      </c>
      <c r="B283" s="1" t="n">
        <v>45586</v>
      </c>
      <c r="C283" s="1" t="n">
        <v>46011</v>
      </c>
      <c r="D283" t="inlineStr">
        <is>
          <t>UPPSALA LÄN</t>
        </is>
      </c>
      <c r="E283" t="inlineStr">
        <is>
          <t>HEBY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33103-2025</t>
        </is>
      </c>
      <c r="B284" s="1" t="n">
        <v>45832</v>
      </c>
      <c r="C284" s="1" t="n">
        <v>46011</v>
      </c>
      <c r="D284" t="inlineStr">
        <is>
          <t>UPPSALA LÄN</t>
        </is>
      </c>
      <c r="E284" t="inlineStr">
        <is>
          <t>HEBY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8046-2023</t>
        </is>
      </c>
      <c r="B285" s="1" t="n">
        <v>44974</v>
      </c>
      <c r="C285" s="1" t="n">
        <v>46011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43549-2025</t>
        </is>
      </c>
      <c r="B286" s="1" t="n">
        <v>45911.61762731482</v>
      </c>
      <c r="C286" s="1" t="n">
        <v>46011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33092-2025</t>
        </is>
      </c>
      <c r="B287" s="1" t="n">
        <v>45832</v>
      </c>
      <c r="C287" s="1" t="n">
        <v>46011</v>
      </c>
      <c r="D287" t="inlineStr">
        <is>
          <t>UPPSALA LÄN</t>
        </is>
      </c>
      <c r="E287" t="inlineStr">
        <is>
          <t>HEBY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43855-2025</t>
        </is>
      </c>
      <c r="B288" s="1" t="n">
        <v>45912.64322916666</v>
      </c>
      <c r="C288" s="1" t="n">
        <v>46011</v>
      </c>
      <c r="D288" t="inlineStr">
        <is>
          <t>UPPSALA LÄN</t>
        </is>
      </c>
      <c r="E288" t="inlineStr">
        <is>
          <t>HEBY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19132-2025</t>
        </is>
      </c>
      <c r="B289" s="1" t="n">
        <v>45764</v>
      </c>
      <c r="C289" s="1" t="n">
        <v>46011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2541-2023</t>
        </is>
      </c>
      <c r="B290" s="1" t="n">
        <v>44943.64856481482</v>
      </c>
      <c r="C290" s="1" t="n">
        <v>46011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29536-2023</t>
        </is>
      </c>
      <c r="B291" s="1" t="n">
        <v>45106.63622685185</v>
      </c>
      <c r="C291" s="1" t="n">
        <v>46011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206-2024</t>
        </is>
      </c>
      <c r="B292" s="1" t="n">
        <v>45294.65653935185</v>
      </c>
      <c r="C292" s="1" t="n">
        <v>46011</v>
      </c>
      <c r="D292" t="inlineStr">
        <is>
          <t>UPPSALA LÄN</t>
        </is>
      </c>
      <c r="E292" t="inlineStr">
        <is>
          <t>HEBY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15787-2025</t>
        </is>
      </c>
      <c r="B293" s="1" t="n">
        <v>45748.62291666667</v>
      </c>
      <c r="C293" s="1" t="n">
        <v>46011</v>
      </c>
      <c r="D293" t="inlineStr">
        <is>
          <t>UPPSALA LÄN</t>
        </is>
      </c>
      <c r="E293" t="inlineStr">
        <is>
          <t>HEBY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31330-2025</t>
        </is>
      </c>
      <c r="B294" s="1" t="n">
        <v>45833.41546296296</v>
      </c>
      <c r="C294" s="1" t="n">
        <v>46011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öst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26421-2023</t>
        </is>
      </c>
      <c r="B295" s="1" t="n">
        <v>45092</v>
      </c>
      <c r="C295" s="1" t="n">
        <v>46011</v>
      </c>
      <c r="D295" t="inlineStr">
        <is>
          <t>UPPSALA LÄN</t>
        </is>
      </c>
      <c r="E295" t="inlineStr">
        <is>
          <t>HEBY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26449-2023</t>
        </is>
      </c>
      <c r="B296" s="1" t="n">
        <v>45092</v>
      </c>
      <c r="C296" s="1" t="n">
        <v>46011</v>
      </c>
      <c r="D296" t="inlineStr">
        <is>
          <t>UPPSALA LÄN</t>
        </is>
      </c>
      <c r="E296" t="inlineStr">
        <is>
          <t>HEBY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19132-2025</t>
        </is>
      </c>
      <c r="B297" s="1" t="n">
        <v>45764</v>
      </c>
      <c r="C297" s="1" t="n">
        <v>46011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43.4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31795-2025</t>
        </is>
      </c>
      <c r="B298" s="1" t="n">
        <v>45834.54577546296</v>
      </c>
      <c r="C298" s="1" t="n">
        <v>46011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31813-2025</t>
        </is>
      </c>
      <c r="B299" s="1" t="n">
        <v>45834.56706018518</v>
      </c>
      <c r="C299" s="1" t="n">
        <v>46011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61453-2022</t>
        </is>
      </c>
      <c r="B300" s="1" t="n">
        <v>44916.41059027778</v>
      </c>
      <c r="C300" s="1" t="n">
        <v>46011</v>
      </c>
      <c r="D300" t="inlineStr">
        <is>
          <t>UPPSALA LÄN</t>
        </is>
      </c>
      <c r="E300" t="inlineStr">
        <is>
          <t>HEBY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10069-2024</t>
        </is>
      </c>
      <c r="B301" s="1" t="n">
        <v>45364</v>
      </c>
      <c r="C301" s="1" t="n">
        <v>46011</v>
      </c>
      <c r="D301" t="inlineStr">
        <is>
          <t>UPPSALA LÄN</t>
        </is>
      </c>
      <c r="E301" t="inlineStr">
        <is>
          <t>HEBY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10072-2024</t>
        </is>
      </c>
      <c r="B302" s="1" t="n">
        <v>45364</v>
      </c>
      <c r="C302" s="1" t="n">
        <v>46011</v>
      </c>
      <c r="D302" t="inlineStr">
        <is>
          <t>UPPSALA LÄN</t>
        </is>
      </c>
      <c r="E302" t="inlineStr">
        <is>
          <t>HEBY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32435-2025</t>
        </is>
      </c>
      <c r="B303" s="1" t="n">
        <v>45838</v>
      </c>
      <c r="C303" s="1" t="n">
        <v>46011</v>
      </c>
      <c r="D303" t="inlineStr">
        <is>
          <t>UPPSALA LÄN</t>
        </is>
      </c>
      <c r="E303" t="inlineStr">
        <is>
          <t>HEBY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32432-2025</t>
        </is>
      </c>
      <c r="B304" s="1" t="n">
        <v>45838.37053240741</v>
      </c>
      <c r="C304" s="1" t="n">
        <v>46011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32545-2025</t>
        </is>
      </c>
      <c r="B305" s="1" t="n">
        <v>45838</v>
      </c>
      <c r="C305" s="1" t="n">
        <v>46011</v>
      </c>
      <c r="D305" t="inlineStr">
        <is>
          <t>UPPSALA LÄN</t>
        </is>
      </c>
      <c r="E305" t="inlineStr">
        <is>
          <t>HEBY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45440-2025</t>
        </is>
      </c>
      <c r="B306" s="1" t="n">
        <v>45922.47185185185</v>
      </c>
      <c r="C306" s="1" t="n">
        <v>46011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32547-2025</t>
        </is>
      </c>
      <c r="B307" s="1" t="n">
        <v>45838.53759259259</v>
      </c>
      <c r="C307" s="1" t="n">
        <v>46011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11011-2025</t>
        </is>
      </c>
      <c r="B308" s="1" t="n">
        <v>45723.45540509259</v>
      </c>
      <c r="C308" s="1" t="n">
        <v>46011</v>
      </c>
      <c r="D308" t="inlineStr">
        <is>
          <t>UPPSALA LÄN</t>
        </is>
      </c>
      <c r="E308" t="inlineStr">
        <is>
          <t>HEBY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56884-2022</t>
        </is>
      </c>
      <c r="B309" s="1" t="n">
        <v>44888</v>
      </c>
      <c r="C309" s="1" t="n">
        <v>46011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45382-2025</t>
        </is>
      </c>
      <c r="B310" s="1" t="n">
        <v>45922.40297453704</v>
      </c>
      <c r="C310" s="1" t="n">
        <v>46011</v>
      </c>
      <c r="D310" t="inlineStr">
        <is>
          <t>UPPSALA LÄN</t>
        </is>
      </c>
      <c r="E310" t="inlineStr">
        <is>
          <t>HEBY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33025-2025</t>
        </is>
      </c>
      <c r="B311" s="1" t="n">
        <v>45840</v>
      </c>
      <c r="C311" s="1" t="n">
        <v>46011</v>
      </c>
      <c r="D311" t="inlineStr">
        <is>
          <t>UPPSALA LÄN</t>
        </is>
      </c>
      <c r="E311" t="inlineStr">
        <is>
          <t>HEBY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45417-2025</t>
        </is>
      </c>
      <c r="B312" s="1" t="n">
        <v>45922.44664351852</v>
      </c>
      <c r="C312" s="1" t="n">
        <v>46011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13603-2023</t>
        </is>
      </c>
      <c r="B313" s="1" t="n">
        <v>45006</v>
      </c>
      <c r="C313" s="1" t="n">
        <v>46011</v>
      </c>
      <c r="D313" t="inlineStr">
        <is>
          <t>UPPSALA LÄN</t>
        </is>
      </c>
      <c r="E313" t="inlineStr">
        <is>
          <t>HEBY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21293-2023</t>
        </is>
      </c>
      <c r="B314" s="1" t="n">
        <v>45058</v>
      </c>
      <c r="C314" s="1" t="n">
        <v>46011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7195-2021</t>
        </is>
      </c>
      <c r="B315" s="1" t="n">
        <v>44238</v>
      </c>
      <c r="C315" s="1" t="n">
        <v>46011</v>
      </c>
      <c r="D315" t="inlineStr">
        <is>
          <t>UPPSALA LÄN</t>
        </is>
      </c>
      <c r="E315" t="inlineStr">
        <is>
          <t>HEBY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21000-2022</t>
        </is>
      </c>
      <c r="B316" s="1" t="n">
        <v>44701</v>
      </c>
      <c r="C316" s="1" t="n">
        <v>46011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34072-2025</t>
        </is>
      </c>
      <c r="B317" s="1" t="n">
        <v>45845</v>
      </c>
      <c r="C317" s="1" t="n">
        <v>46011</v>
      </c>
      <c r="D317" t="inlineStr">
        <is>
          <t>UPPSALA LÄN</t>
        </is>
      </c>
      <c r="E317" t="inlineStr">
        <is>
          <t>HEBY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29747-2025</t>
        </is>
      </c>
      <c r="B318" s="1" t="n">
        <v>45825</v>
      </c>
      <c r="C318" s="1" t="n">
        <v>46011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46530-2025</t>
        </is>
      </c>
      <c r="B319" s="1" t="n">
        <v>45926.33668981482</v>
      </c>
      <c r="C319" s="1" t="n">
        <v>46011</v>
      </c>
      <c r="D319" t="inlineStr">
        <is>
          <t>UPPSALA LÄN</t>
        </is>
      </c>
      <c r="E319" t="inlineStr">
        <is>
          <t>HEBY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13126-2021</t>
        </is>
      </c>
      <c r="B320" s="1" t="n">
        <v>44272</v>
      </c>
      <c r="C320" s="1" t="n">
        <v>46011</v>
      </c>
      <c r="D320" t="inlineStr">
        <is>
          <t>UPPSALA LÄN</t>
        </is>
      </c>
      <c r="E320" t="inlineStr">
        <is>
          <t>HEBY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46407-2025</t>
        </is>
      </c>
      <c r="B321" s="1" t="n">
        <v>45925</v>
      </c>
      <c r="C321" s="1" t="n">
        <v>46011</v>
      </c>
      <c r="D321" t="inlineStr">
        <is>
          <t>UPPSALA LÄN</t>
        </is>
      </c>
      <c r="E321" t="inlineStr">
        <is>
          <t>HEBY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34016-2025</t>
        </is>
      </c>
      <c r="B322" s="1" t="n">
        <v>45845</v>
      </c>
      <c r="C322" s="1" t="n">
        <v>46011</v>
      </c>
      <c r="D322" t="inlineStr">
        <is>
          <t>UPPSALA LÄN</t>
        </is>
      </c>
      <c r="E322" t="inlineStr">
        <is>
          <t>HEBY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6523-2022</t>
        </is>
      </c>
      <c r="B323" s="1" t="n">
        <v>44601</v>
      </c>
      <c r="C323" s="1" t="n">
        <v>46011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46406-2025</t>
        </is>
      </c>
      <c r="B324" s="1" t="n">
        <v>45925</v>
      </c>
      <c r="C324" s="1" t="n">
        <v>46011</v>
      </c>
      <c r="D324" t="inlineStr">
        <is>
          <t>UPPSALA LÄN</t>
        </is>
      </c>
      <c r="E324" t="inlineStr">
        <is>
          <t>HEBY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18278-2024</t>
        </is>
      </c>
      <c r="B325" s="1" t="n">
        <v>45422.31803240741</v>
      </c>
      <c r="C325" s="1" t="n">
        <v>46011</v>
      </c>
      <c r="D325" t="inlineStr">
        <is>
          <t>UPPSALA LÄN</t>
        </is>
      </c>
      <c r="E325" t="inlineStr">
        <is>
          <t>HEBY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46576-2025</t>
        </is>
      </c>
      <c r="B326" s="1" t="n">
        <v>45926.37047453703</v>
      </c>
      <c r="C326" s="1" t="n">
        <v>46011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55571-2025</t>
        </is>
      </c>
      <c r="B327" s="1" t="n">
        <v>45971.65747685185</v>
      </c>
      <c r="C327" s="1" t="n">
        <v>46011</v>
      </c>
      <c r="D327" t="inlineStr">
        <is>
          <t>UPPSALA LÄN</t>
        </is>
      </c>
      <c r="E327" t="inlineStr">
        <is>
          <t>HEBY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34559-2025</t>
        </is>
      </c>
      <c r="B328" s="1" t="n">
        <v>45847.574375</v>
      </c>
      <c r="C328" s="1" t="n">
        <v>46011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55810-2025</t>
        </is>
      </c>
      <c r="B329" s="1" t="n">
        <v>45972.67861111111</v>
      </c>
      <c r="C329" s="1" t="n">
        <v>46011</v>
      </c>
      <c r="D329" t="inlineStr">
        <is>
          <t>UPPSALA LÄN</t>
        </is>
      </c>
      <c r="E329" t="inlineStr">
        <is>
          <t>HEBY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19990-2022</t>
        </is>
      </c>
      <c r="B330" s="1" t="n">
        <v>44697</v>
      </c>
      <c r="C330" s="1" t="n">
        <v>46011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14.3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55763-2025</t>
        </is>
      </c>
      <c r="B331" s="1" t="n">
        <v>45972.60763888889</v>
      </c>
      <c r="C331" s="1" t="n">
        <v>46011</v>
      </c>
      <c r="D331" t="inlineStr">
        <is>
          <t>UPPSALA LÄN</t>
        </is>
      </c>
      <c r="E331" t="inlineStr">
        <is>
          <t>HEBY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34596-2025</t>
        </is>
      </c>
      <c r="B332" s="1" t="n">
        <v>45847.64015046296</v>
      </c>
      <c r="C332" s="1" t="n">
        <v>46011</v>
      </c>
      <c r="D332" t="inlineStr">
        <is>
          <t>UPPSALA LÄN</t>
        </is>
      </c>
      <c r="E332" t="inlineStr">
        <is>
          <t>HEBY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35265-2025</t>
        </is>
      </c>
      <c r="B333" s="1" t="n">
        <v>45852</v>
      </c>
      <c r="C333" s="1" t="n">
        <v>46011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47491-2025</t>
        </is>
      </c>
      <c r="B334" s="1" t="n">
        <v>45930.70885416667</v>
      </c>
      <c r="C334" s="1" t="n">
        <v>46011</v>
      </c>
      <c r="D334" t="inlineStr">
        <is>
          <t>UPPSALA LÄN</t>
        </is>
      </c>
      <c r="E334" t="inlineStr">
        <is>
          <t>HEBY</t>
        </is>
      </c>
      <c r="F334" t="inlineStr">
        <is>
          <t>Allmännings- och besparingsskogar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35083-2025</t>
        </is>
      </c>
      <c r="B335" s="1" t="n">
        <v>45852.49586805556</v>
      </c>
      <c r="C335" s="1" t="n">
        <v>46011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55665-2025</t>
        </is>
      </c>
      <c r="B336" s="1" t="n">
        <v>45972.39640046296</v>
      </c>
      <c r="C336" s="1" t="n">
        <v>46011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47410-2025</t>
        </is>
      </c>
      <c r="B337" s="1" t="n">
        <v>45930.61623842592</v>
      </c>
      <c r="C337" s="1" t="n">
        <v>46011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46863-2025</t>
        </is>
      </c>
      <c r="B338" s="1" t="n">
        <v>45929</v>
      </c>
      <c r="C338" s="1" t="n">
        <v>46011</v>
      </c>
      <c r="D338" t="inlineStr">
        <is>
          <t>UPPSALA LÄN</t>
        </is>
      </c>
      <c r="E338" t="inlineStr">
        <is>
          <t>HEBY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55574-2025</t>
        </is>
      </c>
      <c r="B339" s="1" t="n">
        <v>45971.66030092593</v>
      </c>
      <c r="C339" s="1" t="n">
        <v>46011</v>
      </c>
      <c r="D339" t="inlineStr">
        <is>
          <t>UPPSALA LÄN</t>
        </is>
      </c>
      <c r="E339" t="inlineStr">
        <is>
          <t>HEBY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46011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35106-2025</t>
        </is>
      </c>
      <c r="B341" s="1" t="n">
        <v>45852</v>
      </c>
      <c r="C341" s="1" t="n">
        <v>46011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35111-2025</t>
        </is>
      </c>
      <c r="B342" s="1" t="n">
        <v>45852.58091435185</v>
      </c>
      <c r="C342" s="1" t="n">
        <v>46011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11675-2021</t>
        </is>
      </c>
      <c r="B343" s="1" t="n">
        <v>44264</v>
      </c>
      <c r="C343" s="1" t="n">
        <v>46011</v>
      </c>
      <c r="D343" t="inlineStr">
        <is>
          <t>UPPSALA LÄN</t>
        </is>
      </c>
      <c r="E343" t="inlineStr">
        <is>
          <t>HEBY</t>
        </is>
      </c>
      <c r="F343" t="inlineStr">
        <is>
          <t>Övriga Aktiebolag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26559-2023</t>
        </is>
      </c>
      <c r="B344" s="1" t="n">
        <v>45092.61706018518</v>
      </c>
      <c r="C344" s="1" t="n">
        <v>46011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34886-2025</t>
        </is>
      </c>
      <c r="B345" s="1" t="n">
        <v>45849.47375</v>
      </c>
      <c r="C345" s="1" t="n">
        <v>46011</v>
      </c>
      <c r="D345" t="inlineStr">
        <is>
          <t>UPPSALA LÄN</t>
        </is>
      </c>
      <c r="E345" t="inlineStr">
        <is>
          <t>HEBY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30891-2023</t>
        </is>
      </c>
      <c r="B346" s="1" t="n">
        <v>45113</v>
      </c>
      <c r="C346" s="1" t="n">
        <v>46011</v>
      </c>
      <c r="D346" t="inlineStr">
        <is>
          <t>UPPSALA LÄN</t>
        </is>
      </c>
      <c r="E346" t="inlineStr">
        <is>
          <t>HEBY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35080-2025</t>
        </is>
      </c>
      <c r="B347" s="1" t="n">
        <v>45852.48943287037</v>
      </c>
      <c r="C347" s="1" t="n">
        <v>46011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64888-2023</t>
        </is>
      </c>
      <c r="B348" s="1" t="n">
        <v>45282</v>
      </c>
      <c r="C348" s="1" t="n">
        <v>46011</v>
      </c>
      <c r="D348" t="inlineStr">
        <is>
          <t>UPPSALA LÄN</t>
        </is>
      </c>
      <c r="E348" t="inlineStr">
        <is>
          <t>HEBY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55488-2025</t>
        </is>
      </c>
      <c r="B349" s="1" t="n">
        <v>45971.57480324074</v>
      </c>
      <c r="C349" s="1" t="n">
        <v>46011</v>
      </c>
      <c r="D349" t="inlineStr">
        <is>
          <t>UPPSALA LÄN</t>
        </is>
      </c>
      <c r="E349" t="inlineStr">
        <is>
          <t>HEBY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55380-2025</t>
        </is>
      </c>
      <c r="B350" s="1" t="n">
        <v>45971.42809027778</v>
      </c>
      <c r="C350" s="1" t="n">
        <v>46011</v>
      </c>
      <c r="D350" t="inlineStr">
        <is>
          <t>UPPSALA LÄN</t>
        </is>
      </c>
      <c r="E350" t="inlineStr">
        <is>
          <t>HEBY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55496-2025</t>
        </is>
      </c>
      <c r="B351" s="1" t="n">
        <v>45971.58236111111</v>
      </c>
      <c r="C351" s="1" t="n">
        <v>46011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35296-2025</t>
        </is>
      </c>
      <c r="B352" s="1" t="n">
        <v>45854.40615740741</v>
      </c>
      <c r="C352" s="1" t="n">
        <v>46011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4487-2023</t>
        </is>
      </c>
      <c r="B353" s="1" t="n">
        <v>44956</v>
      </c>
      <c r="C353" s="1" t="n">
        <v>46011</v>
      </c>
      <c r="D353" t="inlineStr">
        <is>
          <t>UPPSALA LÄN</t>
        </is>
      </c>
      <c r="E353" t="inlineStr">
        <is>
          <t>HEBY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35257-2025</t>
        </is>
      </c>
      <c r="B354" s="1" t="n">
        <v>45853.7616087963</v>
      </c>
      <c r="C354" s="1" t="n">
        <v>46011</v>
      </c>
      <c r="D354" t="inlineStr">
        <is>
          <t>UPPSALA LÄN</t>
        </is>
      </c>
      <c r="E354" t="inlineStr">
        <is>
          <t>HEBY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55644-2024</t>
        </is>
      </c>
      <c r="B355" s="1" t="n">
        <v>45622.6241087963</v>
      </c>
      <c r="C355" s="1" t="n">
        <v>46011</v>
      </c>
      <c r="D355" t="inlineStr">
        <is>
          <t>UPPSALA LÄN</t>
        </is>
      </c>
      <c r="E355" t="inlineStr">
        <is>
          <t>HEBY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5570-2023</t>
        </is>
      </c>
      <c r="B356" s="1" t="n">
        <v>44960.48622685186</v>
      </c>
      <c r="C356" s="1" t="n">
        <v>46011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35517-2025</t>
        </is>
      </c>
      <c r="B357" s="1" t="n">
        <v>45856.40909722223</v>
      </c>
      <c r="C357" s="1" t="n">
        <v>46011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59382-2024</t>
        </is>
      </c>
      <c r="B358" s="1" t="n">
        <v>45638.35512731481</v>
      </c>
      <c r="C358" s="1" t="n">
        <v>46011</v>
      </c>
      <c r="D358" t="inlineStr">
        <is>
          <t>UPPSALA LÄN</t>
        </is>
      </c>
      <c r="E358" t="inlineStr">
        <is>
          <t>HEBY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47846-2025</t>
        </is>
      </c>
      <c r="B359" s="1" t="n">
        <v>45932.38228009259</v>
      </c>
      <c r="C359" s="1" t="n">
        <v>46011</v>
      </c>
      <c r="D359" t="inlineStr">
        <is>
          <t>UPPSALA LÄN</t>
        </is>
      </c>
      <c r="E359" t="inlineStr">
        <is>
          <t>HEBY</t>
        </is>
      </c>
      <c r="F359" t="inlineStr">
        <is>
          <t>Allmännings- och besparingsskogar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35528-2025</t>
        </is>
      </c>
      <c r="B360" s="1" t="n">
        <v>45856.43204861111</v>
      </c>
      <c r="C360" s="1" t="n">
        <v>46011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35519-2025</t>
        </is>
      </c>
      <c r="B361" s="1" t="n">
        <v>45856.41048611111</v>
      </c>
      <c r="C361" s="1" t="n">
        <v>46011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3371-2024</t>
        </is>
      </c>
      <c r="B362" s="1" t="n">
        <v>45317</v>
      </c>
      <c r="C362" s="1" t="n">
        <v>46011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3374-2024</t>
        </is>
      </c>
      <c r="B363" s="1" t="n">
        <v>45317</v>
      </c>
      <c r="C363" s="1" t="n">
        <v>46011</v>
      </c>
      <c r="D363" t="inlineStr">
        <is>
          <t>UPPSALA LÄN</t>
        </is>
      </c>
      <c r="E363" t="inlineStr">
        <is>
          <t>HEBY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9675-2023</t>
        </is>
      </c>
      <c r="B364" s="1" t="n">
        <v>44984.43454861111</v>
      </c>
      <c r="C364" s="1" t="n">
        <v>46011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47890-2025</t>
        </is>
      </c>
      <c r="B365" s="1" t="n">
        <v>45932.47104166666</v>
      </c>
      <c r="C365" s="1" t="n">
        <v>46011</v>
      </c>
      <c r="D365" t="inlineStr">
        <is>
          <t>UPPSALA LÄN</t>
        </is>
      </c>
      <c r="E365" t="inlineStr">
        <is>
          <t>HEBY</t>
        </is>
      </c>
      <c r="F365" t="inlineStr">
        <is>
          <t>Allmännings- och besparingsskogar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70158-2021</t>
        </is>
      </c>
      <c r="B366" s="1" t="n">
        <v>44533</v>
      </c>
      <c r="C366" s="1" t="n">
        <v>46011</v>
      </c>
      <c r="D366" t="inlineStr">
        <is>
          <t>UPPSALA LÄN</t>
        </is>
      </c>
      <c r="E366" t="inlineStr">
        <is>
          <t>HEBY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47861-2025</t>
        </is>
      </c>
      <c r="B367" s="1" t="n">
        <v>45932.42315972222</v>
      </c>
      <c r="C367" s="1" t="n">
        <v>46011</v>
      </c>
      <c r="D367" t="inlineStr">
        <is>
          <t>UPPSALA LÄN</t>
        </is>
      </c>
      <c r="E367" t="inlineStr">
        <is>
          <t>HEBY</t>
        </is>
      </c>
      <c r="F367" t="inlineStr">
        <is>
          <t>Allmännings- och besparingsskogar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191-2024</t>
        </is>
      </c>
      <c r="B368" s="1" t="n">
        <v>45294</v>
      </c>
      <c r="C368" s="1" t="n">
        <v>46011</v>
      </c>
      <c r="D368" t="inlineStr">
        <is>
          <t>UPPSALA LÄN</t>
        </is>
      </c>
      <c r="E368" t="inlineStr">
        <is>
          <t>HEBY</t>
        </is>
      </c>
      <c r="F368" t="inlineStr">
        <is>
          <t>Kommuner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48689-2025</t>
        </is>
      </c>
      <c r="B369" s="1" t="n">
        <v>45936.60976851852</v>
      </c>
      <c r="C369" s="1" t="n">
        <v>46011</v>
      </c>
      <c r="D369" t="inlineStr">
        <is>
          <t>UPPSALA LÄN</t>
        </is>
      </c>
      <c r="E369" t="inlineStr">
        <is>
          <t>HEBY</t>
        </is>
      </c>
      <c r="G369" t="n">
        <v>12.1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36164-2025</t>
        </is>
      </c>
      <c r="B370" s="1" t="n">
        <v>45867.3707175926</v>
      </c>
      <c r="C370" s="1" t="n">
        <v>46011</v>
      </c>
      <c r="D370" t="inlineStr">
        <is>
          <t>UPPSALA LÄN</t>
        </is>
      </c>
      <c r="E370" t="inlineStr">
        <is>
          <t>HEBY</t>
        </is>
      </c>
      <c r="F370" t="inlineStr">
        <is>
          <t>Övriga Aktiebolag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47508-2025</t>
        </is>
      </c>
      <c r="B371" s="1" t="n">
        <v>45930.87245370371</v>
      </c>
      <c r="C371" s="1" t="n">
        <v>46011</v>
      </c>
      <c r="D371" t="inlineStr">
        <is>
          <t>UPPSALA LÄN</t>
        </is>
      </c>
      <c r="E371" t="inlineStr">
        <is>
          <t>HEBY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27836-2025</t>
        </is>
      </c>
      <c r="B372" s="1" t="n">
        <v>45817.37181712963</v>
      </c>
      <c r="C372" s="1" t="n">
        <v>46011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2491-2025</t>
        </is>
      </c>
      <c r="B373" s="1" t="n">
        <v>45674</v>
      </c>
      <c r="C373" s="1" t="n">
        <v>46011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43957-2021</t>
        </is>
      </c>
      <c r="B374" s="1" t="n">
        <v>44434.43853009259</v>
      </c>
      <c r="C374" s="1" t="n">
        <v>46011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20230-2021</t>
        </is>
      </c>
      <c r="B375" s="1" t="n">
        <v>44314</v>
      </c>
      <c r="C375" s="1" t="n">
        <v>46011</v>
      </c>
      <c r="D375" t="inlineStr">
        <is>
          <t>UPPSALA LÄN</t>
        </is>
      </c>
      <c r="E375" t="inlineStr">
        <is>
          <t>HEBY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47506-2025</t>
        </is>
      </c>
      <c r="B376" s="1" t="n">
        <v>45930.86828703704</v>
      </c>
      <c r="C376" s="1" t="n">
        <v>46011</v>
      </c>
      <c r="D376" t="inlineStr">
        <is>
          <t>UPPSALA LÄN</t>
        </is>
      </c>
      <c r="E376" t="inlineStr">
        <is>
          <t>HEBY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17580-2021</t>
        </is>
      </c>
      <c r="B377" s="1" t="n">
        <v>44299</v>
      </c>
      <c r="C377" s="1" t="n">
        <v>46011</v>
      </c>
      <c r="D377" t="inlineStr">
        <is>
          <t>UPPSALA LÄN</t>
        </is>
      </c>
      <c r="E377" t="inlineStr">
        <is>
          <t>HEBY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35868-2022</t>
        </is>
      </c>
      <c r="B378" s="1" t="n">
        <v>44802.4437962963</v>
      </c>
      <c r="C378" s="1" t="n">
        <v>46011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57377-2025</t>
        </is>
      </c>
      <c r="B379" s="1" t="n">
        <v>45980.39798611111</v>
      </c>
      <c r="C379" s="1" t="n">
        <v>46011</v>
      </c>
      <c r="D379" t="inlineStr">
        <is>
          <t>UPPSALA LÄN</t>
        </is>
      </c>
      <c r="E379" t="inlineStr">
        <is>
          <t>HEBY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37316-2025</t>
        </is>
      </c>
      <c r="B380" s="1" t="n">
        <v>45876.61597222222</v>
      </c>
      <c r="C380" s="1" t="n">
        <v>46011</v>
      </c>
      <c r="D380" t="inlineStr">
        <is>
          <t>UPPSALA LÄN</t>
        </is>
      </c>
      <c r="E380" t="inlineStr">
        <is>
          <t>HEBY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57397-2025</t>
        </is>
      </c>
      <c r="B381" s="1" t="n">
        <v>45980.43013888889</v>
      </c>
      <c r="C381" s="1" t="n">
        <v>46011</v>
      </c>
      <c r="D381" t="inlineStr">
        <is>
          <t>UPPSALA LÄN</t>
        </is>
      </c>
      <c r="E381" t="inlineStr">
        <is>
          <t>HEBY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57403-2025</t>
        </is>
      </c>
      <c r="B382" s="1" t="n">
        <v>45980.43474537037</v>
      </c>
      <c r="C382" s="1" t="n">
        <v>46011</v>
      </c>
      <c r="D382" t="inlineStr">
        <is>
          <t>UPPSALA LÄN</t>
        </is>
      </c>
      <c r="E382" t="inlineStr">
        <is>
          <t>HEBY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23836-2024</t>
        </is>
      </c>
      <c r="B383" s="1" t="n">
        <v>45455</v>
      </c>
      <c r="C383" s="1" t="n">
        <v>46011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16083-2025</t>
        </is>
      </c>
      <c r="B384" s="1" t="n">
        <v>45749.80582175926</v>
      </c>
      <c r="C384" s="1" t="n">
        <v>46011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43179-2021</t>
        </is>
      </c>
      <c r="B385" s="1" t="n">
        <v>44431</v>
      </c>
      <c r="C385" s="1" t="n">
        <v>46011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57704-2024</t>
        </is>
      </c>
      <c r="B386" s="1" t="n">
        <v>45630</v>
      </c>
      <c r="C386" s="1" t="n">
        <v>46011</v>
      </c>
      <c r="D386" t="inlineStr">
        <is>
          <t>UPPSALA LÄN</t>
        </is>
      </c>
      <c r="E386" t="inlineStr">
        <is>
          <t>HEBY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21302-2023</t>
        </is>
      </c>
      <c r="B387" s="1" t="n">
        <v>45058</v>
      </c>
      <c r="C387" s="1" t="n">
        <v>46011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57803-2025</t>
        </is>
      </c>
      <c r="B388" s="1" t="n">
        <v>45981.58480324074</v>
      </c>
      <c r="C388" s="1" t="n">
        <v>46011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6450-2025</t>
        </is>
      </c>
      <c r="B389" s="1" t="n">
        <v>45699.54886574074</v>
      </c>
      <c r="C389" s="1" t="n">
        <v>46011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57973-2025</t>
        </is>
      </c>
      <c r="B390" s="1" t="n">
        <v>45982.39260416666</v>
      </c>
      <c r="C390" s="1" t="n">
        <v>46011</v>
      </c>
      <c r="D390" t="inlineStr">
        <is>
          <t>UPPSALA LÄN</t>
        </is>
      </c>
      <c r="E390" t="inlineStr">
        <is>
          <t>HEBY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719-2025</t>
        </is>
      </c>
      <c r="B391" s="1" t="n">
        <v>45665.37409722222</v>
      </c>
      <c r="C391" s="1" t="n">
        <v>46011</v>
      </c>
      <c r="D391" t="inlineStr">
        <is>
          <t>UPPSALA LÄN</t>
        </is>
      </c>
      <c r="E391" t="inlineStr">
        <is>
          <t>HEBY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38168-2025</t>
        </is>
      </c>
      <c r="B392" s="1" t="n">
        <v>45882</v>
      </c>
      <c r="C392" s="1" t="n">
        <v>46011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13535-2025</t>
        </is>
      </c>
      <c r="B393" s="1" t="n">
        <v>45736.51150462963</v>
      </c>
      <c r="C393" s="1" t="n">
        <v>46011</v>
      </c>
      <c r="D393" t="inlineStr">
        <is>
          <t>UPPSALA LÄN</t>
        </is>
      </c>
      <c r="E393" t="inlineStr">
        <is>
          <t>HEBY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20995-2025</t>
        </is>
      </c>
      <c r="B394" s="1" t="n">
        <v>45777</v>
      </c>
      <c r="C394" s="1" t="n">
        <v>46011</v>
      </c>
      <c r="D394" t="inlineStr">
        <is>
          <t>UPPSALA LÄN</t>
        </is>
      </c>
      <c r="E394" t="inlineStr">
        <is>
          <t>HEBY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16660-2023</t>
        </is>
      </c>
      <c r="B395" s="1" t="n">
        <v>45030.54038194445</v>
      </c>
      <c r="C395" s="1" t="n">
        <v>46011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1086-2025</t>
        </is>
      </c>
      <c r="B396" s="1" t="n">
        <v>45666</v>
      </c>
      <c r="C396" s="1" t="n">
        <v>46011</v>
      </c>
      <c r="D396" t="inlineStr">
        <is>
          <t>UPPSALA LÄN</t>
        </is>
      </c>
      <c r="E396" t="inlineStr">
        <is>
          <t>HEBY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57971-2025</t>
        </is>
      </c>
      <c r="B397" s="1" t="n">
        <v>45982.3860300926</v>
      </c>
      <c r="C397" s="1" t="n">
        <v>46011</v>
      </c>
      <c r="D397" t="inlineStr">
        <is>
          <t>UPPSALA LÄN</t>
        </is>
      </c>
      <c r="E397" t="inlineStr">
        <is>
          <t>HEBY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37782-2022</t>
        </is>
      </c>
      <c r="B398" s="1" t="n">
        <v>44810</v>
      </c>
      <c r="C398" s="1" t="n">
        <v>46011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30293-2021</t>
        </is>
      </c>
      <c r="B399" s="1" t="n">
        <v>44364.3353587963</v>
      </c>
      <c r="C399" s="1" t="n">
        <v>46011</v>
      </c>
      <c r="D399" t="inlineStr">
        <is>
          <t>UPPSALA LÄN</t>
        </is>
      </c>
      <c r="E399" t="inlineStr">
        <is>
          <t>HEBY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38309-2025</t>
        </is>
      </c>
      <c r="B400" s="1" t="n">
        <v>45883.47369212963</v>
      </c>
      <c r="C400" s="1" t="n">
        <v>46011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9766-2023</t>
        </is>
      </c>
      <c r="B401" s="1" t="n">
        <v>44984.57643518518</v>
      </c>
      <c r="C401" s="1" t="n">
        <v>46011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38521-2025</t>
        </is>
      </c>
      <c r="B402" s="1" t="n">
        <v>45884</v>
      </c>
      <c r="C402" s="1" t="n">
        <v>46011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31407-2023</t>
        </is>
      </c>
      <c r="B403" s="1" t="n">
        <v>45114</v>
      </c>
      <c r="C403" s="1" t="n">
        <v>46011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29570-2022</t>
        </is>
      </c>
      <c r="B404" s="1" t="n">
        <v>44754</v>
      </c>
      <c r="C404" s="1" t="n">
        <v>46011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33705-2023</t>
        </is>
      </c>
      <c r="B405" s="1" t="n">
        <v>45132.79101851852</v>
      </c>
      <c r="C405" s="1" t="n">
        <v>46011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33706-2023</t>
        </is>
      </c>
      <c r="B406" s="1" t="n">
        <v>45132.80835648148</v>
      </c>
      <c r="C406" s="1" t="n">
        <v>46011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38371-2025</t>
        </is>
      </c>
      <c r="B407" s="1" t="n">
        <v>45883.56189814815</v>
      </c>
      <c r="C407" s="1" t="n">
        <v>46011</v>
      </c>
      <c r="D407" t="inlineStr">
        <is>
          <t>UPPSALA LÄN</t>
        </is>
      </c>
      <c r="E407" t="inlineStr">
        <is>
          <t>HEBY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38472-2025</t>
        </is>
      </c>
      <c r="B408" s="1" t="n">
        <v>45884.30456018518</v>
      </c>
      <c r="C408" s="1" t="n">
        <v>46011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19683-2022</t>
        </is>
      </c>
      <c r="B409" s="1" t="n">
        <v>44694</v>
      </c>
      <c r="C409" s="1" t="n">
        <v>46011</v>
      </c>
      <c r="D409" t="inlineStr">
        <is>
          <t>UPPSALA LÄN</t>
        </is>
      </c>
      <c r="E409" t="inlineStr">
        <is>
          <t>HEBY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48165-2022</t>
        </is>
      </c>
      <c r="B410" s="1" t="n">
        <v>44858.36759259259</v>
      </c>
      <c r="C410" s="1" t="n">
        <v>46011</v>
      </c>
      <c r="D410" t="inlineStr">
        <is>
          <t>UPPSALA LÄN</t>
        </is>
      </c>
      <c r="E410" t="inlineStr">
        <is>
          <t>HEBY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58192-2025</t>
        </is>
      </c>
      <c r="B411" s="1" t="n">
        <v>45983.78957175926</v>
      </c>
      <c r="C411" s="1" t="n">
        <v>46011</v>
      </c>
      <c r="D411" t="inlineStr">
        <is>
          <t>UPPSALA LÄN</t>
        </is>
      </c>
      <c r="E411" t="inlineStr">
        <is>
          <t>HEBY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50206-2025</t>
        </is>
      </c>
      <c r="B412" s="1" t="n">
        <v>45943.66027777778</v>
      </c>
      <c r="C412" s="1" t="n">
        <v>46011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33707-2023</t>
        </is>
      </c>
      <c r="B413" s="1" t="n">
        <v>45132.82081018519</v>
      </c>
      <c r="C413" s="1" t="n">
        <v>46011</v>
      </c>
      <c r="D413" t="inlineStr">
        <is>
          <t>UPPSALA LÄN</t>
        </is>
      </c>
      <c r="E413" t="inlineStr">
        <is>
          <t>HEBY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50077-2025</t>
        </is>
      </c>
      <c r="B414" s="1" t="n">
        <v>45943.46789351852</v>
      </c>
      <c r="C414" s="1" t="n">
        <v>46011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50255-2025</t>
        </is>
      </c>
      <c r="B415" s="1" t="n">
        <v>45944.34373842592</v>
      </c>
      <c r="C415" s="1" t="n">
        <v>46011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58369-2025</t>
        </is>
      </c>
      <c r="B416" s="1" t="n">
        <v>45985.52939814814</v>
      </c>
      <c r="C416" s="1" t="n">
        <v>46011</v>
      </c>
      <c r="D416" t="inlineStr">
        <is>
          <t>UPPSALA LÄN</t>
        </is>
      </c>
      <c r="E416" t="inlineStr">
        <is>
          <t>HEBY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50657-2025</t>
        </is>
      </c>
      <c r="B417" s="1" t="n">
        <v>45945</v>
      </c>
      <c r="C417" s="1" t="n">
        <v>46011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8182-2022</t>
        </is>
      </c>
      <c r="B418" s="1" t="n">
        <v>44609.66260416667</v>
      </c>
      <c r="C418" s="1" t="n">
        <v>46011</v>
      </c>
      <c r="D418" t="inlineStr">
        <is>
          <t>UPPSALA LÄN</t>
        </is>
      </c>
      <c r="E418" t="inlineStr">
        <is>
          <t>HEBY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27840-2023</t>
        </is>
      </c>
      <c r="B419" s="1" t="n">
        <v>45098</v>
      </c>
      <c r="C419" s="1" t="n">
        <v>46011</v>
      </c>
      <c r="D419" t="inlineStr">
        <is>
          <t>UPPSALA LÄN</t>
        </is>
      </c>
      <c r="E419" t="inlineStr">
        <is>
          <t>HEBY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50802-2025</t>
        </is>
      </c>
      <c r="B420" s="1" t="n">
        <v>45946.49408564815</v>
      </c>
      <c r="C420" s="1" t="n">
        <v>46011</v>
      </c>
      <c r="D420" t="inlineStr">
        <is>
          <t>UPPSALA LÄN</t>
        </is>
      </c>
      <c r="E420" t="inlineStr">
        <is>
          <t>HEBY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51180-2025</t>
        </is>
      </c>
      <c r="B421" s="1" t="n">
        <v>45947.61815972222</v>
      </c>
      <c r="C421" s="1" t="n">
        <v>46011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14916-2025</t>
        </is>
      </c>
      <c r="B422" s="1" t="n">
        <v>45743</v>
      </c>
      <c r="C422" s="1" t="n">
        <v>46011</v>
      </c>
      <c r="D422" t="inlineStr">
        <is>
          <t>UPPSALA LÄN</t>
        </is>
      </c>
      <c r="E422" t="inlineStr">
        <is>
          <t>HEBY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44464-2021</t>
        </is>
      </c>
      <c r="B423" s="1" t="n">
        <v>44435</v>
      </c>
      <c r="C423" s="1" t="n">
        <v>46011</v>
      </c>
      <c r="D423" t="inlineStr">
        <is>
          <t>UPPSALA LÄN</t>
        </is>
      </c>
      <c r="E423" t="inlineStr">
        <is>
          <t>HEBY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50954-2025</t>
        </is>
      </c>
      <c r="B424" s="1" t="n">
        <v>45946.7803125</v>
      </c>
      <c r="C424" s="1" t="n">
        <v>46011</v>
      </c>
      <c r="D424" t="inlineStr">
        <is>
          <t>UPPSALA LÄN</t>
        </is>
      </c>
      <c r="E424" t="inlineStr">
        <is>
          <t>HEBY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8056-2024</t>
        </is>
      </c>
      <c r="B425" s="1" t="n">
        <v>45351</v>
      </c>
      <c r="C425" s="1" t="n">
        <v>46011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51333-2025</t>
        </is>
      </c>
      <c r="B426" s="1" t="n">
        <v>45950.42271990741</v>
      </c>
      <c r="C426" s="1" t="n">
        <v>46011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59837-2025</t>
        </is>
      </c>
      <c r="B427" s="1" t="n">
        <v>45992.67348379629</v>
      </c>
      <c r="C427" s="1" t="n">
        <v>46011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51082-2023</t>
        </is>
      </c>
      <c r="B428" s="1" t="n">
        <v>45218</v>
      </c>
      <c r="C428" s="1" t="n">
        <v>46011</v>
      </c>
      <c r="D428" t="inlineStr">
        <is>
          <t>UPPSALA LÄN</t>
        </is>
      </c>
      <c r="E428" t="inlineStr">
        <is>
          <t>HEBY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51091-2023</t>
        </is>
      </c>
      <c r="B429" s="1" t="n">
        <v>45218</v>
      </c>
      <c r="C429" s="1" t="n">
        <v>46011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60217-2025</t>
        </is>
      </c>
      <c r="B430" s="1" t="n">
        <v>45994.54125</v>
      </c>
      <c r="C430" s="1" t="n">
        <v>46011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60146-2025</t>
        </is>
      </c>
      <c r="B431" s="1" t="n">
        <v>45994.38209490741</v>
      </c>
      <c r="C431" s="1" t="n">
        <v>46011</v>
      </c>
      <c r="D431" t="inlineStr">
        <is>
          <t>UPPSALA LÄN</t>
        </is>
      </c>
      <c r="E431" t="inlineStr">
        <is>
          <t>HEBY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52106-2025</t>
        </is>
      </c>
      <c r="B432" s="1" t="n">
        <v>45952.68802083333</v>
      </c>
      <c r="C432" s="1" t="n">
        <v>46011</v>
      </c>
      <c r="D432" t="inlineStr">
        <is>
          <t>UPPSALA LÄN</t>
        </is>
      </c>
      <c r="E432" t="inlineStr">
        <is>
          <t>HEBY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52109-2025</t>
        </is>
      </c>
      <c r="B433" s="1" t="n">
        <v>45952.69247685185</v>
      </c>
      <c r="C433" s="1" t="n">
        <v>46011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51733-2025</t>
        </is>
      </c>
      <c r="B434" s="1" t="n">
        <v>45951.59496527778</v>
      </c>
      <c r="C434" s="1" t="n">
        <v>46011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60282-2025</t>
        </is>
      </c>
      <c r="B435" s="1" t="n">
        <v>45994.64087962963</v>
      </c>
      <c r="C435" s="1" t="n">
        <v>46011</v>
      </c>
      <c r="D435" t="inlineStr">
        <is>
          <t>UPPSALA LÄN</t>
        </is>
      </c>
      <c r="E435" t="inlineStr">
        <is>
          <t>HEBY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51745-2025</t>
        </is>
      </c>
      <c r="B436" s="1" t="n">
        <v>45951.61320601852</v>
      </c>
      <c r="C436" s="1" t="n">
        <v>46011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50281-2023</t>
        </is>
      </c>
      <c r="B437" s="1" t="n">
        <v>45216.45452546296</v>
      </c>
      <c r="C437" s="1" t="n">
        <v>46011</v>
      </c>
      <c r="D437" t="inlineStr">
        <is>
          <t>UPPSALA LÄN</t>
        </is>
      </c>
      <c r="E437" t="inlineStr">
        <is>
          <t>HEBY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60102-2025</t>
        </is>
      </c>
      <c r="B438" s="1" t="n">
        <v>45993.98945601852</v>
      </c>
      <c r="C438" s="1" t="n">
        <v>46011</v>
      </c>
      <c r="D438" t="inlineStr">
        <is>
          <t>UPPSALA LÄN</t>
        </is>
      </c>
      <c r="E438" t="inlineStr">
        <is>
          <t>HEBY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13893-2025</t>
        </is>
      </c>
      <c r="B439" s="1" t="n">
        <v>45737.62077546296</v>
      </c>
      <c r="C439" s="1" t="n">
        <v>46011</v>
      </c>
      <c r="D439" t="inlineStr">
        <is>
          <t>UPPSALA LÄN</t>
        </is>
      </c>
      <c r="E439" t="inlineStr">
        <is>
          <t>HEBY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13900-2025</t>
        </is>
      </c>
      <c r="B440" s="1" t="n">
        <v>45737.63353009259</v>
      </c>
      <c r="C440" s="1" t="n">
        <v>46011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51652-2025</t>
        </is>
      </c>
      <c r="B441" s="1" t="n">
        <v>45951.46150462963</v>
      </c>
      <c r="C441" s="1" t="n">
        <v>46011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44525-2022</t>
        </is>
      </c>
      <c r="B442" s="1" t="n">
        <v>44840.43806712963</v>
      </c>
      <c r="C442" s="1" t="n">
        <v>46011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HYPERLINK("https://klasma.github.io/Logging_0331/knärot/A 44525-2022 karta knärot.png", "A 44525-2022")</f>
        <v/>
      </c>
      <c r="V442">
        <f>HYPERLINK("https://klasma.github.io/Logging_0331/klagomål/A 44525-2022 FSC-klagomål.docx", "A 44525-2022")</f>
        <v/>
      </c>
      <c r="W442">
        <f>HYPERLINK("https://klasma.github.io/Logging_0331/klagomålsmail/A 44525-2022 FSC-klagomål mail.docx", "A 44525-2022")</f>
        <v/>
      </c>
      <c r="X442">
        <f>HYPERLINK("https://klasma.github.io/Logging_0331/tillsyn/A 44525-2022 tillsynsbegäran.docx", "A 44525-2022")</f>
        <v/>
      </c>
      <c r="Y442">
        <f>HYPERLINK("https://klasma.github.io/Logging_0331/tillsynsmail/A 44525-2022 tillsynsbegäran mail.docx", "A 44525-2022")</f>
        <v/>
      </c>
    </row>
    <row r="443" ht="15" customHeight="1">
      <c r="A443" t="inlineStr">
        <is>
          <t>A 60272-2025</t>
        </is>
      </c>
      <c r="B443" s="1" t="n">
        <v>45994.62863425926</v>
      </c>
      <c r="C443" s="1" t="n">
        <v>46011</v>
      </c>
      <c r="D443" t="inlineStr">
        <is>
          <t>UPPSALA LÄN</t>
        </is>
      </c>
      <c r="E443" t="inlineStr">
        <is>
          <t>HEBY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51685-2025</t>
        </is>
      </c>
      <c r="B444" s="1" t="n">
        <v>45951.52226851852</v>
      </c>
      <c r="C444" s="1" t="n">
        <v>46011</v>
      </c>
      <c r="D444" t="inlineStr">
        <is>
          <t>UPPSALA LÄN</t>
        </is>
      </c>
      <c r="E444" t="inlineStr">
        <is>
          <t>HEBY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18144-2022</t>
        </is>
      </c>
      <c r="B445" s="1" t="n">
        <v>44684</v>
      </c>
      <c r="C445" s="1" t="n">
        <v>46011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2039-2023</t>
        </is>
      </c>
      <c r="B446" s="1" t="n">
        <v>44939</v>
      </c>
      <c r="C446" s="1" t="n">
        <v>46011</v>
      </c>
      <c r="D446" t="inlineStr">
        <is>
          <t>UPPSALA LÄN</t>
        </is>
      </c>
      <c r="E446" t="inlineStr">
        <is>
          <t>HEBY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60847-2025</t>
        </is>
      </c>
      <c r="B447" s="1" t="n">
        <v>45999.50025462963</v>
      </c>
      <c r="C447" s="1" t="n">
        <v>46011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52861-2025</t>
        </is>
      </c>
      <c r="B448" s="1" t="n">
        <v>45957.50532407407</v>
      </c>
      <c r="C448" s="1" t="n">
        <v>46011</v>
      </c>
      <c r="D448" t="inlineStr">
        <is>
          <t>UPPSALA LÄN</t>
        </is>
      </c>
      <c r="E448" t="inlineStr">
        <is>
          <t>HEBY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70976-2021</t>
        </is>
      </c>
      <c r="B449" s="1" t="n">
        <v>44538</v>
      </c>
      <c r="C449" s="1" t="n">
        <v>46011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60836-2025</t>
        </is>
      </c>
      <c r="B450" s="1" t="n">
        <v>45999.47586805555</v>
      </c>
      <c r="C450" s="1" t="n">
        <v>46011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7860-2025</t>
        </is>
      </c>
      <c r="B451" s="1" t="n">
        <v>45706</v>
      </c>
      <c r="C451" s="1" t="n">
        <v>46011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38203-2021</t>
        </is>
      </c>
      <c r="B452" s="1" t="n">
        <v>44405</v>
      </c>
      <c r="C452" s="1" t="n">
        <v>46011</v>
      </c>
      <c r="D452" t="inlineStr">
        <is>
          <t>UPPSALA LÄN</t>
        </is>
      </c>
      <c r="E452" t="inlineStr">
        <is>
          <t>HEBY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53186-2025</t>
        </is>
      </c>
      <c r="B453" s="1" t="n">
        <v>45958.55548611111</v>
      </c>
      <c r="C453" s="1" t="n">
        <v>46011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28226-2023</t>
        </is>
      </c>
      <c r="B454" s="1" t="n">
        <v>45099.57417824074</v>
      </c>
      <c r="C454" s="1" t="n">
        <v>46011</v>
      </c>
      <c r="D454" t="inlineStr">
        <is>
          <t>UPPSALA LÄN</t>
        </is>
      </c>
      <c r="E454" t="inlineStr">
        <is>
          <t>HEBY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1471-2025</t>
        </is>
      </c>
      <c r="B455" s="1" t="n">
        <v>45670</v>
      </c>
      <c r="C455" s="1" t="n">
        <v>46011</v>
      </c>
      <c r="D455" t="inlineStr">
        <is>
          <t>UPPSALA LÄN</t>
        </is>
      </c>
      <c r="E455" t="inlineStr">
        <is>
          <t>HEBY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2611-2023</t>
        </is>
      </c>
      <c r="B456" s="1" t="n">
        <v>44944.34613425926</v>
      </c>
      <c r="C456" s="1" t="n">
        <v>46011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61807-2022</t>
        </is>
      </c>
      <c r="B457" s="1" t="n">
        <v>44917</v>
      </c>
      <c r="C457" s="1" t="n">
        <v>46011</v>
      </c>
      <c r="D457" t="inlineStr">
        <is>
          <t>UPPSALA LÄN</t>
        </is>
      </c>
      <c r="E457" t="inlineStr">
        <is>
          <t>HEBY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50859-2022</t>
        </is>
      </c>
      <c r="B458" s="1" t="n">
        <v>44862</v>
      </c>
      <c r="C458" s="1" t="n">
        <v>46011</v>
      </c>
      <c r="D458" t="inlineStr">
        <is>
          <t>UPPSALA LÄN</t>
        </is>
      </c>
      <c r="E458" t="inlineStr">
        <is>
          <t>HEBY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53588-2025</t>
        </is>
      </c>
      <c r="B459" s="1" t="n">
        <v>45960.43714120371</v>
      </c>
      <c r="C459" s="1" t="n">
        <v>46011</v>
      </c>
      <c r="D459" t="inlineStr">
        <is>
          <t>UPPSALA LÄN</t>
        </is>
      </c>
      <c r="E459" t="inlineStr">
        <is>
          <t>HEBY</t>
        </is>
      </c>
      <c r="G459" t="n">
        <v>13.9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64191-2023</t>
        </is>
      </c>
      <c r="B460" s="1" t="n">
        <v>45279</v>
      </c>
      <c r="C460" s="1" t="n">
        <v>46011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946-2023</t>
        </is>
      </c>
      <c r="B461" s="1" t="n">
        <v>44934.47055555556</v>
      </c>
      <c r="C461" s="1" t="n">
        <v>46011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3771-2024</t>
        </is>
      </c>
      <c r="B462" s="1" t="n">
        <v>45321</v>
      </c>
      <c r="C462" s="1" t="n">
        <v>46011</v>
      </c>
      <c r="D462" t="inlineStr">
        <is>
          <t>UPPSALA LÄN</t>
        </is>
      </c>
      <c r="E462" t="inlineStr">
        <is>
          <t>HEBY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7803-2021</t>
        </is>
      </c>
      <c r="B463" s="1" t="n">
        <v>44242</v>
      </c>
      <c r="C463" s="1" t="n">
        <v>46011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61875-2022</t>
        </is>
      </c>
      <c r="B464" s="1" t="n">
        <v>44917.65171296296</v>
      </c>
      <c r="C464" s="1" t="n">
        <v>46011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25971-2023</t>
        </is>
      </c>
      <c r="B465" s="1" t="n">
        <v>45090.80862268519</v>
      </c>
      <c r="C465" s="1" t="n">
        <v>46011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61883-2025</t>
        </is>
      </c>
      <c r="B466" s="1" t="n">
        <v>46003.42837962963</v>
      </c>
      <c r="C466" s="1" t="n">
        <v>46011</v>
      </c>
      <c r="D466" t="inlineStr">
        <is>
          <t>UPPSALA LÄN</t>
        </is>
      </c>
      <c r="E466" t="inlineStr">
        <is>
          <t>HEBY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62105-2025</t>
        </is>
      </c>
      <c r="B467" s="1" t="n">
        <v>46006.42108796296</v>
      </c>
      <c r="C467" s="1" t="n">
        <v>46011</v>
      </c>
      <c r="D467" t="inlineStr">
        <is>
          <t>UPPSALA LÄN</t>
        </is>
      </c>
      <c r="E467" t="inlineStr">
        <is>
          <t>HEBY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66055-2021</t>
        </is>
      </c>
      <c r="B468" s="1" t="n">
        <v>44517.6352662037</v>
      </c>
      <c r="C468" s="1" t="n">
        <v>46011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61886-2025</t>
        </is>
      </c>
      <c r="B469" s="1" t="n">
        <v>46003.43425925926</v>
      </c>
      <c r="C469" s="1" t="n">
        <v>46011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54212-2025</t>
        </is>
      </c>
      <c r="B470" s="1" t="n">
        <v>45964.59248842593</v>
      </c>
      <c r="C470" s="1" t="n">
        <v>46011</v>
      </c>
      <c r="D470" t="inlineStr">
        <is>
          <t>UPPSALA LÄN</t>
        </is>
      </c>
      <c r="E470" t="inlineStr">
        <is>
          <t>HEBY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31143-2023</t>
        </is>
      </c>
      <c r="B471" s="1" t="n">
        <v>45103</v>
      </c>
      <c r="C471" s="1" t="n">
        <v>46011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18056-2025</t>
        </is>
      </c>
      <c r="B472" s="1" t="n">
        <v>45761</v>
      </c>
      <c r="C472" s="1" t="n">
        <v>46011</v>
      </c>
      <c r="D472" t="inlineStr">
        <is>
          <t>UPPSALA LÄN</t>
        </is>
      </c>
      <c r="E472" t="inlineStr">
        <is>
          <t>HEBY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61884-2025</t>
        </is>
      </c>
      <c r="B473" s="1" t="n">
        <v>46003.43225694444</v>
      </c>
      <c r="C473" s="1" t="n">
        <v>46011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62042-2025</t>
        </is>
      </c>
      <c r="B474" s="1" t="n">
        <v>46005.63259259259</v>
      </c>
      <c r="C474" s="1" t="n">
        <v>46011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72180-2021</t>
        </is>
      </c>
      <c r="B475" s="1" t="n">
        <v>44543</v>
      </c>
      <c r="C475" s="1" t="n">
        <v>46011</v>
      </c>
      <c r="D475" t="inlineStr">
        <is>
          <t>UPPSALA LÄN</t>
        </is>
      </c>
      <c r="E475" t="inlineStr">
        <is>
          <t>HEBY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59702-2023</t>
        </is>
      </c>
      <c r="B476" s="1" t="n">
        <v>45256.91207175926</v>
      </c>
      <c r="C476" s="1" t="n">
        <v>46011</v>
      </c>
      <c r="D476" t="inlineStr">
        <is>
          <t>UPPSALA LÄN</t>
        </is>
      </c>
      <c r="E476" t="inlineStr">
        <is>
          <t>HEBY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62145-2022</t>
        </is>
      </c>
      <c r="B477" s="1" t="n">
        <v>44914</v>
      </c>
      <c r="C477" s="1" t="n">
        <v>46011</v>
      </c>
      <c r="D477" t="inlineStr">
        <is>
          <t>UPPSALA LÄN</t>
        </is>
      </c>
      <c r="E477" t="inlineStr">
        <is>
          <t>HEBY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54318-2025</t>
        </is>
      </c>
      <c r="B478" s="1" t="n">
        <v>45965.33782407407</v>
      </c>
      <c r="C478" s="1" t="n">
        <v>46011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62475-2025</t>
        </is>
      </c>
      <c r="B479" s="1" t="n">
        <v>46007.55006944444</v>
      </c>
      <c r="C479" s="1" t="n">
        <v>46011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387-2025</t>
        </is>
      </c>
      <c r="B480" s="1" t="n">
        <v>45662.6995949074</v>
      </c>
      <c r="C480" s="1" t="n">
        <v>46011</v>
      </c>
      <c r="D480" t="inlineStr">
        <is>
          <t>UPPSALA LÄN</t>
        </is>
      </c>
      <c r="E480" t="inlineStr">
        <is>
          <t>HEBY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31566-2023</t>
        </is>
      </c>
      <c r="B481" s="1" t="n">
        <v>45117</v>
      </c>
      <c r="C481" s="1" t="n">
        <v>46011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31567-2023</t>
        </is>
      </c>
      <c r="B482" s="1" t="n">
        <v>45117</v>
      </c>
      <c r="C482" s="1" t="n">
        <v>46011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31586-2023</t>
        </is>
      </c>
      <c r="B483" s="1" t="n">
        <v>45117</v>
      </c>
      <c r="C483" s="1" t="n">
        <v>46011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61033-2024</t>
        </is>
      </c>
      <c r="B484" s="1" t="n">
        <v>45645.46418981482</v>
      </c>
      <c r="C484" s="1" t="n">
        <v>46011</v>
      </c>
      <c r="D484" t="inlineStr">
        <is>
          <t>UPPSALA LÄN</t>
        </is>
      </c>
      <c r="E484" t="inlineStr">
        <is>
          <t>HEBY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54339-2025</t>
        </is>
      </c>
      <c r="B485" s="1" t="n">
        <v>45965.35824074074</v>
      </c>
      <c r="C485" s="1" t="n">
        <v>46011</v>
      </c>
      <c r="D485" t="inlineStr">
        <is>
          <t>UPPSALA LÄN</t>
        </is>
      </c>
      <c r="E485" t="inlineStr">
        <is>
          <t>HEBY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54653-2025</t>
        </is>
      </c>
      <c r="B486" s="1" t="n">
        <v>45966.38270833333</v>
      </c>
      <c r="C486" s="1" t="n">
        <v>46011</v>
      </c>
      <c r="D486" t="inlineStr">
        <is>
          <t>UPPSALA LÄN</t>
        </is>
      </c>
      <c r="E486" t="inlineStr">
        <is>
          <t>HEBY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54635-2025</t>
        </is>
      </c>
      <c r="B487" s="1" t="n">
        <v>45966.35333333333</v>
      </c>
      <c r="C487" s="1" t="n">
        <v>46011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54822-2025</t>
        </is>
      </c>
      <c r="B488" s="1" t="n">
        <v>45966.65951388889</v>
      </c>
      <c r="C488" s="1" t="n">
        <v>46011</v>
      </c>
      <c r="D488" t="inlineStr">
        <is>
          <t>UPPSALA LÄN</t>
        </is>
      </c>
      <c r="E488" t="inlineStr">
        <is>
          <t>HEBY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3376-2024</t>
        </is>
      </c>
      <c r="B489" s="1" t="n">
        <v>45317</v>
      </c>
      <c r="C489" s="1" t="n">
        <v>46011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3377-2024</t>
        </is>
      </c>
      <c r="B490" s="1" t="n">
        <v>45317</v>
      </c>
      <c r="C490" s="1" t="n">
        <v>46011</v>
      </c>
      <c r="D490" t="inlineStr">
        <is>
          <t>UPPSALA LÄN</t>
        </is>
      </c>
      <c r="E490" t="inlineStr">
        <is>
          <t>HEBY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73622-2021</t>
        </is>
      </c>
      <c r="B491" s="1" t="n">
        <v>44552</v>
      </c>
      <c r="C491" s="1" t="n">
        <v>46011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62083-2023</t>
        </is>
      </c>
      <c r="B492" s="1" t="n">
        <v>45266.80237268518</v>
      </c>
      <c r="C492" s="1" t="n">
        <v>46011</v>
      </c>
      <c r="D492" t="inlineStr">
        <is>
          <t>UPPSALA LÄN</t>
        </is>
      </c>
      <c r="E492" t="inlineStr">
        <is>
          <t>HEBY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55250-2025</t>
        </is>
      </c>
      <c r="B493" s="1" t="n">
        <v>45968.6285300926</v>
      </c>
      <c r="C493" s="1" t="n">
        <v>46011</v>
      </c>
      <c r="D493" t="inlineStr">
        <is>
          <t>UPPSALA LÄN</t>
        </is>
      </c>
      <c r="E493" t="inlineStr">
        <is>
          <t>HEBY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55018-2025</t>
        </is>
      </c>
      <c r="B494" s="1" t="n">
        <v>45967.62387731481</v>
      </c>
      <c r="C494" s="1" t="n">
        <v>46011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55019-2025</t>
        </is>
      </c>
      <c r="B495" s="1" t="n">
        <v>45967.62597222222</v>
      </c>
      <c r="C495" s="1" t="n">
        <v>46011</v>
      </c>
      <c r="D495" t="inlineStr">
        <is>
          <t>UPPSALA LÄN</t>
        </is>
      </c>
      <c r="E495" t="inlineStr">
        <is>
          <t>HEBY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55021-2025</t>
        </is>
      </c>
      <c r="B496" s="1" t="n">
        <v>45967.628125</v>
      </c>
      <c r="C496" s="1" t="n">
        <v>46011</v>
      </c>
      <c r="D496" t="inlineStr">
        <is>
          <t>UPPSALA LÄN</t>
        </is>
      </c>
      <c r="E496" t="inlineStr">
        <is>
          <t>HEBY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13593-2023</t>
        </is>
      </c>
      <c r="B497" s="1" t="n">
        <v>45006.57304398148</v>
      </c>
      <c r="C497" s="1" t="n">
        <v>46011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16404-2023</t>
        </is>
      </c>
      <c r="B498" s="1" t="n">
        <v>45029</v>
      </c>
      <c r="C498" s="1" t="n">
        <v>46011</v>
      </c>
      <c r="D498" t="inlineStr">
        <is>
          <t>UPPSALA LÄN</t>
        </is>
      </c>
      <c r="E498" t="inlineStr">
        <is>
          <t>HEBY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963-2022</t>
        </is>
      </c>
      <c r="B499" s="1" t="n">
        <v>44568</v>
      </c>
      <c r="C499" s="1" t="n">
        <v>46011</v>
      </c>
      <c r="D499" t="inlineStr">
        <is>
          <t>UPPSALA LÄN</t>
        </is>
      </c>
      <c r="E499" t="inlineStr">
        <is>
          <t>HEBY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27879-2023</t>
        </is>
      </c>
      <c r="B500" s="1" t="n">
        <v>45098.59533564815</v>
      </c>
      <c r="C500" s="1" t="n">
        <v>46011</v>
      </c>
      <c r="D500" t="inlineStr">
        <is>
          <t>UPPSALA LÄN</t>
        </is>
      </c>
      <c r="E500" t="inlineStr">
        <is>
          <t>HEBY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8051-2023</t>
        </is>
      </c>
      <c r="B501" s="1" t="n">
        <v>44974</v>
      </c>
      <c r="C501" s="1" t="n">
        <v>46011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35644-2024</t>
        </is>
      </c>
      <c r="B502" s="1" t="n">
        <v>45532</v>
      </c>
      <c r="C502" s="1" t="n">
        <v>46011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11715-2024</t>
        </is>
      </c>
      <c r="B503" s="1" t="n">
        <v>45373.63015046297</v>
      </c>
      <c r="C503" s="1" t="n">
        <v>46011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11379-2025</t>
        </is>
      </c>
      <c r="B504" s="1" t="n">
        <v>45726.55914351852</v>
      </c>
      <c r="C504" s="1" t="n">
        <v>46011</v>
      </c>
      <c r="D504" t="inlineStr">
        <is>
          <t>UPPSALA LÄN</t>
        </is>
      </c>
      <c r="E504" t="inlineStr">
        <is>
          <t>HEBY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39157-2023</t>
        </is>
      </c>
      <c r="B505" s="1" t="n">
        <v>45166</v>
      </c>
      <c r="C505" s="1" t="n">
        <v>46011</v>
      </c>
      <c r="D505" t="inlineStr">
        <is>
          <t>UPPSALA LÄN</t>
        </is>
      </c>
      <c r="E505" t="inlineStr">
        <is>
          <t>HEBY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11503-2023</t>
        </is>
      </c>
      <c r="B506" s="1" t="n">
        <v>44993</v>
      </c>
      <c r="C506" s="1" t="n">
        <v>46011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32181-2024</t>
        </is>
      </c>
      <c r="B507" s="1" t="n">
        <v>45511</v>
      </c>
      <c r="C507" s="1" t="n">
        <v>46011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59824-2024</t>
        </is>
      </c>
      <c r="B508" s="1" t="n">
        <v>45639.64104166667</v>
      </c>
      <c r="C508" s="1" t="n">
        <v>46011</v>
      </c>
      <c r="D508" t="inlineStr">
        <is>
          <t>UPPSALA LÄN</t>
        </is>
      </c>
      <c r="E508" t="inlineStr">
        <is>
          <t>HEBY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1160-2024</t>
        </is>
      </c>
      <c r="B509" s="1" t="n">
        <v>45302.52365740741</v>
      </c>
      <c r="C509" s="1" t="n">
        <v>46011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64364-2021</t>
        </is>
      </c>
      <c r="B510" s="1" t="n">
        <v>44511</v>
      </c>
      <c r="C510" s="1" t="n">
        <v>46011</v>
      </c>
      <c r="D510" t="inlineStr">
        <is>
          <t>UPPSALA LÄN</t>
        </is>
      </c>
      <c r="E510" t="inlineStr">
        <is>
          <t>HEBY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56073-2024</t>
        </is>
      </c>
      <c r="B511" s="1" t="n">
        <v>45624</v>
      </c>
      <c r="C511" s="1" t="n">
        <v>46011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7429-2025</t>
        </is>
      </c>
      <c r="B512" s="1" t="n">
        <v>45705</v>
      </c>
      <c r="C512" s="1" t="n">
        <v>46011</v>
      </c>
      <c r="D512" t="inlineStr">
        <is>
          <t>UPPSALA LÄN</t>
        </is>
      </c>
      <c r="E512" t="inlineStr">
        <is>
          <t>HEBY</t>
        </is>
      </c>
      <c r="F512" t="inlineStr">
        <is>
          <t>Kyrkan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31560-2023</t>
        </is>
      </c>
      <c r="B513" s="1" t="n">
        <v>45117</v>
      </c>
      <c r="C513" s="1" t="n">
        <v>46011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31569-2023</t>
        </is>
      </c>
      <c r="B514" s="1" t="n">
        <v>45117</v>
      </c>
      <c r="C514" s="1" t="n">
        <v>46011</v>
      </c>
      <c r="D514" t="inlineStr">
        <is>
          <t>UPPSALA LÄN</t>
        </is>
      </c>
      <c r="E514" t="inlineStr">
        <is>
          <t>HEBY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HYPERLINK("https://klasma.github.io/Logging_0331/knärot/A 31569-2023 karta knärot.png", "A 31569-2023")</f>
        <v/>
      </c>
      <c r="V514">
        <f>HYPERLINK("https://klasma.github.io/Logging_0331/klagomål/A 31569-2023 FSC-klagomål.docx", "A 31569-2023")</f>
        <v/>
      </c>
      <c r="W514">
        <f>HYPERLINK("https://klasma.github.io/Logging_0331/klagomålsmail/A 31569-2023 FSC-klagomål mail.docx", "A 31569-2023")</f>
        <v/>
      </c>
      <c r="X514">
        <f>HYPERLINK("https://klasma.github.io/Logging_0331/tillsyn/A 31569-2023 tillsynsbegäran.docx", "A 31569-2023")</f>
        <v/>
      </c>
      <c r="Y514">
        <f>HYPERLINK("https://klasma.github.io/Logging_0331/tillsynsmail/A 31569-2023 tillsynsbegäran mail.docx", "A 31569-2023")</f>
        <v/>
      </c>
    </row>
    <row r="515" ht="15" customHeight="1">
      <c r="A515" t="inlineStr">
        <is>
          <t>A 48029-2024</t>
        </is>
      </c>
      <c r="B515" s="1" t="n">
        <v>45589.48607638889</v>
      </c>
      <c r="C515" s="1" t="n">
        <v>46011</v>
      </c>
      <c r="D515" t="inlineStr">
        <is>
          <t>UPPSALA LÄN</t>
        </is>
      </c>
      <c r="E515" t="inlineStr">
        <is>
          <t>HEBY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9815-2022</t>
        </is>
      </c>
      <c r="B516" s="1" t="n">
        <v>44620.42810185185</v>
      </c>
      <c r="C516" s="1" t="n">
        <v>46011</v>
      </c>
      <c r="D516" t="inlineStr">
        <is>
          <t>UPPSALA LÄN</t>
        </is>
      </c>
      <c r="E516" t="inlineStr">
        <is>
          <t>HEBY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4213-2023</t>
        </is>
      </c>
      <c r="B517" s="1" t="n">
        <v>44951</v>
      </c>
      <c r="C517" s="1" t="n">
        <v>46011</v>
      </c>
      <c r="D517" t="inlineStr">
        <is>
          <t>UPPSALA LÄN</t>
        </is>
      </c>
      <c r="E517" t="inlineStr">
        <is>
          <t>HEBY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8660-2022</t>
        </is>
      </c>
      <c r="B518" s="1" t="n">
        <v>44613.66513888889</v>
      </c>
      <c r="C518" s="1" t="n">
        <v>46011</v>
      </c>
      <c r="D518" t="inlineStr">
        <is>
          <t>UPPSALA LÄN</t>
        </is>
      </c>
      <c r="E518" t="inlineStr">
        <is>
          <t>HEBY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5390-2024</t>
        </is>
      </c>
      <c r="B519" s="1" t="n">
        <v>45331</v>
      </c>
      <c r="C519" s="1" t="n">
        <v>46011</v>
      </c>
      <c r="D519" t="inlineStr">
        <is>
          <t>UPPSALA LÄN</t>
        </is>
      </c>
      <c r="E519" t="inlineStr">
        <is>
          <t>HEBY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74215-2021</t>
        </is>
      </c>
      <c r="B520" s="1" t="n">
        <v>44558.56614583333</v>
      </c>
      <c r="C520" s="1" t="n">
        <v>46011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2309-2025</t>
        </is>
      </c>
      <c r="B521" s="1" t="n">
        <v>45673</v>
      </c>
      <c r="C521" s="1" t="n">
        <v>46011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40924-2023</t>
        </is>
      </c>
      <c r="B522" s="1" t="n">
        <v>45173.4337962963</v>
      </c>
      <c r="C522" s="1" t="n">
        <v>46011</v>
      </c>
      <c r="D522" t="inlineStr">
        <is>
          <t>UPPSALA LÄN</t>
        </is>
      </c>
      <c r="E522" t="inlineStr">
        <is>
          <t>HEBY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40926-2023</t>
        </is>
      </c>
      <c r="B523" s="1" t="n">
        <v>45173.43603009259</v>
      </c>
      <c r="C523" s="1" t="n">
        <v>46011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13978-2023</t>
        </is>
      </c>
      <c r="B524" s="1" t="n">
        <v>45008</v>
      </c>
      <c r="C524" s="1" t="n">
        <v>46011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38670-2024</t>
        </is>
      </c>
      <c r="B525" s="1" t="n">
        <v>45547.32439814815</v>
      </c>
      <c r="C525" s="1" t="n">
        <v>46011</v>
      </c>
      <c r="D525" t="inlineStr">
        <is>
          <t>UPPSALA LÄN</t>
        </is>
      </c>
      <c r="E525" t="inlineStr">
        <is>
          <t>HEBY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6226-2024</t>
        </is>
      </c>
      <c r="B526" s="1" t="n">
        <v>45337</v>
      </c>
      <c r="C526" s="1" t="n">
        <v>46011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42725-2023</t>
        </is>
      </c>
      <c r="B527" s="1" t="n">
        <v>45181.63969907408</v>
      </c>
      <c r="C527" s="1" t="n">
        <v>46011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50163-2024</t>
        </is>
      </c>
      <c r="B528" s="1" t="n">
        <v>45599</v>
      </c>
      <c r="C528" s="1" t="n">
        <v>46011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26596-2024</t>
        </is>
      </c>
      <c r="B529" s="1" t="n">
        <v>45469</v>
      </c>
      <c r="C529" s="1" t="n">
        <v>46011</v>
      </c>
      <c r="D529" t="inlineStr">
        <is>
          <t>UPPSALA LÄN</t>
        </is>
      </c>
      <c r="E529" t="inlineStr">
        <is>
          <t>HEBY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31139-2023</t>
        </is>
      </c>
      <c r="B530" s="1" t="n">
        <v>45103</v>
      </c>
      <c r="C530" s="1" t="n">
        <v>46011</v>
      </c>
      <c r="D530" t="inlineStr">
        <is>
          <t>UPPSALA LÄN</t>
        </is>
      </c>
      <c r="E530" t="inlineStr">
        <is>
          <t>HEBY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11573-2025</t>
        </is>
      </c>
      <c r="B531" s="1" t="n">
        <v>45727.38081018518</v>
      </c>
      <c r="C531" s="1" t="n">
        <v>46011</v>
      </c>
      <c r="D531" t="inlineStr">
        <is>
          <t>UPPSALA LÄN</t>
        </is>
      </c>
      <c r="E531" t="inlineStr">
        <is>
          <t>HEBY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15427-2025</t>
        </is>
      </c>
      <c r="B532" s="1" t="n">
        <v>45747.46694444444</v>
      </c>
      <c r="C532" s="1" t="n">
        <v>46011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2487-2025</t>
        </is>
      </c>
      <c r="B533" s="1" t="n">
        <v>45674</v>
      </c>
      <c r="C533" s="1" t="n">
        <v>46011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35865-2022</t>
        </is>
      </c>
      <c r="B534" s="1" t="n">
        <v>44802.44090277778</v>
      </c>
      <c r="C534" s="1" t="n">
        <v>46011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35875-2022</t>
        </is>
      </c>
      <c r="B535" s="1" t="n">
        <v>44802</v>
      </c>
      <c r="C535" s="1" t="n">
        <v>46011</v>
      </c>
      <c r="D535" t="inlineStr">
        <is>
          <t>UPPSALA LÄN</t>
        </is>
      </c>
      <c r="E535" t="inlineStr">
        <is>
          <t>HEBY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39154-2023</t>
        </is>
      </c>
      <c r="B536" s="1" t="n">
        <v>45166</v>
      </c>
      <c r="C536" s="1" t="n">
        <v>46011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10414-2022</t>
        </is>
      </c>
      <c r="B537" s="1" t="n">
        <v>44623.45859953704</v>
      </c>
      <c r="C537" s="1" t="n">
        <v>46011</v>
      </c>
      <c r="D537" t="inlineStr">
        <is>
          <t>UPPSALA LÄN</t>
        </is>
      </c>
      <c r="E537" t="inlineStr">
        <is>
          <t>HEBY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19718-2023</t>
        </is>
      </c>
      <c r="B538" s="1" t="n">
        <v>45050</v>
      </c>
      <c r="C538" s="1" t="n">
        <v>46011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45821-2023</t>
        </is>
      </c>
      <c r="B539" s="1" t="n">
        <v>45195.52546296296</v>
      </c>
      <c r="C539" s="1" t="n">
        <v>46011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45917-2023</t>
        </is>
      </c>
      <c r="B540" s="1" t="n">
        <v>45195</v>
      </c>
      <c r="C540" s="1" t="n">
        <v>46011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33729-2023</t>
        </is>
      </c>
      <c r="B541" s="1" t="n">
        <v>45133.31494212963</v>
      </c>
      <c r="C541" s="1" t="n">
        <v>46011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19896-2022</t>
        </is>
      </c>
      <c r="B542" s="1" t="n">
        <v>44697.39297453704</v>
      </c>
      <c r="C542" s="1" t="n">
        <v>46011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45009-2022</t>
        </is>
      </c>
      <c r="B543" s="1" t="n">
        <v>44841.6265625</v>
      </c>
      <c r="C543" s="1" t="n">
        <v>46011</v>
      </c>
      <c r="D543" t="inlineStr">
        <is>
          <t>UPPSALA LÄN</t>
        </is>
      </c>
      <c r="E543" t="inlineStr">
        <is>
          <t>HEBY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34593-2023</t>
        </is>
      </c>
      <c r="B544" s="1" t="n">
        <v>45138</v>
      </c>
      <c r="C544" s="1" t="n">
        <v>46011</v>
      </c>
      <c r="D544" t="inlineStr">
        <is>
          <t>UPPSALA LÄN</t>
        </is>
      </c>
      <c r="E544" t="inlineStr">
        <is>
          <t>HEBY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61038-2024</t>
        </is>
      </c>
      <c r="B545" s="1" t="n">
        <v>45645.47047453704</v>
      </c>
      <c r="C545" s="1" t="n">
        <v>46011</v>
      </c>
      <c r="D545" t="inlineStr">
        <is>
          <t>UPPSALA LÄN</t>
        </is>
      </c>
      <c r="E545" t="inlineStr">
        <is>
          <t>HEBY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19654-2022</t>
        </is>
      </c>
      <c r="B546" s="1" t="n">
        <v>44694</v>
      </c>
      <c r="C546" s="1" t="n">
        <v>46011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29777-2021</t>
        </is>
      </c>
      <c r="B547" s="1" t="n">
        <v>44362</v>
      </c>
      <c r="C547" s="1" t="n">
        <v>46011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väst AB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33379-2022</t>
        </is>
      </c>
      <c r="B548" s="1" t="n">
        <v>44788</v>
      </c>
      <c r="C548" s="1" t="n">
        <v>46011</v>
      </c>
      <c r="D548" t="inlineStr">
        <is>
          <t>UPPSALA LÄN</t>
        </is>
      </c>
      <c r="E548" t="inlineStr">
        <is>
          <t>HEBY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56623-2023</t>
        </is>
      </c>
      <c r="B549" s="1" t="n">
        <v>45243.68689814815</v>
      </c>
      <c r="C549" s="1" t="n">
        <v>46011</v>
      </c>
      <c r="D549" t="inlineStr">
        <is>
          <t>UPPSALA LÄN</t>
        </is>
      </c>
      <c r="E549" t="inlineStr">
        <is>
          <t>HEBY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58913-2023</t>
        </is>
      </c>
      <c r="B550" s="1" t="n">
        <v>45250</v>
      </c>
      <c r="C550" s="1" t="n">
        <v>46011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29340-2022</t>
        </is>
      </c>
      <c r="B551" s="1" t="n">
        <v>44752.8631712963</v>
      </c>
      <c r="C551" s="1" t="n">
        <v>46011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41546-2023</t>
        </is>
      </c>
      <c r="B552" s="1" t="n">
        <v>45175.573125</v>
      </c>
      <c r="C552" s="1" t="n">
        <v>46011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34146-2022</t>
        </is>
      </c>
      <c r="B553" s="1" t="n">
        <v>44791</v>
      </c>
      <c r="C553" s="1" t="n">
        <v>46011</v>
      </c>
      <c r="D553" t="inlineStr">
        <is>
          <t>UPPSALA LÄN</t>
        </is>
      </c>
      <c r="E553" t="inlineStr">
        <is>
          <t>HEBY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42731-2023</t>
        </is>
      </c>
      <c r="B554" s="1" t="n">
        <v>45181.64949074074</v>
      </c>
      <c r="C554" s="1" t="n">
        <v>46011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17349-2025</t>
        </is>
      </c>
      <c r="B555" s="1" t="n">
        <v>45756</v>
      </c>
      <c r="C555" s="1" t="n">
        <v>46011</v>
      </c>
      <c r="D555" t="inlineStr">
        <is>
          <t>UPPSALA LÄN</t>
        </is>
      </c>
      <c r="E555" t="inlineStr">
        <is>
          <t>HEBY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63940-2023</t>
        </is>
      </c>
      <c r="B556" s="1" t="n">
        <v>45278</v>
      </c>
      <c r="C556" s="1" t="n">
        <v>46011</v>
      </c>
      <c r="D556" t="inlineStr">
        <is>
          <t>UPPSALA LÄN</t>
        </is>
      </c>
      <c r="E556" t="inlineStr">
        <is>
          <t>HEBY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25997-2022</t>
        </is>
      </c>
      <c r="B557" s="1" t="n">
        <v>44734.5185300926</v>
      </c>
      <c r="C557" s="1" t="n">
        <v>46011</v>
      </c>
      <c r="D557" t="inlineStr">
        <is>
          <t>UPPSALA LÄN</t>
        </is>
      </c>
      <c r="E557" t="inlineStr">
        <is>
          <t>HEBY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11074-2025</t>
        </is>
      </c>
      <c r="B558" s="1" t="n">
        <v>45723.55184027777</v>
      </c>
      <c r="C558" s="1" t="n">
        <v>46011</v>
      </c>
      <c r="D558" t="inlineStr">
        <is>
          <t>UPPSALA LÄN</t>
        </is>
      </c>
      <c r="E558" t="inlineStr">
        <is>
          <t>HEBY</t>
        </is>
      </c>
      <c r="F558" t="inlineStr">
        <is>
          <t>Kyrkan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3368-2024</t>
        </is>
      </c>
      <c r="B559" s="1" t="n">
        <v>45317</v>
      </c>
      <c r="C559" s="1" t="n">
        <v>46011</v>
      </c>
      <c r="D559" t="inlineStr">
        <is>
          <t>UPPSALA LÄN</t>
        </is>
      </c>
      <c r="E559" t="inlineStr">
        <is>
          <t>HEBY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26085-2022</t>
        </is>
      </c>
      <c r="B560" s="1" t="n">
        <v>44734.72414351852</v>
      </c>
      <c r="C560" s="1" t="n">
        <v>46011</v>
      </c>
      <c r="D560" t="inlineStr">
        <is>
          <t>UPPSALA LÄN</t>
        </is>
      </c>
      <c r="E560" t="inlineStr">
        <is>
          <t>HEBY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29396-2022</t>
        </is>
      </c>
      <c r="B561" s="1" t="n">
        <v>44753.43458333334</v>
      </c>
      <c r="C561" s="1" t="n">
        <v>46011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13463-2025</t>
        </is>
      </c>
      <c r="B562" s="1" t="n">
        <v>45736.3927662037</v>
      </c>
      <c r="C562" s="1" t="n">
        <v>46011</v>
      </c>
      <c r="D562" t="inlineStr">
        <is>
          <t>UPPSALA LÄN</t>
        </is>
      </c>
      <c r="E562" t="inlineStr">
        <is>
          <t>HEBY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31903-2023</t>
        </is>
      </c>
      <c r="B563" s="1" t="n">
        <v>45118</v>
      </c>
      <c r="C563" s="1" t="n">
        <v>46011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17-2024</t>
        </is>
      </c>
      <c r="B564" s="1" t="n">
        <v>45293</v>
      </c>
      <c r="C564" s="1" t="n">
        <v>46011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5633-2025</t>
        </is>
      </c>
      <c r="B565" s="1" t="n">
        <v>45693.66539351852</v>
      </c>
      <c r="C565" s="1" t="n">
        <v>46011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32245-2022</t>
        </is>
      </c>
      <c r="B566" s="1" t="n">
        <v>44781.48400462963</v>
      </c>
      <c r="C566" s="1" t="n">
        <v>46011</v>
      </c>
      <c r="D566" t="inlineStr">
        <is>
          <t>UPPSALA LÄN</t>
        </is>
      </c>
      <c r="E566" t="inlineStr">
        <is>
          <t>HEBY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19751-2023</t>
        </is>
      </c>
      <c r="B567" s="1" t="n">
        <v>45050</v>
      </c>
      <c r="C567" s="1" t="n">
        <v>46011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HYPERLINK("https://klasma.github.io/Logging_0331/knärot/A 19751-2023 karta knärot.png", "A 19751-2023")</f>
        <v/>
      </c>
      <c r="V567">
        <f>HYPERLINK("https://klasma.github.io/Logging_0331/klagomål/A 19751-2023 FSC-klagomål.docx", "A 19751-2023")</f>
        <v/>
      </c>
      <c r="W567">
        <f>HYPERLINK("https://klasma.github.io/Logging_0331/klagomålsmail/A 19751-2023 FSC-klagomål mail.docx", "A 19751-2023")</f>
        <v/>
      </c>
      <c r="X567">
        <f>HYPERLINK("https://klasma.github.io/Logging_0331/tillsyn/A 19751-2023 tillsynsbegäran.docx", "A 19751-2023")</f>
        <v/>
      </c>
      <c r="Y567">
        <f>HYPERLINK("https://klasma.github.io/Logging_0331/tillsynsmail/A 19751-2023 tillsynsbegäran mail.docx", "A 19751-2023")</f>
        <v/>
      </c>
    </row>
    <row r="568" ht="15" customHeight="1">
      <c r="A568" t="inlineStr">
        <is>
          <t>A 33385-2023</t>
        </is>
      </c>
      <c r="B568" s="1" t="n">
        <v>45128.58974537037</v>
      </c>
      <c r="C568" s="1" t="n">
        <v>46011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46430-2023</t>
        </is>
      </c>
      <c r="B569" s="1" t="n">
        <v>45197.5709375</v>
      </c>
      <c r="C569" s="1" t="n">
        <v>46011</v>
      </c>
      <c r="D569" t="inlineStr">
        <is>
          <t>UPPSALA LÄN</t>
        </is>
      </c>
      <c r="E569" t="inlineStr">
        <is>
          <t>HEBY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49707-2023</t>
        </is>
      </c>
      <c r="B570" s="1" t="n">
        <v>45208</v>
      </c>
      <c r="C570" s="1" t="n">
        <v>46011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25419-2022</t>
        </is>
      </c>
      <c r="B571" s="1" t="n">
        <v>44732</v>
      </c>
      <c r="C571" s="1" t="n">
        <v>46011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19555-2025</t>
        </is>
      </c>
      <c r="B572" s="1" t="n">
        <v>45770.51020833333</v>
      </c>
      <c r="C572" s="1" t="n">
        <v>46011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46408-2024</t>
        </is>
      </c>
      <c r="B573" s="1" t="n">
        <v>45582.44432870371</v>
      </c>
      <c r="C573" s="1" t="n">
        <v>46011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62132-2022</t>
        </is>
      </c>
      <c r="B574" s="1" t="n">
        <v>44914</v>
      </c>
      <c r="C574" s="1" t="n">
        <v>46011</v>
      </c>
      <c r="D574" t="inlineStr">
        <is>
          <t>UPPSALA LÄN</t>
        </is>
      </c>
      <c r="E574" t="inlineStr">
        <is>
          <t>HEBY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37111-2024</t>
        </is>
      </c>
      <c r="B575" s="1" t="n">
        <v>45539.51753472222</v>
      </c>
      <c r="C575" s="1" t="n">
        <v>46011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16167-2024</t>
        </is>
      </c>
      <c r="B576" s="1" t="n">
        <v>45406.61835648148</v>
      </c>
      <c r="C576" s="1" t="n">
        <v>46011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60461-2022</t>
        </is>
      </c>
      <c r="B577" s="1" t="n">
        <v>44911</v>
      </c>
      <c r="C577" s="1" t="n">
        <v>46011</v>
      </c>
      <c r="D577" t="inlineStr">
        <is>
          <t>UPPSALA LÄN</t>
        </is>
      </c>
      <c r="E577" t="inlineStr">
        <is>
          <t>HEBY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19721-2022</t>
        </is>
      </c>
      <c r="B578" s="1" t="n">
        <v>44694</v>
      </c>
      <c r="C578" s="1" t="n">
        <v>46011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44978.58922453703</v>
      </c>
      <c r="C579" s="1" t="n">
        <v>46011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62086-2023</t>
        </is>
      </c>
      <c r="B580" s="1" t="n">
        <v>45266.83394675926</v>
      </c>
      <c r="C580" s="1" t="n">
        <v>46011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60295-2021</t>
        </is>
      </c>
      <c r="B581" s="1" t="n">
        <v>44495</v>
      </c>
      <c r="C581" s="1" t="n">
        <v>46011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44093-2024</t>
        </is>
      </c>
      <c r="B582" s="1" t="n">
        <v>45572.6234837963</v>
      </c>
      <c r="C582" s="1" t="n">
        <v>46011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15326-2022</t>
        </is>
      </c>
      <c r="B583" s="1" t="n">
        <v>44659</v>
      </c>
      <c r="C583" s="1" t="n">
        <v>46011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18849-2024</t>
        </is>
      </c>
      <c r="B584" s="1" t="n">
        <v>45426.68497685185</v>
      </c>
      <c r="C584" s="1" t="n">
        <v>46011</v>
      </c>
      <c r="D584" t="inlineStr">
        <is>
          <t>UPPSALA LÄN</t>
        </is>
      </c>
      <c r="E584" t="inlineStr">
        <is>
          <t>HEBY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8856-2022</t>
        </is>
      </c>
      <c r="B585" s="1" t="n">
        <v>44614.54268518519</v>
      </c>
      <c r="C585" s="1" t="n">
        <v>46011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23411-2024</t>
        </is>
      </c>
      <c r="B586" s="1" t="n">
        <v>45453</v>
      </c>
      <c r="C586" s="1" t="n">
        <v>46011</v>
      </c>
      <c r="D586" t="inlineStr">
        <is>
          <t>UPPSALA LÄN</t>
        </is>
      </c>
      <c r="E586" t="inlineStr">
        <is>
          <t>HEBY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2212-2023</t>
        </is>
      </c>
      <c r="B587" s="1" t="n">
        <v>44942.40657407408</v>
      </c>
      <c r="C587" s="1" t="n">
        <v>46011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37103-2024</t>
        </is>
      </c>
      <c r="B588" s="1" t="n">
        <v>45539.50813657408</v>
      </c>
      <c r="C588" s="1" t="n">
        <v>46011</v>
      </c>
      <c r="D588" t="inlineStr">
        <is>
          <t>UPPSALA LÄN</t>
        </is>
      </c>
      <c r="E588" t="inlineStr">
        <is>
          <t>HEBY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2227-2023</t>
        </is>
      </c>
      <c r="B589" s="1" t="n">
        <v>44942.44016203703</v>
      </c>
      <c r="C589" s="1" t="n">
        <v>46011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49621-2024</t>
        </is>
      </c>
      <c r="B590" s="1" t="n">
        <v>45596</v>
      </c>
      <c r="C590" s="1" t="n">
        <v>46011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478-2025</t>
        </is>
      </c>
      <c r="B591" s="1" t="n">
        <v>45664.44835648148</v>
      </c>
      <c r="C591" s="1" t="n">
        <v>46011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6866-2022</t>
        </is>
      </c>
      <c r="B592" s="1" t="n">
        <v>44602.72481481481</v>
      </c>
      <c r="C592" s="1" t="n">
        <v>46011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30901-2023</t>
        </is>
      </c>
      <c r="B593" s="1" t="n">
        <v>45113</v>
      </c>
      <c r="C593" s="1" t="n">
        <v>46011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18148-2022</t>
        </is>
      </c>
      <c r="B594" s="1" t="n">
        <v>44684</v>
      </c>
      <c r="C594" s="1" t="n">
        <v>46011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41.8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66873-2021</t>
        </is>
      </c>
      <c r="B595" s="1" t="n">
        <v>44522</v>
      </c>
      <c r="C595" s="1" t="n">
        <v>46011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29387-2022</t>
        </is>
      </c>
      <c r="B596" s="1" t="n">
        <v>44753</v>
      </c>
      <c r="C596" s="1" t="n">
        <v>46011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13634-2023</t>
        </is>
      </c>
      <c r="B597" s="1" t="n">
        <v>45006.6362962963</v>
      </c>
      <c r="C597" s="1" t="n">
        <v>46011</v>
      </c>
      <c r="D597" t="inlineStr">
        <is>
          <t>UPPSALA LÄN</t>
        </is>
      </c>
      <c r="E597" t="inlineStr">
        <is>
          <t>HEBY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6151-2021</t>
        </is>
      </c>
      <c r="B598" s="1" t="n">
        <v>44232</v>
      </c>
      <c r="C598" s="1" t="n">
        <v>46011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6186-2021</t>
        </is>
      </c>
      <c r="B599" s="1" t="n">
        <v>44233</v>
      </c>
      <c r="C599" s="1" t="n">
        <v>46011</v>
      </c>
      <c r="D599" t="inlineStr">
        <is>
          <t>UPPSALA LÄN</t>
        </is>
      </c>
      <c r="E599" t="inlineStr">
        <is>
          <t>HEBY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36494-2021</t>
        </is>
      </c>
      <c r="B600" s="1" t="n">
        <v>44391</v>
      </c>
      <c r="C600" s="1" t="n">
        <v>46011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25995-2022</t>
        </is>
      </c>
      <c r="B601" s="1" t="n">
        <v>44734.51694444445</v>
      </c>
      <c r="C601" s="1" t="n">
        <v>46011</v>
      </c>
      <c r="D601" t="inlineStr">
        <is>
          <t>UPPSALA LÄN</t>
        </is>
      </c>
      <c r="E601" t="inlineStr">
        <is>
          <t>HEBY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24558-2023</t>
        </is>
      </c>
      <c r="B602" s="1" t="n">
        <v>45083</v>
      </c>
      <c r="C602" s="1" t="n">
        <v>46011</v>
      </c>
      <c r="D602" t="inlineStr">
        <is>
          <t>UPPSALA LÄN</t>
        </is>
      </c>
      <c r="E602" t="inlineStr">
        <is>
          <t>HEBY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6203-2023</t>
        </is>
      </c>
      <c r="B603" s="1" t="n">
        <v>44964.74861111111</v>
      </c>
      <c r="C603" s="1" t="n">
        <v>46011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20882-2022</t>
        </is>
      </c>
      <c r="B604" s="1" t="n">
        <v>44701.56520833333</v>
      </c>
      <c r="C604" s="1" t="n">
        <v>46011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14585-2023</t>
        </is>
      </c>
      <c r="B605" s="1" t="n">
        <v>45013</v>
      </c>
      <c r="C605" s="1" t="n">
        <v>46011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56352-2021</t>
        </is>
      </c>
      <c r="B606" s="1" t="n">
        <v>44480</v>
      </c>
      <c r="C606" s="1" t="n">
        <v>46011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9767-2023</t>
        </is>
      </c>
      <c r="B607" s="1" t="n">
        <v>44984</v>
      </c>
      <c r="C607" s="1" t="n">
        <v>46011</v>
      </c>
      <c r="D607" t="inlineStr">
        <is>
          <t>UPPSALA LÄN</t>
        </is>
      </c>
      <c r="E607" t="inlineStr">
        <is>
          <t>HEBY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51521-2023</t>
        </is>
      </c>
      <c r="B608" s="1" t="n">
        <v>45215</v>
      </c>
      <c r="C608" s="1" t="n">
        <v>46011</v>
      </c>
      <c r="D608" t="inlineStr">
        <is>
          <t>UPPSALA LÄN</t>
        </is>
      </c>
      <c r="E608" t="inlineStr">
        <is>
          <t>HEBY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9769-2023</t>
        </is>
      </c>
      <c r="B609" s="1" t="n">
        <v>44984</v>
      </c>
      <c r="C609" s="1" t="n">
        <v>46011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45964-2021</t>
        </is>
      </c>
      <c r="B610" s="1" t="n">
        <v>44441.68001157408</v>
      </c>
      <c r="C610" s="1" t="n">
        <v>46011</v>
      </c>
      <c r="D610" t="inlineStr">
        <is>
          <t>UPPSALA LÄN</t>
        </is>
      </c>
      <c r="E610" t="inlineStr">
        <is>
          <t>HEBY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13243-2022</t>
        </is>
      </c>
      <c r="B611" s="1" t="n">
        <v>44644.64444444444</v>
      </c>
      <c r="C611" s="1" t="n">
        <v>46011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17407-2023</t>
        </is>
      </c>
      <c r="B612" s="1" t="n">
        <v>45035.75166666666</v>
      </c>
      <c r="C612" s="1" t="n">
        <v>46011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48039-2024</t>
        </is>
      </c>
      <c r="B613" s="1" t="n">
        <v>45589.4975462963</v>
      </c>
      <c r="C613" s="1" t="n">
        <v>46011</v>
      </c>
      <c r="D613" t="inlineStr">
        <is>
          <t>UPPSALA LÄN</t>
        </is>
      </c>
      <c r="E613" t="inlineStr">
        <is>
          <t>HEBY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59858-2024</t>
        </is>
      </c>
      <c r="B614" s="1" t="n">
        <v>45639</v>
      </c>
      <c r="C614" s="1" t="n">
        <v>46011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46011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60788-2022</t>
        </is>
      </c>
      <c r="B616" s="1" t="n">
        <v>44914.41196759259</v>
      </c>
      <c r="C616" s="1" t="n">
        <v>46011</v>
      </c>
      <c r="D616" t="inlineStr">
        <is>
          <t>UPPSALA LÄN</t>
        </is>
      </c>
      <c r="E616" t="inlineStr">
        <is>
          <t>HEBY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11835-2024</t>
        </is>
      </c>
      <c r="B617" s="1" t="n">
        <v>45376.36833333333</v>
      </c>
      <c r="C617" s="1" t="n">
        <v>46011</v>
      </c>
      <c r="D617" t="inlineStr">
        <is>
          <t>UPPSALA LÄN</t>
        </is>
      </c>
      <c r="E617" t="inlineStr">
        <is>
          <t>HEBY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59207-2023</t>
        </is>
      </c>
      <c r="B618" s="1" t="n">
        <v>45252</v>
      </c>
      <c r="C618" s="1" t="n">
        <v>46011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30433-2023</t>
        </is>
      </c>
      <c r="B619" s="1" t="n">
        <v>45111</v>
      </c>
      <c r="C619" s="1" t="n">
        <v>46011</v>
      </c>
      <c r="D619" t="inlineStr">
        <is>
          <t>UPPSALA LÄN</t>
        </is>
      </c>
      <c r="E619" t="inlineStr">
        <is>
          <t>HEBY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34140-2023</t>
        </is>
      </c>
      <c r="B620" s="1" t="n">
        <v>45135</v>
      </c>
      <c r="C620" s="1" t="n">
        <v>46011</v>
      </c>
      <c r="D620" t="inlineStr">
        <is>
          <t>UPPSALA LÄN</t>
        </is>
      </c>
      <c r="E620" t="inlineStr">
        <is>
          <t>HEBY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33703-2023</t>
        </is>
      </c>
      <c r="B621" s="1" t="n">
        <v>45132.77611111111</v>
      </c>
      <c r="C621" s="1" t="n">
        <v>46011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31564-2023</t>
        </is>
      </c>
      <c r="B622" s="1" t="n">
        <v>45117</v>
      </c>
      <c r="C622" s="1" t="n">
        <v>46011</v>
      </c>
      <c r="D622" t="inlineStr">
        <is>
          <t>UPPSALA LÄN</t>
        </is>
      </c>
      <c r="E622" t="inlineStr">
        <is>
          <t>HEBY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52252-2024</t>
        </is>
      </c>
      <c r="B623" s="1" t="n">
        <v>45607</v>
      </c>
      <c r="C623" s="1" t="n">
        <v>46011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50172-2024</t>
        </is>
      </c>
      <c r="B624" s="1" t="n">
        <v>45599</v>
      </c>
      <c r="C624" s="1" t="n">
        <v>46011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56081-2024</t>
        </is>
      </c>
      <c r="B625" s="1" t="n">
        <v>45624</v>
      </c>
      <c r="C625" s="1" t="n">
        <v>46011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7173-2024</t>
        </is>
      </c>
      <c r="B626" s="1" t="n">
        <v>45344.48746527778</v>
      </c>
      <c r="C626" s="1" t="n">
        <v>46011</v>
      </c>
      <c r="D626" t="inlineStr">
        <is>
          <t>UPPSALA LÄN</t>
        </is>
      </c>
      <c r="E626" t="inlineStr">
        <is>
          <t>HEBY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4388-2025</t>
        </is>
      </c>
      <c r="B627" s="1" t="n">
        <v>45686.40940972222</v>
      </c>
      <c r="C627" s="1" t="n">
        <v>46011</v>
      </c>
      <c r="D627" t="inlineStr">
        <is>
          <t>UPPSALA LÄN</t>
        </is>
      </c>
      <c r="E627" t="inlineStr">
        <is>
          <t>HEBY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9194-2025</t>
        </is>
      </c>
      <c r="B628" s="1" t="n">
        <v>45714.46084490741</v>
      </c>
      <c r="C628" s="1" t="n">
        <v>46011</v>
      </c>
      <c r="D628" t="inlineStr">
        <is>
          <t>UPPSALA LÄN</t>
        </is>
      </c>
      <c r="E628" t="inlineStr">
        <is>
          <t>HEBY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2303-2025</t>
        </is>
      </c>
      <c r="B629" s="1" t="n">
        <v>45673.5980787037</v>
      </c>
      <c r="C629" s="1" t="n">
        <v>46011</v>
      </c>
      <c r="D629" t="inlineStr">
        <is>
          <t>UPPSALA LÄN</t>
        </is>
      </c>
      <c r="E629" t="inlineStr">
        <is>
          <t>HEBY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60456-2022</t>
        </is>
      </c>
      <c r="B630" s="1" t="n">
        <v>44911.3789699074</v>
      </c>
      <c r="C630" s="1" t="n">
        <v>46011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16847-2024</t>
        </is>
      </c>
      <c r="B631" s="1" t="n">
        <v>45411.49923611111</v>
      </c>
      <c r="C631" s="1" t="n">
        <v>46011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39536-2024</t>
        </is>
      </c>
      <c r="B632" s="1" t="n">
        <v>45551.87931712963</v>
      </c>
      <c r="C632" s="1" t="n">
        <v>46011</v>
      </c>
      <c r="D632" t="inlineStr">
        <is>
          <t>UPPSALA LÄN</t>
        </is>
      </c>
      <c r="E632" t="inlineStr">
        <is>
          <t>HEBY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33376-2024</t>
        </is>
      </c>
      <c r="B633" s="1" t="n">
        <v>45519.44510416667</v>
      </c>
      <c r="C633" s="1" t="n">
        <v>46011</v>
      </c>
      <c r="D633" t="inlineStr">
        <is>
          <t>UPPSALA LÄN</t>
        </is>
      </c>
      <c r="E633" t="inlineStr">
        <is>
          <t>HEBY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33381-2024</t>
        </is>
      </c>
      <c r="B634" s="1" t="n">
        <v>45519</v>
      </c>
      <c r="C634" s="1" t="n">
        <v>46011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58124-2022</t>
        </is>
      </c>
      <c r="B635" s="1" t="n">
        <v>44900.66995370371</v>
      </c>
      <c r="C635" s="1" t="n">
        <v>46011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21310-2023</t>
        </is>
      </c>
      <c r="B636" s="1" t="n">
        <v>45058</v>
      </c>
      <c r="C636" s="1" t="n">
        <v>46011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57674-2024</t>
        </is>
      </c>
      <c r="B637" s="1" t="n">
        <v>45630</v>
      </c>
      <c r="C637" s="1" t="n">
        <v>46011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48956-2023</t>
        </is>
      </c>
      <c r="B638" s="1" t="n">
        <v>45209.58532407408</v>
      </c>
      <c r="C638" s="1" t="n">
        <v>46011</v>
      </c>
      <c r="D638" t="inlineStr">
        <is>
          <t>UPPSALA LÄN</t>
        </is>
      </c>
      <c r="E638" t="inlineStr">
        <is>
          <t>HEBY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11060-2025</t>
        </is>
      </c>
      <c r="B639" s="1" t="n">
        <v>45723.51342592593</v>
      </c>
      <c r="C639" s="1" t="n">
        <v>46011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11075-2025</t>
        </is>
      </c>
      <c r="B640" s="1" t="n">
        <v>45723.55233796296</v>
      </c>
      <c r="C640" s="1" t="n">
        <v>46011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9043-2023</t>
        </is>
      </c>
      <c r="B641" s="1" t="n">
        <v>44979.66287037037</v>
      </c>
      <c r="C641" s="1" t="n">
        <v>46011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46011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19559-2025</t>
        </is>
      </c>
      <c r="B643" s="1" t="n">
        <v>45770.51476851852</v>
      </c>
      <c r="C643" s="1" t="n">
        <v>46011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3779-2024</t>
        </is>
      </c>
      <c r="B644" s="1" t="n">
        <v>45321.5900462963</v>
      </c>
      <c r="C644" s="1" t="n">
        <v>46011</v>
      </c>
      <c r="D644" t="inlineStr">
        <is>
          <t>UPPSALA LÄN</t>
        </is>
      </c>
      <c r="E644" t="inlineStr">
        <is>
          <t>HEBY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52955-2022</t>
        </is>
      </c>
      <c r="B645" s="1" t="n">
        <v>44875</v>
      </c>
      <c r="C645" s="1" t="n">
        <v>46011</v>
      </c>
      <c r="D645" t="inlineStr">
        <is>
          <t>UPPSALA LÄN</t>
        </is>
      </c>
      <c r="E645" t="inlineStr">
        <is>
          <t>HEBY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57880-2024</t>
        </is>
      </c>
      <c r="B646" s="1" t="n">
        <v>45631</v>
      </c>
      <c r="C646" s="1" t="n">
        <v>46011</v>
      </c>
      <c r="D646" t="inlineStr">
        <is>
          <t>UPPSALA LÄN</t>
        </is>
      </c>
      <c r="E646" t="inlineStr">
        <is>
          <t>HEBY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31575-2023</t>
        </is>
      </c>
      <c r="B647" s="1" t="n">
        <v>45117</v>
      </c>
      <c r="C647" s="1" t="n">
        <v>46011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7468-2025</t>
        </is>
      </c>
      <c r="B648" s="1" t="n">
        <v>45705.45865740741</v>
      </c>
      <c r="C648" s="1" t="n">
        <v>46011</v>
      </c>
      <c r="D648" t="inlineStr">
        <is>
          <t>UPPSALA LÄN</t>
        </is>
      </c>
      <c r="E648" t="inlineStr">
        <is>
          <t>HEBY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48430-2024</t>
        </is>
      </c>
      <c r="B649" s="1" t="n">
        <v>45590</v>
      </c>
      <c r="C649" s="1" t="n">
        <v>46011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14262-2025</t>
        </is>
      </c>
      <c r="B650" s="1" t="n">
        <v>45740.63020833334</v>
      </c>
      <c r="C650" s="1" t="n">
        <v>46011</v>
      </c>
      <c r="D650" t="inlineStr">
        <is>
          <t>UPPSALA LÄN</t>
        </is>
      </c>
      <c r="E650" t="inlineStr">
        <is>
          <t>HEBY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41599-2023</t>
        </is>
      </c>
      <c r="B651" s="1" t="n">
        <v>45175.6459375</v>
      </c>
      <c r="C651" s="1" t="n">
        <v>46011</v>
      </c>
      <c r="D651" t="inlineStr">
        <is>
          <t>UPPSALA LÄN</t>
        </is>
      </c>
      <c r="E651" t="inlineStr">
        <is>
          <t>HEBY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30297-2021</t>
        </is>
      </c>
      <c r="B652" s="1" t="n">
        <v>44364</v>
      </c>
      <c r="C652" s="1" t="n">
        <v>46011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54594-2024</t>
        </is>
      </c>
      <c r="B653" s="1" t="n">
        <v>45617</v>
      </c>
      <c r="C653" s="1" t="n">
        <v>46011</v>
      </c>
      <c r="D653" t="inlineStr">
        <is>
          <t>UPPSALA LÄN</t>
        </is>
      </c>
      <c r="E653" t="inlineStr">
        <is>
          <t>HEBY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17697-2024</t>
        </is>
      </c>
      <c r="B654" s="1" t="n">
        <v>45418</v>
      </c>
      <c r="C654" s="1" t="n">
        <v>46011</v>
      </c>
      <c r="D654" t="inlineStr">
        <is>
          <t>UPPSALA LÄN</t>
        </is>
      </c>
      <c r="E654" t="inlineStr">
        <is>
          <t>HEBY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15424-2025</t>
        </is>
      </c>
      <c r="B655" s="1" t="n">
        <v>45747.46403935185</v>
      </c>
      <c r="C655" s="1" t="n">
        <v>46011</v>
      </c>
      <c r="D655" t="inlineStr">
        <is>
          <t>UPPSALA LÄN</t>
        </is>
      </c>
      <c r="E655" t="inlineStr">
        <is>
          <t>HEBY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20772-2025</t>
        </is>
      </c>
      <c r="B656" s="1" t="n">
        <v>45776</v>
      </c>
      <c r="C656" s="1" t="n">
        <v>46011</v>
      </c>
      <c r="D656" t="inlineStr">
        <is>
          <t>UPPSALA LÄN</t>
        </is>
      </c>
      <c r="E656" t="inlineStr">
        <is>
          <t>HEBY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46011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37781-2022</t>
        </is>
      </c>
      <c r="B658" s="1" t="n">
        <v>44810</v>
      </c>
      <c r="C658" s="1" t="n">
        <v>46011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21.6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22334-2025</t>
        </is>
      </c>
      <c r="B659" s="1" t="n">
        <v>45786.4380787037</v>
      </c>
      <c r="C659" s="1" t="n">
        <v>46011</v>
      </c>
      <c r="D659" t="inlineStr">
        <is>
          <t>UPPSALA LÄN</t>
        </is>
      </c>
      <c r="E659" t="inlineStr">
        <is>
          <t>HEBY</t>
        </is>
      </c>
      <c r="F659" t="inlineStr">
        <is>
          <t>Kyrkan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14437-2024</t>
        </is>
      </c>
      <c r="B660" s="1" t="n">
        <v>45394</v>
      </c>
      <c r="C660" s="1" t="n">
        <v>46011</v>
      </c>
      <c r="D660" t="inlineStr">
        <is>
          <t>UPPSALA LÄN</t>
        </is>
      </c>
      <c r="E660" t="inlineStr">
        <is>
          <t>HEBY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62084-2023</t>
        </is>
      </c>
      <c r="B661" s="1" t="n">
        <v>45266.82302083333</v>
      </c>
      <c r="C661" s="1" t="n">
        <v>46011</v>
      </c>
      <c r="D661" t="inlineStr">
        <is>
          <t>UPPSALA LÄN</t>
        </is>
      </c>
      <c r="E661" t="inlineStr">
        <is>
          <t>HEBY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31108-2021</t>
        </is>
      </c>
      <c r="B662" s="1" t="n">
        <v>44368</v>
      </c>
      <c r="C662" s="1" t="n">
        <v>46011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öst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22455-2025</t>
        </is>
      </c>
      <c r="B663" s="1" t="n">
        <v>45786.60577546297</v>
      </c>
      <c r="C663" s="1" t="n">
        <v>46011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8699-2024</t>
        </is>
      </c>
      <c r="B664" s="1" t="n">
        <v>45355</v>
      </c>
      <c r="C664" s="1" t="n">
        <v>46011</v>
      </c>
      <c r="D664" t="inlineStr">
        <is>
          <t>UPPSALA LÄN</t>
        </is>
      </c>
      <c r="E664" t="inlineStr">
        <is>
          <t>HEBY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13601-2024</t>
        </is>
      </c>
      <c r="B665" s="1" t="n">
        <v>45390.31896990741</v>
      </c>
      <c r="C665" s="1" t="n">
        <v>46011</v>
      </c>
      <c r="D665" t="inlineStr">
        <is>
          <t>UPPSALA LÄN</t>
        </is>
      </c>
      <c r="E665" t="inlineStr">
        <is>
          <t>HEBY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37073-2024</t>
        </is>
      </c>
      <c r="B666" s="1" t="n">
        <v>45539.47310185185</v>
      </c>
      <c r="C666" s="1" t="n">
        <v>46011</v>
      </c>
      <c r="D666" t="inlineStr">
        <is>
          <t>UPPSALA LÄN</t>
        </is>
      </c>
      <c r="E666" t="inlineStr">
        <is>
          <t>HEBY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13213-2022</t>
        </is>
      </c>
      <c r="B667" s="1" t="n">
        <v>44644</v>
      </c>
      <c r="C667" s="1" t="n">
        <v>46011</v>
      </c>
      <c r="D667" t="inlineStr">
        <is>
          <t>UPPSALA LÄN</t>
        </is>
      </c>
      <c r="E667" t="inlineStr">
        <is>
          <t>HEBY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22460-2025</t>
        </is>
      </c>
      <c r="B668" s="1" t="n">
        <v>45786.60734953704</v>
      </c>
      <c r="C668" s="1" t="n">
        <v>46011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22333-2025</t>
        </is>
      </c>
      <c r="B669" s="1" t="n">
        <v>45786.43655092592</v>
      </c>
      <c r="C669" s="1" t="n">
        <v>46011</v>
      </c>
      <c r="D669" t="inlineStr">
        <is>
          <t>UPPSALA LÄN</t>
        </is>
      </c>
      <c r="E669" t="inlineStr">
        <is>
          <t>HEBY</t>
        </is>
      </c>
      <c r="F669" t="inlineStr">
        <is>
          <t>Kyrkan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2025-12-20T14:08:04Z</dcterms:created>
  <dcterms:modified xmlns:dcterms="http://purl.org/dc/terms/" xmlns:xsi="http://www.w3.org/2001/XMLSchema-instance" xsi:type="dcterms:W3CDTF">2025-12-20T14:08:05Z</dcterms:modified>
</cp:coreProperties>
</file>
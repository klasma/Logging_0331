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46275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46275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46275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46275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46275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46275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46275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46275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46275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46275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46275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46275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4610-2025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45687</v>
      </c>
      <c r="E19" s="1" t="n">
        <v>46275</v>
      </c>
      <c r="F19" t="inlineStr">
        <is>
          <t>UPPSALA LÄN</t>
        </is>
      </c>
      <c r="G19" t="inlineStr">
        <is>
          <t>HEBY</t>
        </is>
      </c>
      <c r="I19" t="n">
        <v>25.1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14</v>
      </c>
      <c r="U19" t="n">
        <v>5</v>
      </c>
      <c r="V19" s="2" t="inlineStr">
        <is>
          <t>Större flatbagge
Granbräken
Gulnål
Jättesvampmal
Rankstarr</t>
        </is>
      </c>
      <c r="W19">
        <f>HYPERLINK("https://klasma.github.io/Logging_0331/artfynd/A 4610-2025 artfynd.xlsx", "A 4610-2025")</f>
        <v/>
      </c>
      <c r="X19">
        <f>HYPERLINK("https://klasma.github.io/Logging_0331/kartor/A 4610-2025 karta.png", "A 4610-2025")</f>
        <v/>
      </c>
      <c r="Y19">
        <f>HYPERLINK("https://klasma.github.io/Logging_0331/kartor_geotiff/A 4610-2025 georefererad karta.tif", "A 4610-2025")</f>
        <v/>
      </c>
      <c r="AA19">
        <f>HYPERLINK("https://klasma.github.io/Logging_0331/klagomål/A 4610-2025 FSC-klagomål.docx", "A 4610-2025")</f>
        <v/>
      </c>
      <c r="AB19">
        <f>HYPERLINK("https://klasma.github.io/Logging_0331/klagomålsmail/A 4610-2025 FSC-klagomål mail.docx", "A 4610-2025")</f>
        <v/>
      </c>
      <c r="AC19">
        <f>HYPERLINK("https://klasma.github.io/Logging_0331/tillsyn/A 4610-2025 tillsynsbegäran.docx", "A 4610-2025")</f>
        <v/>
      </c>
      <c r="AD19">
        <f>HYPERLINK("https://klasma.github.io/Logging_0331/tillsynsmail/A 4610-2025 tillsynsbegäran mail.docx", "A 4610-2025")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46275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46275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46275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46275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30090-2024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45485</v>
      </c>
      <c r="E24" s="1" t="n">
        <v>46275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2.1</v>
      </c>
      <c r="J24" t="n">
        <v>0</v>
      </c>
      <c r="K24" t="n">
        <v>3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Aspsplintbock
Aspvedgnagare
Björksplintborre
Jättesvampmal</t>
        </is>
      </c>
      <c r="W24">
        <f>HYPERLINK("https://klasma.github.io/Logging_0331/artfynd/A 30090-2024 artfynd.xlsx", "A 30090-2024")</f>
        <v/>
      </c>
      <c r="X24">
        <f>HYPERLINK("https://klasma.github.io/Logging_0331/kartor/A 30090-2024 karta.png", "A 30090-2024")</f>
        <v/>
      </c>
      <c r="Y24">
        <f>HYPERLINK("https://klasma.github.io/Logging_0331/kartor_geotiff/A 30090-2024 georefererad karta.tif", "A 30090-2024")</f>
        <v/>
      </c>
      <c r="AA24">
        <f>HYPERLINK("https://klasma.github.io/Logging_0331/klagomål/A 30090-2024 FSC-klagomål.docx", "A 30090-2024")</f>
        <v/>
      </c>
      <c r="AB24">
        <f>HYPERLINK("https://klasma.github.io/Logging_0331/klagomålsmail/A 30090-2024 FSC-klagomål mail.docx", "A 30090-2024")</f>
        <v/>
      </c>
      <c r="AC24">
        <f>HYPERLINK("https://klasma.github.io/Logging_0331/tillsyn/A 30090-2024 tillsynsbegäran.docx", "A 30090-2024")</f>
        <v/>
      </c>
      <c r="AD24">
        <f>HYPERLINK("https://klasma.github.io/Logging_0331/tillsynsmail/A 30090-2024 tillsynsbegäran mail.docx", "A 30090-2024")</f>
        <v/>
      </c>
    </row>
    <row r="25" ht="15" customHeight="1">
      <c r="A25" t="inlineStr">
        <is>
          <t>A 51733-2023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46275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17.7</v>
      </c>
      <c r="J25" t="n">
        <v>4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14</v>
      </c>
      <c r="U25" t="n">
        <v>14</v>
      </c>
      <c r="V25" s="2" t="inlineStr">
        <is>
          <t>Knärot
Blåsippa
Lopplummer (aggregat)
Revlummer</t>
        </is>
      </c>
      <c r="W25">
        <f>HYPERLINK("https://klasma.github.io/Logging_0331/artfynd/A 51733-2023 artfynd.xlsx", "A 51733-2023")</f>
        <v/>
      </c>
      <c r="X25">
        <f>HYPERLINK("https://klasma.github.io/Logging_0331/kartor/A 51733-2023 karta.png", "A 51733-2023")</f>
        <v/>
      </c>
      <c r="Y25">
        <f>HYPERLINK("https://klasma.github.io/Logging_0331/kartor_geotiff/A 51733-2023 georefererad karta.tif", "A 51733-2023")</f>
        <v/>
      </c>
      <c r="Z25">
        <f>HYPERLINK("https://klasma.github.io/Logging_0331/knärot/A 51733-2023 karta knärot.png", "A 51733-2023")</f>
        <v/>
      </c>
      <c r="AA25">
        <f>HYPERLINK("https://klasma.github.io/Logging_0331/klagomål/A 51733-2023 FSC-klagomål.docx", "A 51733-2023")</f>
        <v/>
      </c>
      <c r="AB25">
        <f>HYPERLINK("https://klasma.github.io/Logging_0331/klagomålsmail/A 51733-2023 FSC-klagomål mail.docx", "A 51733-2023")</f>
        <v/>
      </c>
      <c r="AC25">
        <f>HYPERLINK("https://klasma.github.io/Logging_0331/tillsyn/A 51733-2023 tillsynsbegäran.docx", "A 51733-2023")</f>
        <v/>
      </c>
      <c r="AD25">
        <f>HYPERLINK("https://klasma.github.io/Logging_0331/tillsynsmail/A 51733-2023 tillsynsbegäran mail.docx", "A 51733-2023")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46275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32785-2023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46275</v>
      </c>
      <c r="F27" t="inlineStr">
        <is>
          <t>UPPSALA LÄN</t>
        </is>
      </c>
      <c r="G27" t="inlineStr">
        <is>
          <t>HEBY</t>
        </is>
      </c>
      <c r="I27" t="n">
        <v>3.1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5</v>
      </c>
      <c r="U27" t="n">
        <v>3</v>
      </c>
      <c r="V27" s="2" t="inlineStr">
        <is>
          <t>Garnlav
Talltita
Spillkråka
Huggorm</t>
        </is>
      </c>
      <c r="W27">
        <f>HYPERLINK("https://klasma.github.io/Logging_0331/artfynd/A 32785-2023 artfynd.xlsx", "A 32785-2023")</f>
        <v/>
      </c>
      <c r="X27">
        <f>HYPERLINK("https://klasma.github.io/Logging_0331/kartor/A 32785-2023 karta.png", "A 32785-2023")</f>
        <v/>
      </c>
      <c r="Y27">
        <f>HYPERLINK("https://klasma.github.io/Logging_0331/kartor_geotiff/A 32785-2023 georefererad karta.tif", "A 32785-2023")</f>
        <v/>
      </c>
      <c r="AA27">
        <f>HYPERLINK("https://klasma.github.io/Logging_0331/klagomål/A 32785-2023 FSC-klagomål.docx", "A 32785-2023")</f>
        <v/>
      </c>
      <c r="AB27">
        <f>HYPERLINK("https://klasma.github.io/Logging_0331/klagomålsmail/A 32785-2023 FSC-klagomål mail.docx", "A 32785-2023")</f>
        <v/>
      </c>
      <c r="AC27">
        <f>HYPERLINK("https://klasma.github.io/Logging_0331/tillsyn/A 32785-2023 tillsynsbegäran.docx", "A 32785-2023")</f>
        <v/>
      </c>
      <c r="AD27">
        <f>HYPERLINK("https://klasma.github.io/Logging_0331/tillsynsmail/A 32785-2023 tillsynsbegäran mail.docx", "A 32785-2023")</f>
        <v/>
      </c>
      <c r="AE27">
        <f>HYPERLINK("https://klasma.github.io/Logging_0331/fåglar/A 32785-2023 prioriterade fågelarter.docx", "A 32785-2023")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46275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46275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46275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46275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46275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46275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46275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46275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46275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46275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46275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46275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46275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40662-2023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46275</v>
      </c>
      <c r="F41" t="inlineStr">
        <is>
          <t>UPPSALA LÄN</t>
        </is>
      </c>
      <c r="G41" t="inlineStr">
        <is>
          <t>HEBY</t>
        </is>
      </c>
      <c r="H41" t="inlineStr">
        <is>
          <t>Övriga Aktiebolag</t>
        </is>
      </c>
      <c r="I41" t="n">
        <v>5.7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3</v>
      </c>
      <c r="U41" t="n">
        <v>0</v>
      </c>
      <c r="V41" s="2" t="inlineStr">
        <is>
          <t>Knärot
Fläcknycklar</t>
        </is>
      </c>
      <c r="W41">
        <f>HYPERLINK("https://klasma.github.io/Logging_0331/artfynd/A 40662-2023 artfynd.xlsx", "A 40662-2023")</f>
        <v/>
      </c>
      <c r="X41">
        <f>HYPERLINK("https://klasma.github.io/Logging_0331/kartor/A 40662-2023 karta.png", "A 40662-2023")</f>
        <v/>
      </c>
      <c r="Y41">
        <f>HYPERLINK("https://klasma.github.io/Logging_0331/kartor_geotiff/A 40662-2023 georefererad karta.tif", "A 40662-2023")</f>
        <v/>
      </c>
      <c r="Z41">
        <f>HYPERLINK("https://klasma.github.io/Logging_0331/knärot/A 40662-2023 karta knärot.png", "A 40662-2023")</f>
        <v/>
      </c>
      <c r="AA41">
        <f>HYPERLINK("https://klasma.github.io/Logging_0331/klagomål/A 40662-2023 FSC-klagomål.docx", "A 40662-2023")</f>
        <v/>
      </c>
      <c r="AB41">
        <f>HYPERLINK("https://klasma.github.io/Logging_0331/klagomålsmail/A 40662-2023 FSC-klagomål mail.docx", "A 40662-2023")</f>
        <v/>
      </c>
      <c r="AC41">
        <f>HYPERLINK("https://klasma.github.io/Logging_0331/tillsyn/A 40662-2023 tillsynsbegäran.docx", "A 40662-2023")</f>
        <v/>
      </c>
      <c r="AD41">
        <f>HYPERLINK("https://klasma.github.io/Logging_0331/tillsynsmail/A 40662-2023 tillsynsbegäran mail.docx", "A 40662-2023")</f>
        <v/>
      </c>
    </row>
    <row r="42" ht="15" customHeight="1">
      <c r="A42" t="inlineStr">
        <is>
          <t>A 17972-2024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45419</v>
      </c>
      <c r="E42" s="1" t="n">
        <v>46275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9.699999999999999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2</v>
      </c>
      <c r="V42" s="2" t="inlineStr">
        <is>
          <t>Spädstarr
Repestarr</t>
        </is>
      </c>
      <c r="W42">
        <f>HYPERLINK("https://klasma.github.io/Logging_0331/artfynd/A 17972-2024 artfynd.xlsx", "A 17972-2024")</f>
        <v/>
      </c>
      <c r="X42">
        <f>HYPERLINK("https://klasma.github.io/Logging_0331/kartor/A 17972-2024 karta.png", "A 17972-2024")</f>
        <v/>
      </c>
      <c r="Y42">
        <f>HYPERLINK("https://klasma.github.io/Logging_0331/kartor_geotiff/A 17972-2024 georefererad karta.tif", "A 17972-2024")</f>
        <v/>
      </c>
      <c r="AA42">
        <f>HYPERLINK("https://klasma.github.io/Logging_0331/klagomål/A 17972-2024 FSC-klagomål.docx", "A 17972-2024")</f>
        <v/>
      </c>
      <c r="AB42">
        <f>HYPERLINK("https://klasma.github.io/Logging_0331/klagomålsmail/A 17972-2024 FSC-klagomål mail.docx", "A 17972-2024")</f>
        <v/>
      </c>
      <c r="AC42">
        <f>HYPERLINK("https://klasma.github.io/Logging_0331/tillsyn/A 17972-2024 tillsynsbegäran.docx", "A 17972-2024")</f>
        <v/>
      </c>
      <c r="AD42">
        <f>HYPERLINK("https://klasma.github.io/Logging_0331/tillsynsmail/A 17972-2024 tillsynsbegäran mail.docx", "A 17972-2024")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46275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46275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46275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46275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46275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46275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46275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46275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46275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46275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46275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27871-2023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46275</v>
      </c>
      <c r="F54" t="inlineStr">
        <is>
          <t>UPPSALA LÄN</t>
        </is>
      </c>
      <c r="G54" t="inlineStr">
        <is>
          <t>HEBY</t>
        </is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HYPERLINK("https://klasma.github.io/Logging_0331/artfynd/A 27871-2023 artfynd.xlsx", "A 27871-2023")</f>
        <v/>
      </c>
      <c r="X54">
        <f>HYPERLINK("https://klasma.github.io/Logging_0331/kartor/A 27871-2023 karta.png", "A 27871-2023")</f>
        <v/>
      </c>
      <c r="Y54">
        <f>HYPERLINK("https://klasma.github.io/Logging_0331/kartor_geotiff/A 27871-2023 georefererad karta.tif", "A 27871-2023")</f>
        <v/>
      </c>
      <c r="AA54">
        <f>HYPERLINK("https://klasma.github.io/Logging_0331/klagomål/A 27871-2023 FSC-klagomål.docx", "A 27871-2023")</f>
        <v/>
      </c>
      <c r="AB54">
        <f>HYPERLINK("https://klasma.github.io/Logging_0331/klagomålsmail/A 27871-2023 FSC-klagomål mail.docx", "A 27871-2023")</f>
        <v/>
      </c>
      <c r="AC54">
        <f>HYPERLINK("https://klasma.github.io/Logging_0331/tillsyn/A 27871-2023 tillsynsbegäran.docx", "A 27871-2023")</f>
        <v/>
      </c>
      <c r="AD54">
        <f>HYPERLINK("https://klasma.github.io/Logging_0331/tillsynsmail/A 27871-2023 tillsynsbegäran mail.docx", "A 27871-2023")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46275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46275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53992-2023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45231</v>
      </c>
      <c r="E57" s="1" t="n">
        <v>46275</v>
      </c>
      <c r="F57" t="inlineStr">
        <is>
          <t>UPPSALA LÄN</t>
        </is>
      </c>
      <c r="G57" t="inlineStr">
        <is>
          <t>HEBY</t>
        </is>
      </c>
      <c r="I57" t="n">
        <v>1.2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HYPERLINK("https://klasma.github.io/Logging_0331/artfynd/A 53992-2023 artfynd.xlsx", "A 53992-2023")</f>
        <v/>
      </c>
      <c r="X57">
        <f>HYPERLINK("https://klasma.github.io/Logging_0331/kartor/A 53992-2023 karta.png", "A 53992-2023")</f>
        <v/>
      </c>
      <c r="Y57">
        <f>HYPERLINK("https://klasma.github.io/Logging_0331/kartor_geotiff/A 53992-2023 georefererad karta.tif", "A 53992-2023")</f>
        <v/>
      </c>
      <c r="AA57">
        <f>HYPERLINK("https://klasma.github.io/Logging_0331/klagomål/A 53992-2023 FSC-klagomål.docx", "A 53992-2023")</f>
        <v/>
      </c>
      <c r="AB57">
        <f>HYPERLINK("https://klasma.github.io/Logging_0331/klagomålsmail/A 53992-2023 FSC-klagomål mail.docx", "A 53992-2023")</f>
        <v/>
      </c>
      <c r="AC57">
        <f>HYPERLINK("https://klasma.github.io/Logging_0331/tillsyn/A 53992-2023 tillsynsbegäran.docx", "A 53992-2023")</f>
        <v/>
      </c>
      <c r="AD57">
        <f>HYPERLINK("https://klasma.github.io/Logging_0331/tillsynsmail/A 53992-2023 tillsynsbegäran mail.docx", "A 53992-2023")</f>
        <v/>
      </c>
    </row>
    <row r="58" ht="15" customHeight="1">
      <c r="A58" t="inlineStr">
        <is>
          <t>A 8624-2024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46275</v>
      </c>
      <c r="F58" t="inlineStr">
        <is>
          <t>UPPSALA LÄN</t>
        </is>
      </c>
      <c r="G58" t="inlineStr">
        <is>
          <t>HEBY</t>
        </is>
      </c>
      <c r="I58" t="n">
        <v>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11</v>
      </c>
      <c r="U58" t="n">
        <v>0</v>
      </c>
      <c r="V58" s="2" t="inlineStr">
        <is>
          <t>Motaggsvamp</t>
        </is>
      </c>
      <c r="W58">
        <f>HYPERLINK("https://klasma.github.io/Logging_0331/artfynd/A 8624-2024 artfynd.xlsx", "A 8624-2024")</f>
        <v/>
      </c>
      <c r="X58">
        <f>HYPERLINK("https://klasma.github.io/Logging_0331/kartor/A 8624-2024 karta.png", "A 8624-2024")</f>
        <v/>
      </c>
      <c r="Y58">
        <f>HYPERLINK("https://klasma.github.io/Logging_0331/kartor_geotiff/A 8624-2024 georefererad karta.tif", "A 8624-2024")</f>
        <v/>
      </c>
      <c r="AA58">
        <f>HYPERLINK("https://klasma.github.io/Logging_0331/klagomål/A 8624-2024 FSC-klagomål.docx", "A 8624-2024")</f>
        <v/>
      </c>
      <c r="AB58">
        <f>HYPERLINK("https://klasma.github.io/Logging_0331/klagomålsmail/A 8624-2024 FSC-klagomål mail.docx", "A 8624-2024")</f>
        <v/>
      </c>
      <c r="AC58">
        <f>HYPERLINK("https://klasma.github.io/Logging_0331/tillsyn/A 8624-2024 tillsynsbegäran.docx", "A 8624-2024")</f>
        <v/>
      </c>
      <c r="AD58">
        <f>HYPERLINK("https://klasma.github.io/Logging_0331/tillsynsmail/A 8624-2024 tillsynsbegäran mail.docx", "A 8624-2024")</f>
        <v/>
      </c>
    </row>
    <row r="59" ht="15" customHeight="1">
      <c r="A59" t="inlineStr">
        <is>
          <t>A 17697-2024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45418</v>
      </c>
      <c r="E59" s="1" t="n">
        <v>46275</v>
      </c>
      <c r="F59" t="inlineStr">
        <is>
          <t>UPPSALA LÄN</t>
        </is>
      </c>
      <c r="G59" t="inlineStr">
        <is>
          <t>HEBY</t>
        </is>
      </c>
      <c r="I59" t="n">
        <v>0.6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Mindre bastardsvärmare</t>
        </is>
      </c>
      <c r="W59">
        <f>HYPERLINK("https://klasma.github.io/Logging_0331/artfynd/A 17697-2024 artfynd.xlsx", "A 17697-2024")</f>
        <v/>
      </c>
      <c r="X59">
        <f>HYPERLINK("https://klasma.github.io/Logging_0331/kartor/A 17697-2024 karta.png", "A 17697-2024")</f>
        <v/>
      </c>
      <c r="Y59">
        <f>HYPERLINK("https://klasma.github.io/Logging_0331/kartor_geotiff/A 17697-2024 georefererad karta.tif", "A 17697-2024")</f>
        <v/>
      </c>
      <c r="AA59">
        <f>HYPERLINK("https://klasma.github.io/Logging_0331/klagomål/A 17697-2024 FSC-klagomål.docx", "A 17697-2024")</f>
        <v/>
      </c>
      <c r="AB59">
        <f>HYPERLINK("https://klasma.github.io/Logging_0331/klagomålsmail/A 17697-2024 FSC-klagomål mail.docx", "A 17697-2024")</f>
        <v/>
      </c>
      <c r="AC59">
        <f>HYPERLINK("https://klasma.github.io/Logging_0331/tillsyn/A 17697-2024 tillsynsbegäran.docx", "A 17697-2024")</f>
        <v/>
      </c>
      <c r="AD59">
        <f>HYPERLINK("https://klasma.github.io/Logging_0331/tillsynsmail/A 17697-2024 tillsynsbegäran mail.docx", "A 17697-2024")</f>
        <v/>
      </c>
    </row>
    <row r="60" ht="15" customHeight="1">
      <c r="A60" t="inlineStr">
        <is>
          <t>A 31569-2023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46275</v>
      </c>
      <c r="F60" t="inlineStr">
        <is>
          <t>UPPSALA LÄN</t>
        </is>
      </c>
      <c r="G60" t="inlineStr">
        <is>
          <t>HEBY</t>
        </is>
      </c>
      <c r="I60" t="n">
        <v>2.5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HYPERLINK("https://klasma.github.io/Logging_0331/artfynd/A 31569-2023 artfynd.xlsx", "A 31569-2023")</f>
        <v/>
      </c>
      <c r="X60">
        <f>HYPERLINK("https://klasma.github.io/Logging_0331/kartor/A 31569-2023 karta.png", "A 31569-2023")</f>
        <v/>
      </c>
      <c r="Y60">
        <f>HYPERLINK("https://klasma.github.io/Logging_0331/kartor_geotiff/A 31569-2023 georefererad karta.tif", "A 31569-2023")</f>
        <v/>
      </c>
      <c r="Z60">
        <f>HYPERLINK("https://klasma.github.io/Logging_0331/knärot/A 31569-2023 karta knärot.png", "A 31569-2023")</f>
        <v/>
      </c>
      <c r="AA60">
        <f>HYPERLINK("https://klasma.github.io/Logging_0331/klagomål/A 31569-2023 FSC-klagomål.docx", "A 31569-2023")</f>
        <v/>
      </c>
      <c r="AB60">
        <f>HYPERLINK("https://klasma.github.io/Logging_0331/klagomålsmail/A 31569-2023 FSC-klagomål mail.docx", "A 31569-2023")</f>
        <v/>
      </c>
      <c r="AC60">
        <f>HYPERLINK("https://klasma.github.io/Logging_0331/tillsyn/A 31569-2023 tillsynsbegäran.docx", "A 31569-2023")</f>
        <v/>
      </c>
      <c r="AD60">
        <f>HYPERLINK("https://klasma.github.io/Logging_0331/tillsynsmail/A 31569-2023 tillsynsbegäran mail.docx", "A 31569-2023")</f>
        <v/>
      </c>
    </row>
    <row r="61" ht="15" customHeight="1">
      <c r="A61" t="inlineStr">
        <is>
          <t>A 26596-2024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45469</v>
      </c>
      <c r="E61" s="1" t="n">
        <v>46275</v>
      </c>
      <c r="F61" t="inlineStr">
        <is>
          <t>UPPSALA LÄN</t>
        </is>
      </c>
      <c r="G61" t="inlineStr">
        <is>
          <t>HEBY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Stenichnus poweri</t>
        </is>
      </c>
      <c r="W61">
        <f>HYPERLINK("https://klasma.github.io/Logging_0331/artfynd/A 26596-2024 artfynd.xlsx", "A 26596-2024")</f>
        <v/>
      </c>
      <c r="X61">
        <f>HYPERLINK("https://klasma.github.io/Logging_0331/kartor/A 26596-2024 karta.png", "A 26596-2024")</f>
        <v/>
      </c>
      <c r="Y61">
        <f>HYPERLINK("https://klasma.github.io/Logging_0331/kartor_geotiff/A 26596-2024 georefererad karta.tif", "A 26596-2024")</f>
        <v/>
      </c>
      <c r="AA61">
        <f>HYPERLINK("https://klasma.github.io/Logging_0331/klagomål/A 26596-2024 FSC-klagomål.docx", "A 26596-2024")</f>
        <v/>
      </c>
      <c r="AB61">
        <f>HYPERLINK("https://klasma.github.io/Logging_0331/klagomålsmail/A 26596-2024 FSC-klagomål mail.docx", "A 26596-2024")</f>
        <v/>
      </c>
      <c r="AC61">
        <f>HYPERLINK("https://klasma.github.io/Logging_0331/tillsyn/A 26596-2024 tillsynsbegäran.docx", "A 26596-2024")</f>
        <v/>
      </c>
      <c r="AD61">
        <f>HYPERLINK("https://klasma.github.io/Logging_0331/tillsynsmail/A 26596-2024 tillsynsbegäran mail.docx", "A 26596-2024")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46275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63940-2023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45278</v>
      </c>
      <c r="E63" s="1" t="n">
        <v>46275</v>
      </c>
      <c r="F63" t="inlineStr">
        <is>
          <t>UPPSALA LÄN</t>
        </is>
      </c>
      <c r="G63" t="inlineStr">
        <is>
          <t>HEBY</t>
        </is>
      </c>
      <c r="I63" t="n">
        <v>2.4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Gullpudra</t>
        </is>
      </c>
      <c r="W63">
        <f>HYPERLINK("https://klasma.github.io/Logging_0331/artfynd/A 63940-2023 artfynd.xlsx", "A 63940-2023")</f>
        <v/>
      </c>
      <c r="X63">
        <f>HYPERLINK("https://klasma.github.io/Logging_0331/kartor/A 63940-2023 karta.png", "A 63940-2023")</f>
        <v/>
      </c>
      <c r="Y63">
        <f>HYPERLINK("https://klasma.github.io/Logging_0331/kartor_geotiff/A 63940-2023 georefererad karta.tif", "A 63940-2023")</f>
        <v/>
      </c>
      <c r="AA63">
        <f>HYPERLINK("https://klasma.github.io/Logging_0331/klagomål/A 63940-2023 FSC-klagomål.docx", "A 63940-2023")</f>
        <v/>
      </c>
      <c r="AB63">
        <f>HYPERLINK("https://klasma.github.io/Logging_0331/klagomålsmail/A 63940-2023 FSC-klagomål mail.docx", "A 63940-2023")</f>
        <v/>
      </c>
      <c r="AC63">
        <f>HYPERLINK("https://klasma.github.io/Logging_0331/tillsyn/A 63940-2023 tillsynsbegäran.docx", "A 63940-2023")</f>
        <v/>
      </c>
      <c r="AD63">
        <f>HYPERLINK("https://klasma.github.io/Logging_0331/tillsynsmail/A 63940-2023 tillsynsbegäran mail.docx", "A 63940-2023")</f>
        <v/>
      </c>
    </row>
    <row r="64" ht="15" customHeight="1">
      <c r="A64" t="inlineStr">
        <is>
          <t>A 38417-2025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46275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8.300000000000001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HYPERLINK("https://klasma.github.io/Logging_0331/artfynd/A 38417-2025 artfynd.xlsx", "A 38417-2025")</f>
        <v/>
      </c>
      <c r="X64">
        <f>HYPERLINK("https://klasma.github.io/Logging_0331/kartor/A 38417-2025 karta.png", "A 38417-2025")</f>
        <v/>
      </c>
      <c r="Y64">
        <f>HYPERLINK("https://klasma.github.io/Logging_0331/kartor_geotiff/A 38417-2025 georefererad karta.tif", "A 38417-2025")</f>
        <v/>
      </c>
      <c r="Z64">
        <f>HYPERLINK("https://klasma.github.io/Logging_0331/knärot/A 38417-2025 karta knärot.png", "A 38417-2025")</f>
        <v/>
      </c>
      <c r="AA64">
        <f>HYPERLINK("https://klasma.github.io/Logging_0331/klagomål/A 38417-2025 FSC-klagomål.docx", "A 38417-2025")</f>
        <v/>
      </c>
      <c r="AB64">
        <f>HYPERLINK("https://klasma.github.io/Logging_0331/klagomålsmail/A 38417-2025 FSC-klagomål mail.docx", "A 38417-2025")</f>
        <v/>
      </c>
      <c r="AC64">
        <f>HYPERLINK("https://klasma.github.io/Logging_0331/tillsyn/A 38417-2025 tillsynsbegäran.docx", "A 38417-2025")</f>
        <v/>
      </c>
      <c r="AD64">
        <f>HYPERLINK("https://klasma.github.io/Logging_0331/tillsynsmail/A 38417-2025 tillsynsbegäran mail.docx", "A 38417-2025")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46275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46275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49707-2023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45208</v>
      </c>
      <c r="E67" s="1" t="n">
        <v>46275</v>
      </c>
      <c r="F67" t="inlineStr">
        <is>
          <t>UPPSALA LÄN</t>
        </is>
      </c>
      <c r="G67" t="inlineStr">
        <is>
          <t>HEBY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Granbarkgnagare</t>
        </is>
      </c>
      <c r="W67">
        <f>HYPERLINK("https://klasma.github.io/Logging_0331/artfynd/A 49707-2023 artfynd.xlsx", "A 49707-2023")</f>
        <v/>
      </c>
      <c r="X67">
        <f>HYPERLINK("https://klasma.github.io/Logging_0331/kartor/A 49707-2023 karta.png", "A 49707-2023")</f>
        <v/>
      </c>
      <c r="Y67">
        <f>HYPERLINK("https://klasma.github.io/Logging_0331/kartor_geotiff/A 49707-2023 georefererad karta.tif", "A 49707-2023")</f>
        <v/>
      </c>
      <c r="AA67">
        <f>HYPERLINK("https://klasma.github.io/Logging_0331/klagomål/A 49707-2023 FSC-klagomål.docx", "A 49707-2023")</f>
        <v/>
      </c>
      <c r="AB67">
        <f>HYPERLINK("https://klasma.github.io/Logging_0331/klagomålsmail/A 49707-2023 FSC-klagomål mail.docx", "A 49707-2023")</f>
        <v/>
      </c>
      <c r="AC67">
        <f>HYPERLINK("https://klasma.github.io/Logging_0331/tillsyn/A 49707-2023 tillsynsbegäran.docx", "A 49707-2023")</f>
        <v/>
      </c>
      <c r="AD67">
        <f>HYPERLINK("https://klasma.github.io/Logging_0331/tillsynsmail/A 49707-2023 tillsynsbegäran mail.docx", "A 49707-2023")</f>
        <v/>
      </c>
    </row>
    <row r="68" ht="15" customHeight="1">
      <c r="A68" t="inlineStr">
        <is>
          <t>A 19555-2025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45770</v>
      </c>
      <c r="E68" s="1" t="n">
        <v>46275</v>
      </c>
      <c r="F68" t="inlineStr">
        <is>
          <t>UPPSALA LÄN</t>
        </is>
      </c>
      <c r="G68" t="inlineStr">
        <is>
          <t>HEBY</t>
        </is>
      </c>
      <c r="I68" t="n">
        <v>2.3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Sparvuggla</t>
        </is>
      </c>
      <c r="W68">
        <f>HYPERLINK("https://klasma.github.io/Logging_0331/artfynd/A 19555-2025 artfynd.xlsx", "A 19555-2025")</f>
        <v/>
      </c>
      <c r="X68">
        <f>HYPERLINK("https://klasma.github.io/Logging_0331/kartor/A 19555-2025 karta.png", "A 19555-2025")</f>
        <v/>
      </c>
      <c r="Y68">
        <f>HYPERLINK("https://klasma.github.io/Logging_0331/kartor_geotiff/A 19555-2025 georefererad karta.tif", "A 19555-2025")</f>
        <v/>
      </c>
      <c r="AA68">
        <f>HYPERLINK("https://klasma.github.io/Logging_0331/klagomål/A 19555-2025 FSC-klagomål.docx", "A 19555-2025")</f>
        <v/>
      </c>
      <c r="AB68">
        <f>HYPERLINK("https://klasma.github.io/Logging_0331/klagomålsmail/A 19555-2025 FSC-klagomål mail.docx", "A 19555-2025")</f>
        <v/>
      </c>
      <c r="AC68">
        <f>HYPERLINK("https://klasma.github.io/Logging_0331/tillsyn/A 19555-2025 tillsynsbegäran.docx", "A 19555-2025")</f>
        <v/>
      </c>
      <c r="AD68">
        <f>HYPERLINK("https://klasma.github.io/Logging_0331/tillsynsmail/A 19555-2025 tillsynsbegäran mail.docx", "A 19555-2025")</f>
        <v/>
      </c>
      <c r="AE68">
        <f>HYPERLINK("https://klasma.github.io/Logging_0331/fåglar/A 19555-2025 prioriterade fågelarter.docx", "A 19555-2025")</f>
        <v/>
      </c>
    </row>
    <row r="69" ht="15" customHeight="1">
      <c r="A69" t="inlineStr">
        <is>
          <t>A 61598-2021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46275</v>
      </c>
      <c r="F69" t="inlineStr">
        <is>
          <t>UPPSALA LÄN</t>
        </is>
      </c>
      <c r="G69" t="inlineStr">
        <is>
          <t>HEBY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HYPERLINK("https://klasma.github.io/Logging_0331/artfynd/A 61598-2021 artfynd.xlsx", "A 61598-2021")</f>
        <v/>
      </c>
      <c r="X69">
        <f>HYPERLINK("https://klasma.github.io/Logging_0331/kartor/A 61598-2021 karta.png", "A 61598-2021")</f>
        <v/>
      </c>
      <c r="Y69">
        <f>HYPERLINK("https://klasma.github.io/Logging_0331/kartor_geotiff/A 61598-2021 georefererad karta.tif", "A 61598-2021")</f>
        <v/>
      </c>
      <c r="AA69">
        <f>HYPERLINK("https://klasma.github.io/Logging_0331/klagomål/A 61598-2021 FSC-klagomål.docx", "A 61598-2021")</f>
        <v/>
      </c>
      <c r="AB69">
        <f>HYPERLINK("https://klasma.github.io/Logging_0331/klagomålsmail/A 61598-2021 FSC-klagomål mail.docx", "A 61598-2021")</f>
        <v/>
      </c>
      <c r="AC69">
        <f>HYPERLINK("https://klasma.github.io/Logging_0331/tillsyn/A 61598-2021 tillsynsbegäran.docx", "A 61598-2021")</f>
        <v/>
      </c>
      <c r="AD69">
        <f>HYPERLINK("https://klasma.github.io/Logging_0331/tillsynsmail/A 61598-2021 tillsynsbegäran mail.docx", "A 61598-2021")</f>
        <v/>
      </c>
      <c r="AE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46275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4.5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Ullticka</t>
        </is>
      </c>
      <c r="W70">
        <f>HYPERLINK("https://klasma.github.io/Logging_0331/artfynd/A 55663-2024 artfynd.xlsx", "A 55663-2024")</f>
        <v/>
      </c>
      <c r="X70">
        <f>HYPERLINK("https://klasma.github.io/Logging_0331/kartor/A 55663-2024 karta.png", "A 55663-2024")</f>
        <v/>
      </c>
      <c r="Y70">
        <f>HYPERLINK("https://klasma.github.io/Logging_0331/kartor_geotiff/A 55663-2024 georefererad karta.tif", "A 55663-2024")</f>
        <v/>
      </c>
      <c r="AA70">
        <f>HYPERLINK("https://klasma.github.io/Logging_0331/klagomål/A 55663-2024 FSC-klagomål.docx", "A 55663-2024")</f>
        <v/>
      </c>
      <c r="AB70">
        <f>HYPERLINK("https://klasma.github.io/Logging_0331/klagomålsmail/A 55663-2024 FSC-klagomål mail.docx", "A 55663-2024")</f>
        <v/>
      </c>
      <c r="AC70">
        <f>HYPERLINK("https://klasma.github.io/Logging_0331/tillsyn/A 55663-2024 tillsynsbegäran.docx", "A 55663-2024")</f>
        <v/>
      </c>
      <c r="AD70">
        <f>HYPERLINK("https://klasma.github.io/Logging_0331/tillsynsmail/A 55663-2024 tillsynsbegäran mail.docx", "A 55663-2024")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46275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9455-2026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46275</v>
      </c>
      <c r="F72" t="inlineStr">
        <is>
          <t>UPPSALA LÄN</t>
        </is>
      </c>
      <c r="G72" t="inlineStr">
        <is>
          <t>HEBY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Kungsspindling</t>
        </is>
      </c>
      <c r="W72">
        <f>HYPERLINK("https://klasma.github.io/Logging_0331/artfynd/A 9455-2026 artfynd.xlsx", "A 9455-2026")</f>
        <v/>
      </c>
      <c r="X72">
        <f>HYPERLINK("https://klasma.github.io/Logging_0331/kartor/A 9455-2026 karta.png", "A 9455-2026")</f>
        <v/>
      </c>
      <c r="Y72">
        <f>HYPERLINK("https://klasma.github.io/Logging_0331/kartor_geotiff/A 9455-2026 georefererad karta.tif", "A 9455-2026")</f>
        <v/>
      </c>
      <c r="AA72">
        <f>HYPERLINK("https://klasma.github.io/Logging_0331/klagomål/A 9455-2026 FSC-klagomål.docx", "A 9455-2026")</f>
        <v/>
      </c>
      <c r="AB72">
        <f>HYPERLINK("https://klasma.github.io/Logging_0331/klagomålsmail/A 9455-2026 FSC-klagomål mail.docx", "A 9455-2026")</f>
        <v/>
      </c>
      <c r="AC72">
        <f>HYPERLINK("https://klasma.github.io/Logging_0331/tillsyn/A 9455-2026 tillsynsbegäran.docx", "A 9455-2026")</f>
        <v/>
      </c>
      <c r="AD72">
        <f>HYPERLINK("https://klasma.github.io/Logging_0331/tillsynsmail/A 9455-2026 tillsynsbegäran mail.docx", "A 9455-2026")</f>
        <v/>
      </c>
    </row>
    <row r="73" ht="15" customHeight="1">
      <c r="A73" t="inlineStr">
        <is>
          <t>A 11560-2026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46084</v>
      </c>
      <c r="E73" s="1" t="n">
        <v>46275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11560-2026 artfynd.xlsx", "A 11560-2026")</f>
        <v/>
      </c>
      <c r="X73">
        <f>HYPERLINK("https://klasma.github.io/Logging_0331/kartor/A 11560-2026 karta.png", "A 11560-2026")</f>
        <v/>
      </c>
      <c r="Y73">
        <f>HYPERLINK("https://klasma.github.io/Logging_0331/kartor_geotiff/A 11560-2026 georefererad karta.tif", "A 11560-2026")</f>
        <v/>
      </c>
      <c r="AA73">
        <f>HYPERLINK("https://klasma.github.io/Logging_0331/klagomål/A 11560-2026 FSC-klagomål.docx", "A 11560-2026")</f>
        <v/>
      </c>
      <c r="AB73">
        <f>HYPERLINK("https://klasma.github.io/Logging_0331/klagomålsmail/A 11560-2026 FSC-klagomål mail.docx", "A 11560-2026")</f>
        <v/>
      </c>
      <c r="AC73">
        <f>HYPERLINK("https://klasma.github.io/Logging_0331/tillsyn/A 11560-2026 tillsynsbegäran.docx", "A 11560-2026")</f>
        <v/>
      </c>
      <c r="AD73">
        <f>HYPERLINK("https://klasma.github.io/Logging_0331/tillsynsmail/A 11560-2026 tillsynsbegäran mail.docx", "A 11560-2026")</f>
        <v/>
      </c>
    </row>
    <row r="74" ht="15" customHeight="1">
      <c r="A74" t="inlineStr">
        <is>
          <t>A 11841-2026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46275</v>
      </c>
      <c r="F74" t="inlineStr">
        <is>
          <t>UPPSALA LÄN</t>
        </is>
      </c>
      <c r="G74" t="inlineStr">
        <is>
          <t>HEBY</t>
        </is>
      </c>
      <c r="I74" t="n">
        <v>1.1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Stor aspticka</t>
        </is>
      </c>
      <c r="W74">
        <f>HYPERLINK("https://klasma.github.io/Logging_0331/artfynd/A 11841-2026 artfynd.xlsx", "A 11841-2026")</f>
        <v/>
      </c>
      <c r="X74">
        <f>HYPERLINK("https://klasma.github.io/Logging_0331/kartor/A 11841-2026 karta.png", "A 11841-2026")</f>
        <v/>
      </c>
      <c r="Y74">
        <f>HYPERLINK("https://klasma.github.io/Logging_0331/kartor_geotiff/A 11841-2026 georefererad karta.tif", "A 11841-2026")</f>
        <v/>
      </c>
      <c r="AA74">
        <f>HYPERLINK("https://klasma.github.io/Logging_0331/klagomål/A 11841-2026 FSC-klagomål.docx", "A 11841-2026")</f>
        <v/>
      </c>
      <c r="AB74">
        <f>HYPERLINK("https://klasma.github.io/Logging_0331/klagomålsmail/A 11841-2026 FSC-klagomål mail.docx", "A 11841-2026")</f>
        <v/>
      </c>
      <c r="AC74">
        <f>HYPERLINK("https://klasma.github.io/Logging_0331/tillsyn/A 11841-2026 tillsynsbegäran.docx", "A 11841-2026")</f>
        <v/>
      </c>
      <c r="AD74">
        <f>HYPERLINK("https://klasma.github.io/Logging_0331/tillsynsmail/A 11841-2026 tillsynsbegäran mail.docx", "A 11841-2026")</f>
        <v/>
      </c>
    </row>
    <row r="75" ht="15" customHeight="1">
      <c r="A75" t="inlineStr">
        <is>
          <t>A 11011-2025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46275</v>
      </c>
      <c r="F75" t="inlineStr">
        <is>
          <t>UPPSALA LÄN</t>
        </is>
      </c>
      <c r="G75" t="inlineStr">
        <is>
          <t>HEBY</t>
        </is>
      </c>
      <c r="H75" t="inlineStr">
        <is>
          <t>Kyrkan</t>
        </is>
      </c>
      <c r="I75" t="n">
        <v>2.6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Motaggsvamp</t>
        </is>
      </c>
      <c r="W75">
        <f>HYPERLINK("https://klasma.github.io/Logging_0331/artfynd/A 11011-2025 artfynd.xlsx", "A 11011-2025")</f>
        <v/>
      </c>
      <c r="X75">
        <f>HYPERLINK("https://klasma.github.io/Logging_0331/kartor/A 11011-2025 karta.png", "A 11011-2025")</f>
        <v/>
      </c>
      <c r="Y75">
        <f>HYPERLINK("https://klasma.github.io/Logging_0331/kartor_geotiff/A 11011-2025 georefererad karta.tif", "A 11011-2025")</f>
        <v/>
      </c>
      <c r="AA75">
        <f>HYPERLINK("https://klasma.github.io/Logging_0331/klagomål/A 11011-2025 FSC-klagomål.docx", "A 11011-2025")</f>
        <v/>
      </c>
      <c r="AB75">
        <f>HYPERLINK("https://klasma.github.io/Logging_0331/klagomålsmail/A 11011-2025 FSC-klagomål mail.docx", "A 11011-2025")</f>
        <v/>
      </c>
      <c r="AC75">
        <f>HYPERLINK("https://klasma.github.io/Logging_0331/tillsyn/A 11011-2025 tillsynsbegäran.docx", "A 11011-2025")</f>
        <v/>
      </c>
      <c r="AD75">
        <f>HYPERLINK("https://klasma.github.io/Logging_0331/tillsynsmail/A 11011-2025 tillsynsbegäran mail.docx", "A 11011-2025")</f>
        <v/>
      </c>
    </row>
    <row r="76" ht="15" customHeight="1">
      <c r="A76" t="inlineStr">
        <is>
          <t>A 20530-2026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46275</v>
      </c>
      <c r="F76" t="inlineStr">
        <is>
          <t>UPPSALA LÄN</t>
        </is>
      </c>
      <c r="G76" t="inlineStr">
        <is>
          <t>HEBY</t>
        </is>
      </c>
      <c r="I76" t="n">
        <v>5.3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Björksplintborre</t>
        </is>
      </c>
      <c r="W76">
        <f>HYPERLINK("https://klasma.github.io/Logging_0331/artfynd/A 20530-2026 artfynd.xlsx", "A 20530-2026")</f>
        <v/>
      </c>
      <c r="X76">
        <f>HYPERLINK("https://klasma.github.io/Logging_0331/kartor/A 20530-2026 karta.png", "A 20530-2026")</f>
        <v/>
      </c>
      <c r="Y76">
        <f>HYPERLINK("https://klasma.github.io/Logging_0331/kartor_geotiff/A 20530-2026 georefererad karta.tif", "A 20530-2026")</f>
        <v/>
      </c>
      <c r="AA76">
        <f>HYPERLINK("https://klasma.github.io/Logging_0331/klagomål/A 20530-2026 FSC-klagomål.docx", "A 20530-2026")</f>
        <v/>
      </c>
      <c r="AB76">
        <f>HYPERLINK("https://klasma.github.io/Logging_0331/klagomålsmail/A 20530-2026 FSC-klagomål mail.docx", "A 20530-2026")</f>
        <v/>
      </c>
      <c r="AC76">
        <f>HYPERLINK("https://klasma.github.io/Logging_0331/tillsyn/A 20530-2026 tillsynsbegäran.docx", "A 20530-2026")</f>
        <v/>
      </c>
      <c r="AD76">
        <f>HYPERLINK("https://klasma.github.io/Logging_0331/tillsynsmail/A 20530-2026 tillsynsbegäran mail.docx", "A 20530-2026")</f>
        <v/>
      </c>
    </row>
    <row r="77" ht="15" customHeight="1">
      <c r="A77" t="inlineStr">
        <is>
          <t>A 3374-2024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46275</v>
      </c>
      <c r="F77" t="inlineStr">
        <is>
          <t>UPPSALA LÄN</t>
        </is>
      </c>
      <c r="G77" t="inlineStr">
        <is>
          <t>HEBY</t>
        </is>
      </c>
      <c r="I77" t="n">
        <v>8.4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Berggräsfjäril</t>
        </is>
      </c>
      <c r="W77">
        <f>HYPERLINK("https://klasma.github.io/Logging_0331/artfynd/A 3374-2024 artfynd.xlsx", "A 3374-2024")</f>
        <v/>
      </c>
      <c r="X77">
        <f>HYPERLINK("https://klasma.github.io/Logging_0331/kartor/A 3374-2024 karta.png", "A 3374-2024")</f>
        <v/>
      </c>
      <c r="Y77">
        <f>HYPERLINK("https://klasma.github.io/Logging_0331/kartor_geotiff/A 3374-2024 georefererad karta.tif", "A 3374-2024")</f>
        <v/>
      </c>
      <c r="AA77">
        <f>HYPERLINK("https://klasma.github.io/Logging_0331/klagomål/A 3374-2024 FSC-klagomål.docx", "A 3374-2024")</f>
        <v/>
      </c>
      <c r="AB77">
        <f>HYPERLINK("https://klasma.github.io/Logging_0331/klagomålsmail/A 3374-2024 FSC-klagomål mail.docx", "A 3374-2024")</f>
        <v/>
      </c>
      <c r="AC77">
        <f>HYPERLINK("https://klasma.github.io/Logging_0331/tillsyn/A 3374-2024 tillsynsbegäran.docx", "A 3374-2024")</f>
        <v/>
      </c>
      <c r="AD77">
        <f>HYPERLINK("https://klasma.github.io/Logging_0331/tillsynsmail/A 3374-2024 tillsynsbegäran mail.docx", "A 3374-2024")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46275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46275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46275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46275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46275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46275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46275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46275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46275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46275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46275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46275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46275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46275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46275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46275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46275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46275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46275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46275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46275</v>
      </c>
      <c r="F98" t="inlineStr">
        <is>
          <t>UPPSALA LÄN</t>
        </is>
      </c>
      <c r="G98" t="inlineStr">
        <is>
          <t>HEBY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46275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46275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46275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46275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46275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46275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46275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46275</v>
      </c>
      <c r="F106" t="inlineStr">
        <is>
          <t>UPPSALA LÄN</t>
        </is>
      </c>
      <c r="G106" t="inlineStr">
        <is>
          <t>HEBY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46275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46275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44452</v>
      </c>
      <c r="E109" s="1" t="n">
        <v>46275</v>
      </c>
      <c r="F109" t="inlineStr">
        <is>
          <t>UPPSALA LÄN</t>
        </is>
      </c>
      <c r="G109" t="inlineStr">
        <is>
          <t>HEBY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46275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44565</v>
      </c>
      <c r="E111" s="1" t="n">
        <v>46275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44735</v>
      </c>
      <c r="E112" s="1" t="n">
        <v>46275</v>
      </c>
      <c r="F112" t="inlineStr">
        <is>
          <t>UPPSALA LÄN</t>
        </is>
      </c>
      <c r="G112" t="inlineStr">
        <is>
          <t>HEBY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46275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46275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46275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46275</v>
      </c>
      <c r="F116" t="inlineStr">
        <is>
          <t>UPPSALA LÄN</t>
        </is>
      </c>
      <c r="G116" t="inlineStr">
        <is>
          <t>HEBY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44844</v>
      </c>
      <c r="E117" s="1" t="n">
        <v>46275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46275</v>
      </c>
      <c r="F118" t="inlineStr">
        <is>
          <t>UPPSALA LÄN</t>
        </is>
      </c>
      <c r="G118" t="inlineStr">
        <is>
          <t>HEBY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46275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44850</v>
      </c>
      <c r="E120" s="1" t="n">
        <v>46275</v>
      </c>
      <c r="F120" t="inlineStr">
        <is>
          <t>UPPSALA LÄN</t>
        </is>
      </c>
      <c r="G120" t="inlineStr">
        <is>
          <t>HEBY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46275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59599-2021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46275</v>
      </c>
      <c r="F122" t="inlineStr">
        <is>
          <t>UPPSALA LÄN</t>
        </is>
      </c>
      <c r="G122" t="inlineStr">
        <is>
          <t>HEBY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46275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46275</v>
      </c>
      <c r="F124" t="inlineStr">
        <is>
          <t>UPPSALA LÄN</t>
        </is>
      </c>
      <c r="G124" t="inlineStr">
        <is>
          <t>HEBY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46275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46275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44722</v>
      </c>
      <c r="E127" s="1" t="n">
        <v>46275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46275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46275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46275</v>
      </c>
      <c r="F130" t="inlineStr">
        <is>
          <t>UPPSALA LÄN</t>
        </is>
      </c>
      <c r="G130" t="inlineStr">
        <is>
          <t>HEBY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46275</v>
      </c>
      <c r="F131" t="inlineStr">
        <is>
          <t>UPPSALA LÄN</t>
        </is>
      </c>
      <c r="G131" t="inlineStr">
        <is>
          <t>HEBY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45749</v>
      </c>
      <c r="E132" s="1" t="n">
        <v>46275</v>
      </c>
      <c r="F132" t="inlineStr">
        <is>
          <t>UPPSALA LÄN</t>
        </is>
      </c>
      <c r="G132" t="inlineStr">
        <is>
          <t>HEBY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46275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46275</v>
      </c>
      <c r="F134" t="inlineStr">
        <is>
          <t>UPPSALA LÄN</t>
        </is>
      </c>
      <c r="G134" t="inlineStr">
        <is>
          <t>HEBY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46275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44849</v>
      </c>
      <c r="E136" s="1" t="n">
        <v>46275</v>
      </c>
      <c r="F136" t="inlineStr">
        <is>
          <t>UPPSALA LÄN</t>
        </is>
      </c>
      <c r="G136" t="inlineStr">
        <is>
          <t>HEBY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40533-2022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44823</v>
      </c>
      <c r="E137" s="1" t="n">
        <v>46275</v>
      </c>
      <c r="F137" t="inlineStr">
        <is>
          <t>UPPSALA LÄN</t>
        </is>
      </c>
      <c r="G137" t="inlineStr">
        <is>
          <t>HEBY</t>
        </is>
      </c>
      <c r="H137" t="inlineStr">
        <is>
          <t>Övriga Aktiebolag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44573</v>
      </c>
      <c r="E138" s="1" t="n">
        <v>46275</v>
      </c>
      <c r="F138" t="inlineStr">
        <is>
          <t>UPPSALA LÄN</t>
        </is>
      </c>
      <c r="G138" t="inlineStr">
        <is>
          <t>HEBY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46275</v>
      </c>
      <c r="F139" t="inlineStr">
        <is>
          <t>UPPSALA LÄN</t>
        </is>
      </c>
      <c r="G139" t="inlineStr">
        <is>
          <t>HEBY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46275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58332-2023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45250</v>
      </c>
      <c r="E141" s="1" t="n">
        <v>46275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46275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väst AB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44769</v>
      </c>
      <c r="E143" s="1" t="n">
        <v>46275</v>
      </c>
      <c r="F143" t="inlineStr">
        <is>
          <t>UPPSALA LÄN</t>
        </is>
      </c>
      <c r="G143" t="inlineStr">
        <is>
          <t>HEBY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45030</v>
      </c>
      <c r="E144" s="1" t="n">
        <v>46275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46275</v>
      </c>
      <c r="F145" t="inlineStr">
        <is>
          <t>UPPSALA LÄN</t>
        </is>
      </c>
      <c r="G145" t="inlineStr">
        <is>
          <t>HEBY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46275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37782-2022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46275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46275</v>
      </c>
      <c r="F148" t="inlineStr">
        <is>
          <t>UPPSALA LÄN</t>
        </is>
      </c>
      <c r="G148" t="inlineStr">
        <is>
          <t>HEBY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46275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46275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öst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46275</v>
      </c>
      <c r="F151" t="inlineStr">
        <is>
          <t>UPPSALA LÄN</t>
        </is>
      </c>
      <c r="G151" t="inlineStr">
        <is>
          <t>HEBY</t>
        </is>
      </c>
      <c r="I151" t="n">
        <v>10.3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45132</v>
      </c>
      <c r="E152" s="1" t="n">
        <v>46275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45132</v>
      </c>
      <c r="E153" s="1" t="n">
        <v>46275</v>
      </c>
      <c r="F153" t="inlineStr">
        <is>
          <t>UPPSALA LÄN</t>
        </is>
      </c>
      <c r="G153" t="inlineStr">
        <is>
          <t>HEBY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46275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46275</v>
      </c>
      <c r="F155" t="inlineStr">
        <is>
          <t>UPPSALA LÄN</t>
        </is>
      </c>
      <c r="G155" t="inlineStr">
        <is>
          <t>HEBY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46275</v>
      </c>
      <c r="F156" t="inlineStr">
        <is>
          <t>UPPSALA LÄN</t>
        </is>
      </c>
      <c r="G156" t="inlineStr">
        <is>
          <t>HEBY</t>
        </is>
      </c>
      <c r="I156" t="n">
        <v>22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14008-2022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44650</v>
      </c>
      <c r="E157" s="1" t="n">
        <v>46275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öst AB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33707-2023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45132</v>
      </c>
      <c r="E158" s="1" t="n">
        <v>46275</v>
      </c>
      <c r="F158" t="inlineStr">
        <is>
          <t>UPPSALA LÄN</t>
        </is>
      </c>
      <c r="G158" t="inlineStr">
        <is>
          <t>HEBY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44655</v>
      </c>
      <c r="E159" s="1" t="n">
        <v>46275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46275</v>
      </c>
      <c r="F160" t="inlineStr">
        <is>
          <t>UPPSALA LÄN</t>
        </is>
      </c>
      <c r="G160" t="inlineStr">
        <is>
          <t>HEBY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46275</v>
      </c>
      <c r="F161" t="inlineStr">
        <is>
          <t>UPPSALA LÄN</t>
        </is>
      </c>
      <c r="G161" t="inlineStr">
        <is>
          <t>HEBY</t>
        </is>
      </c>
      <c r="H161" t="inlineStr">
        <is>
          <t>Övriga Aktiebolag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46275</v>
      </c>
      <c r="F162" t="inlineStr">
        <is>
          <t>UPPSALA LÄN</t>
        </is>
      </c>
      <c r="G162" t="inlineStr">
        <is>
          <t>HEBY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27840-2023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46275</v>
      </c>
      <c r="F163" t="inlineStr">
        <is>
          <t>UPPSALA LÄN</t>
        </is>
      </c>
      <c r="G163" t="inlineStr">
        <is>
          <t>HEBY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46275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46275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46275</v>
      </c>
      <c r="F166" t="inlineStr">
        <is>
          <t>UPPSALA LÄN</t>
        </is>
      </c>
      <c r="G166" t="inlineStr">
        <is>
          <t>HEBY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46275</v>
      </c>
      <c r="F167" t="inlineStr">
        <is>
          <t>UPPSALA LÄN</t>
        </is>
      </c>
      <c r="G167" t="inlineStr">
        <is>
          <t>HEBY</t>
        </is>
      </c>
      <c r="H167" t="inlineStr">
        <is>
          <t>Allmännings- och besparingsskogar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45342</v>
      </c>
      <c r="E168" s="1" t="n">
        <v>46275</v>
      </c>
      <c r="F168" t="inlineStr">
        <is>
          <t>UPPSALA LÄN</t>
        </is>
      </c>
      <c r="G168" t="inlineStr">
        <is>
          <t>HEBY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62650-2022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44925</v>
      </c>
      <c r="E169" s="1" t="n">
        <v>46275</v>
      </c>
      <c r="F169" t="inlineStr">
        <is>
          <t>UPPSALA LÄN</t>
        </is>
      </c>
      <c r="G169" t="inlineStr">
        <is>
          <t>HEBY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46275</v>
      </c>
      <c r="F170" t="inlineStr">
        <is>
          <t>UPPSALA LÄN</t>
        </is>
      </c>
      <c r="G170" t="inlineStr">
        <is>
          <t>HEBY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46275</v>
      </c>
      <c r="F171" t="inlineStr">
        <is>
          <t>UPPSALA LÄN</t>
        </is>
      </c>
      <c r="G171" t="inlineStr">
        <is>
          <t>HEBY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46275</v>
      </c>
      <c r="F172" t="inlineStr">
        <is>
          <t>UPPSALA LÄN</t>
        </is>
      </c>
      <c r="G172" t="inlineStr">
        <is>
          <t>HEBY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46275</v>
      </c>
      <c r="F173" t="inlineStr">
        <is>
          <t>UPPSALA LÄN</t>
        </is>
      </c>
      <c r="G173" t="inlineStr">
        <is>
          <t>HEBY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46275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45339</v>
      </c>
      <c r="E175" s="1" t="n">
        <v>46275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45502</v>
      </c>
      <c r="E176" s="1" t="n">
        <v>46275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46275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45218</v>
      </c>
      <c r="E178" s="1" t="n">
        <v>46275</v>
      </c>
      <c r="F178" t="inlineStr">
        <is>
          <t>UPPSALA LÄN</t>
        </is>
      </c>
      <c r="G178" t="inlineStr">
        <is>
          <t>HEBY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51091-2023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45218</v>
      </c>
      <c r="E179" s="1" t="n">
        <v>46275</v>
      </c>
      <c r="F179" t="inlineStr">
        <is>
          <t>UPPSALA LÄN</t>
        </is>
      </c>
      <c r="G179" t="inlineStr">
        <is>
          <t>HEBY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56302-2021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44477</v>
      </c>
      <c r="E180" s="1" t="n">
        <v>46275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50281-2023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46275</v>
      </c>
      <c r="F181" t="inlineStr">
        <is>
          <t>UPPSALA LÄN</t>
        </is>
      </c>
      <c r="G181" t="inlineStr">
        <is>
          <t>HEBY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46275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45135</v>
      </c>
      <c r="E183" s="1" t="n">
        <v>46275</v>
      </c>
      <c r="F183" t="inlineStr">
        <is>
          <t>UPPSALA LÄN</t>
        </is>
      </c>
      <c r="G183" t="inlineStr">
        <is>
          <t>HEBY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46275</v>
      </c>
      <c r="F184" t="inlineStr">
        <is>
          <t>UPPSALA LÄN</t>
        </is>
      </c>
      <c r="G184" t="inlineStr">
        <is>
          <t>HEBY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46275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46275</v>
      </c>
      <c r="F186" t="inlineStr">
        <is>
          <t>UPPSALA LÄN</t>
        </is>
      </c>
      <c r="G186" t="inlineStr">
        <is>
          <t>HEBY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46275</v>
      </c>
      <c r="F187" t="inlineStr">
        <is>
          <t>UPPSALA LÄN</t>
        </is>
      </c>
      <c r="G187" t="inlineStr">
        <is>
          <t>HEBY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45132</v>
      </c>
      <c r="E188" s="1" t="n">
        <v>46275</v>
      </c>
      <c r="F188" t="inlineStr">
        <is>
          <t>UPPSALA LÄN</t>
        </is>
      </c>
      <c r="G188" t="inlineStr">
        <is>
          <t>HEBY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45117</v>
      </c>
      <c r="E189" s="1" t="n">
        <v>46275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46275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45133</v>
      </c>
      <c r="E191" s="1" t="n">
        <v>46275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46275</v>
      </c>
      <c r="F192" t="inlineStr">
        <is>
          <t>UPPSALA LÄN</t>
        </is>
      </c>
      <c r="G192" t="inlineStr">
        <is>
          <t>HEBY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44697</v>
      </c>
      <c r="E193" s="1" t="n">
        <v>46275</v>
      </c>
      <c r="F193" t="inlineStr">
        <is>
          <t>UPPSALA LÄN</t>
        </is>
      </c>
      <c r="G193" t="inlineStr">
        <is>
          <t>HEBY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44841</v>
      </c>
      <c r="E194" s="1" t="n">
        <v>46275</v>
      </c>
      <c r="F194" t="inlineStr">
        <is>
          <t>UPPSALA LÄN</t>
        </is>
      </c>
      <c r="G194" t="inlineStr">
        <is>
          <t>HEBY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46275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44574</v>
      </c>
      <c r="E196" s="1" t="n">
        <v>46275</v>
      </c>
      <c r="F196" t="inlineStr">
        <is>
          <t>UPPSALA LÄN</t>
        </is>
      </c>
      <c r="G196" t="inlineStr">
        <is>
          <t>HEBY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46275</v>
      </c>
      <c r="F197" t="inlineStr">
        <is>
          <t>UPPSALA LÄN</t>
        </is>
      </c>
      <c r="G197" t="inlineStr">
        <is>
          <t>HEBY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64899-2021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44512</v>
      </c>
      <c r="E198" s="1" t="n">
        <v>46275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öst AB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45599</v>
      </c>
      <c r="E199" s="1" t="n">
        <v>46275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45344</v>
      </c>
      <c r="E200" s="1" t="n">
        <v>46275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45138</v>
      </c>
      <c r="E201" s="1" t="n">
        <v>46275</v>
      </c>
      <c r="F201" t="inlineStr">
        <is>
          <t>UPPSALA LÄN</t>
        </is>
      </c>
      <c r="G201" t="inlineStr">
        <is>
          <t>HEBY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60722-2022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44913</v>
      </c>
      <c r="E202" s="1" t="n">
        <v>46275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46275</v>
      </c>
      <c r="F203" t="inlineStr">
        <is>
          <t>UPPSALA LÄN</t>
        </is>
      </c>
      <c r="G203" t="inlineStr">
        <is>
          <t>HEBY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46275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70976-2021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44538</v>
      </c>
      <c r="E205" s="1" t="n">
        <v>46275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44586</v>
      </c>
      <c r="E206" s="1" t="n">
        <v>46275</v>
      </c>
      <c r="F206" t="inlineStr">
        <is>
          <t>UPPSALA LÄN</t>
        </is>
      </c>
      <c r="G206" t="inlineStr">
        <is>
          <t>HEBY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28226-2023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46275</v>
      </c>
      <c r="F207" t="inlineStr">
        <is>
          <t>UPPSALA LÄN</t>
        </is>
      </c>
      <c r="G207" t="inlineStr">
        <is>
          <t>HEBY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60456-2022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44911</v>
      </c>
      <c r="E208" s="1" t="n">
        <v>46275</v>
      </c>
      <c r="F208" t="inlineStr">
        <is>
          <t>UPPSALA LÄN</t>
        </is>
      </c>
      <c r="G208" t="inlineStr">
        <is>
          <t>HEBY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45670</v>
      </c>
      <c r="E209" s="1" t="n">
        <v>46275</v>
      </c>
      <c r="F209" t="inlineStr">
        <is>
          <t>UPPSALA LÄN</t>
        </is>
      </c>
      <c r="G209" t="inlineStr">
        <is>
          <t>HEBY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44944</v>
      </c>
      <c r="E210" s="1" t="n">
        <v>46275</v>
      </c>
      <c r="F210" t="inlineStr">
        <is>
          <t>UPPSALA LÄN</t>
        </is>
      </c>
      <c r="G210" t="inlineStr">
        <is>
          <t>HEBY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46275</v>
      </c>
      <c r="F211" t="inlineStr">
        <is>
          <t>UPPSALA LÄN</t>
        </is>
      </c>
      <c r="G211" t="inlineStr">
        <is>
          <t>HEBY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46275</v>
      </c>
      <c r="F212" t="inlineStr">
        <is>
          <t>UPPSALA LÄN</t>
        </is>
      </c>
      <c r="G212" t="inlineStr">
        <is>
          <t>HEBY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50859-2022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44862</v>
      </c>
      <c r="E213" s="1" t="n">
        <v>46275</v>
      </c>
      <c r="F213" t="inlineStr">
        <is>
          <t>UPPSALA LÄN</t>
        </is>
      </c>
      <c r="G213" t="inlineStr">
        <is>
          <t>HEBY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44903</v>
      </c>
      <c r="E214" s="1" t="n">
        <v>46275</v>
      </c>
      <c r="F214" t="inlineStr">
        <is>
          <t>UPPSALA LÄN</t>
        </is>
      </c>
      <c r="G214" t="inlineStr">
        <is>
          <t>HEBY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46275</v>
      </c>
      <c r="F215" t="inlineStr">
        <is>
          <t>UPPSALA LÄN</t>
        </is>
      </c>
      <c r="G215" t="inlineStr">
        <is>
          <t>HEBY</t>
        </is>
      </c>
      <c r="I215" t="n">
        <v>10.6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46275</v>
      </c>
      <c r="F216" t="inlineStr">
        <is>
          <t>UPPSALA LÄN</t>
        </is>
      </c>
      <c r="G216" t="inlineStr">
        <is>
          <t>HEBY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46275</v>
      </c>
      <c r="F217" t="inlineStr">
        <is>
          <t>UPPSALA LÄN</t>
        </is>
      </c>
      <c r="G217" t="inlineStr">
        <is>
          <t>HEBY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46275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46275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44574</v>
      </c>
      <c r="E220" s="1" t="n">
        <v>46275</v>
      </c>
      <c r="F220" t="inlineStr">
        <is>
          <t>UPPSALA LÄN</t>
        </is>
      </c>
      <c r="G220" t="inlineStr">
        <is>
          <t>HEBY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46275</v>
      </c>
      <c r="F221" t="inlineStr">
        <is>
          <t>UPPSALA LÄN</t>
        </is>
      </c>
      <c r="G221" t="inlineStr">
        <is>
          <t>HEBY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46275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46275</v>
      </c>
      <c r="F223" t="inlineStr">
        <is>
          <t>UPPSALA LÄN</t>
        </is>
      </c>
      <c r="G223" t="inlineStr">
        <is>
          <t>HEBY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46275</v>
      </c>
      <c r="F224" t="inlineStr">
        <is>
          <t>UPPSALA LÄN</t>
        </is>
      </c>
      <c r="G224" t="inlineStr">
        <is>
          <t>HEBY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46275</v>
      </c>
      <c r="F225" t="inlineStr">
        <is>
          <t>UPPSALA LÄN</t>
        </is>
      </c>
      <c r="G225" t="inlineStr">
        <is>
          <t>HEBY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46275</v>
      </c>
      <c r="F226" t="inlineStr">
        <is>
          <t>UPPSALA LÄN</t>
        </is>
      </c>
      <c r="G226" t="inlineStr">
        <is>
          <t>HEBY</t>
        </is>
      </c>
      <c r="H226" t="inlineStr">
        <is>
          <t>Bergvik skog väst AB</t>
        </is>
      </c>
      <c r="I226" t="n">
        <v>66.90000000000001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46275</v>
      </c>
      <c r="F227" t="inlineStr">
        <is>
          <t>UPPSALA LÄN</t>
        </is>
      </c>
      <c r="G227" t="inlineStr">
        <is>
          <t>HEBY</t>
        </is>
      </c>
      <c r="H227" t="inlineStr">
        <is>
          <t>Övriga Aktiebolag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44945</v>
      </c>
      <c r="E228" s="1" t="n">
        <v>46275</v>
      </c>
      <c r="F228" t="inlineStr">
        <is>
          <t>UPPSALA LÄN</t>
        </is>
      </c>
      <c r="G228" t="inlineStr">
        <is>
          <t>HEBY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66055-2021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44517</v>
      </c>
      <c r="E229" s="1" t="n">
        <v>46275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öst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46275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46275</v>
      </c>
      <c r="F231" t="inlineStr">
        <is>
          <t>UPPSALA LÄN</t>
        </is>
      </c>
      <c r="G231" t="inlineStr">
        <is>
          <t>HEBY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9043-2023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44979</v>
      </c>
      <c r="E232" s="1" t="n">
        <v>46275</v>
      </c>
      <c r="F232" t="inlineStr">
        <is>
          <t>UPPSALA LÄN</t>
        </is>
      </c>
      <c r="G232" t="inlineStr">
        <is>
          <t>HEBY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44694</v>
      </c>
      <c r="E233" s="1" t="n">
        <v>46275</v>
      </c>
      <c r="F233" t="inlineStr">
        <is>
          <t>UPPSALA LÄN</t>
        </is>
      </c>
      <c r="G233" t="inlineStr">
        <is>
          <t>HEBY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72180-2021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46275</v>
      </c>
      <c r="F234" t="inlineStr">
        <is>
          <t>UPPSALA LÄN</t>
        </is>
      </c>
      <c r="G234" t="inlineStr">
        <is>
          <t>HEBY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45713</v>
      </c>
      <c r="E235" s="1" t="n">
        <v>46275</v>
      </c>
      <c r="F235" t="inlineStr">
        <is>
          <t>UPPSALA LÄN</t>
        </is>
      </c>
      <c r="G235" t="inlineStr">
        <is>
          <t>HEBY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46275</v>
      </c>
      <c r="F236" t="inlineStr">
        <is>
          <t>UPPSALA LÄN</t>
        </is>
      </c>
      <c r="G236" t="inlineStr">
        <is>
          <t>HEBY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46275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45321</v>
      </c>
      <c r="E238" s="1" t="n">
        <v>46275</v>
      </c>
      <c r="F238" t="inlineStr">
        <is>
          <t>UPPSALA LÄN</t>
        </is>
      </c>
      <c r="G238" t="inlineStr">
        <is>
          <t>HEBY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62145-2022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46275</v>
      </c>
      <c r="F239" t="inlineStr">
        <is>
          <t>UPPSALA LÄN</t>
        </is>
      </c>
      <c r="G239" t="inlineStr">
        <is>
          <t>HEBY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45331</v>
      </c>
      <c r="E240" s="1" t="n">
        <v>46275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46275</v>
      </c>
      <c r="F241" t="inlineStr">
        <is>
          <t>UPPSALA LÄN</t>
        </is>
      </c>
      <c r="G241" t="inlineStr">
        <is>
          <t>HEBY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45050</v>
      </c>
      <c r="E242" s="1" t="n">
        <v>46275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46275</v>
      </c>
      <c r="F243" t="inlineStr">
        <is>
          <t>UPPSALA LÄN</t>
        </is>
      </c>
      <c r="G243" t="inlineStr">
        <is>
          <t>HEBY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44944</v>
      </c>
      <c r="E244" s="1" t="n">
        <v>46275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44944</v>
      </c>
      <c r="E245" s="1" t="n">
        <v>46275</v>
      </c>
      <c r="F245" t="inlineStr">
        <is>
          <t>UPPSALA LÄN</t>
        </is>
      </c>
      <c r="G245" t="inlineStr">
        <is>
          <t>HEBY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46275</v>
      </c>
      <c r="F246" t="inlineStr">
        <is>
          <t>UPPSALA LÄN</t>
        </is>
      </c>
      <c r="G246" t="inlineStr">
        <is>
          <t>HEBY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45117</v>
      </c>
      <c r="E247" s="1" t="n">
        <v>46275</v>
      </c>
      <c r="F247" t="inlineStr">
        <is>
          <t>UPPSALA LÄN</t>
        </is>
      </c>
      <c r="G247" t="inlineStr">
        <is>
          <t>HEBY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46275</v>
      </c>
      <c r="F248" t="inlineStr">
        <is>
          <t>UPPSALA LÄN</t>
        </is>
      </c>
      <c r="G248" t="inlineStr">
        <is>
          <t>HEBY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45586</v>
      </c>
      <c r="E249" s="1" t="n">
        <v>46275</v>
      </c>
      <c r="F249" t="inlineStr">
        <is>
          <t>UPPSALA LÄN</t>
        </is>
      </c>
      <c r="G249" t="inlineStr">
        <is>
          <t>HEBY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44875</v>
      </c>
      <c r="E250" s="1" t="n">
        <v>46275</v>
      </c>
      <c r="F250" t="inlineStr">
        <is>
          <t>UPPSALA LÄN</t>
        </is>
      </c>
      <c r="G250" t="inlineStr">
        <is>
          <t>HEBY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46275</v>
      </c>
      <c r="F251" t="inlineStr">
        <is>
          <t>UPPSALA LÄN</t>
        </is>
      </c>
      <c r="G251" t="inlineStr">
        <is>
          <t>HEBY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46275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73622-2021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46275</v>
      </c>
      <c r="F253" t="inlineStr">
        <is>
          <t>UPPSALA LÄN</t>
        </is>
      </c>
      <c r="G253" t="inlineStr">
        <is>
          <t>HEBY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46275</v>
      </c>
      <c r="F254" t="inlineStr">
        <is>
          <t>UPPSALA LÄN</t>
        </is>
      </c>
      <c r="G254" t="inlineStr">
        <is>
          <t>HEBY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61453-2022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44916</v>
      </c>
      <c r="E255" s="1" t="n">
        <v>46275</v>
      </c>
      <c r="F255" t="inlineStr">
        <is>
          <t>UPPSALA LÄN</t>
        </is>
      </c>
      <c r="G255" t="inlineStr">
        <is>
          <t>HEBY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45364</v>
      </c>
      <c r="E256" s="1" t="n">
        <v>46275</v>
      </c>
      <c r="F256" t="inlineStr">
        <is>
          <t>UPPSALA LÄN</t>
        </is>
      </c>
      <c r="G256" t="inlineStr">
        <is>
          <t>HEBY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45364</v>
      </c>
      <c r="E257" s="1" t="n">
        <v>46275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45006</v>
      </c>
      <c r="E258" s="1" t="n">
        <v>46275</v>
      </c>
      <c r="F258" t="inlineStr">
        <is>
          <t>UPPSALA LÄN</t>
        </is>
      </c>
      <c r="G258" t="inlineStr">
        <is>
          <t>HEBY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45029</v>
      </c>
      <c r="E259" s="1" t="n">
        <v>46275</v>
      </c>
      <c r="F259" t="inlineStr">
        <is>
          <t>UPPSALA LÄN</t>
        </is>
      </c>
      <c r="G259" t="inlineStr">
        <is>
          <t>HEBY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44888</v>
      </c>
      <c r="E260" s="1" t="n">
        <v>46275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44568</v>
      </c>
      <c r="E261" s="1" t="n">
        <v>46275</v>
      </c>
      <c r="F261" t="inlineStr">
        <is>
          <t>UPPSALA LÄN</t>
        </is>
      </c>
      <c r="G261" t="inlineStr">
        <is>
          <t>HEBY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45006</v>
      </c>
      <c r="E262" s="1" t="n">
        <v>46275</v>
      </c>
      <c r="F262" t="inlineStr">
        <is>
          <t>UPPSALA LÄN</t>
        </is>
      </c>
      <c r="G262" t="inlineStr">
        <is>
          <t>HEBY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46275</v>
      </c>
      <c r="F263" t="inlineStr">
        <is>
          <t>UPPSALA LÄN</t>
        </is>
      </c>
      <c r="G263" t="inlineStr">
        <is>
          <t>HEBY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46275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46275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44788</v>
      </c>
      <c r="E266" s="1" t="n">
        <v>46275</v>
      </c>
      <c r="F266" t="inlineStr">
        <is>
          <t>UPPSALA LÄN</t>
        </is>
      </c>
      <c r="G266" t="inlineStr">
        <is>
          <t>HEBY</t>
        </is>
      </c>
      <c r="I266" t="n">
        <v>18.8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21000-2022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44701</v>
      </c>
      <c r="E267" s="1" t="n">
        <v>46275</v>
      </c>
      <c r="F267" t="inlineStr">
        <is>
          <t>UPPSALA LÄN</t>
        </is>
      </c>
      <c r="G267" t="inlineStr">
        <is>
          <t>HEBY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46275</v>
      </c>
      <c r="F268" t="inlineStr">
        <is>
          <t>UPPSALA LÄN</t>
        </is>
      </c>
      <c r="G268" t="inlineStr">
        <is>
          <t>HEBY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35644-2024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46275</v>
      </c>
      <c r="F269" t="inlineStr">
        <is>
          <t>UPPSALA LÄN</t>
        </is>
      </c>
      <c r="G269" t="inlineStr">
        <is>
          <t>HEBY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11715-2024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46275</v>
      </c>
      <c r="F270" t="inlineStr">
        <is>
          <t>UPPSALA LÄN</t>
        </is>
      </c>
      <c r="G270" t="inlineStr">
        <is>
          <t>HEBY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14262-2025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46275</v>
      </c>
      <c r="F271" t="inlineStr">
        <is>
          <t>UPPSALA LÄN</t>
        </is>
      </c>
      <c r="G271" t="inlineStr">
        <is>
          <t>HEBY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45175</v>
      </c>
      <c r="E272" s="1" t="n">
        <v>46275</v>
      </c>
      <c r="F272" t="inlineStr">
        <is>
          <t>UPPSALA LÄN</t>
        </is>
      </c>
      <c r="G272" t="inlineStr">
        <is>
          <t>HEBY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46275</v>
      </c>
      <c r="F273" t="inlineStr">
        <is>
          <t>UPPSALA LÄN</t>
        </is>
      </c>
      <c r="G273" t="inlineStr">
        <is>
          <t>HEBY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45617</v>
      </c>
      <c r="E274" s="1" t="n">
        <v>46275</v>
      </c>
      <c r="F274" t="inlineStr">
        <is>
          <t>UPPSALA LÄN</t>
        </is>
      </c>
      <c r="G274" t="inlineStr">
        <is>
          <t>HEBY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46275</v>
      </c>
      <c r="F275" t="inlineStr">
        <is>
          <t>UPPSALA LÄN</t>
        </is>
      </c>
      <c r="G275" t="inlineStr">
        <is>
          <t>HEBY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46275</v>
      </c>
      <c r="F276" t="inlineStr">
        <is>
          <t>UPPSALA LÄN</t>
        </is>
      </c>
      <c r="G276" t="inlineStr">
        <is>
          <t>HEBY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45422</v>
      </c>
      <c r="E277" s="1" t="n">
        <v>46275</v>
      </c>
      <c r="F277" t="inlineStr">
        <is>
          <t>UPPSALA LÄN</t>
        </is>
      </c>
      <c r="G277" t="inlineStr">
        <is>
          <t>HEBY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46275</v>
      </c>
      <c r="F278" t="inlineStr">
        <is>
          <t>UPPSALA LÄN</t>
        </is>
      </c>
      <c r="G278" t="inlineStr">
        <is>
          <t>HEBY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44993</v>
      </c>
      <c r="E279" s="1" t="n">
        <v>46275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19990-2022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44697</v>
      </c>
      <c r="E280" s="1" t="n">
        <v>46275</v>
      </c>
      <c r="F280" t="inlineStr">
        <is>
          <t>UPPSALA LÄN</t>
        </is>
      </c>
      <c r="G280" t="inlineStr">
        <is>
          <t>HEBY</t>
        </is>
      </c>
      <c r="H280" t="inlineStr">
        <is>
          <t>Bergvik skog väst AB</t>
        </is>
      </c>
      <c r="I280" t="n">
        <v>14.3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32181-2024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45511</v>
      </c>
      <c r="E281" s="1" t="n">
        <v>46275</v>
      </c>
      <c r="F281" t="inlineStr">
        <is>
          <t>UPPSALA LÄN</t>
        </is>
      </c>
      <c r="G281" t="inlineStr">
        <is>
          <t>HEBY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46275</v>
      </c>
      <c r="F282" t="inlineStr">
        <is>
          <t>UPPSALA LÄN</t>
        </is>
      </c>
      <c r="G282" t="inlineStr">
        <is>
          <t>HEBY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64364-2021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44511</v>
      </c>
      <c r="E283" s="1" t="n">
        <v>46275</v>
      </c>
      <c r="F283" t="inlineStr">
        <is>
          <t>UPPSALA LÄN</t>
        </is>
      </c>
      <c r="G283" t="inlineStr">
        <is>
          <t>HEBY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46275</v>
      </c>
      <c r="F284" t="inlineStr">
        <is>
          <t>UPPSALA LÄN</t>
        </is>
      </c>
      <c r="G284" t="inlineStr">
        <is>
          <t>HEBY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45092</v>
      </c>
      <c r="E285" s="1" t="n">
        <v>46275</v>
      </c>
      <c r="F285" t="inlineStr">
        <is>
          <t>UPPSALA LÄN</t>
        </is>
      </c>
      <c r="G285" t="inlineStr">
        <is>
          <t>HEBY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46275</v>
      </c>
      <c r="F286" t="inlineStr">
        <is>
          <t>UPPSALA LÄN</t>
        </is>
      </c>
      <c r="G286" t="inlineStr">
        <is>
          <t>HEBY</t>
        </is>
      </c>
      <c r="H286" t="inlineStr">
        <is>
          <t>Övriga Aktiebolag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46275</v>
      </c>
      <c r="F287" t="inlineStr">
        <is>
          <t>UPPSALA LÄN</t>
        </is>
      </c>
      <c r="G287" t="inlineStr">
        <is>
          <t>HEBY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46275</v>
      </c>
      <c r="F288" t="inlineStr">
        <is>
          <t>UPPSALA LÄN</t>
        </is>
      </c>
      <c r="G288" t="inlineStr">
        <is>
          <t>HEBY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44960</v>
      </c>
      <c r="E289" s="1" t="n">
        <v>46275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31560-2023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45117</v>
      </c>
      <c r="E290" s="1" t="n">
        <v>46275</v>
      </c>
      <c r="F290" t="inlineStr">
        <is>
          <t>UPPSALA LÄN</t>
        </is>
      </c>
      <c r="G290" t="inlineStr">
        <is>
          <t>HEBY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46275</v>
      </c>
      <c r="F291" t="inlineStr">
        <is>
          <t>UPPSALA LÄN</t>
        </is>
      </c>
      <c r="G291" t="inlineStr">
        <is>
          <t>HEBY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46275</v>
      </c>
      <c r="F292" t="inlineStr">
        <is>
          <t>UPPSALA LÄN</t>
        </is>
      </c>
      <c r="G292" t="inlineStr">
        <is>
          <t>HEBY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44951</v>
      </c>
      <c r="E293" s="1" t="n">
        <v>46275</v>
      </c>
      <c r="F293" t="inlineStr">
        <is>
          <t>UPPSALA LÄN</t>
        </is>
      </c>
      <c r="G293" t="inlineStr">
        <is>
          <t>HEBY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8660-2022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44613</v>
      </c>
      <c r="E294" s="1" t="n">
        <v>46275</v>
      </c>
      <c r="F294" t="inlineStr">
        <is>
          <t>UPPSALA LÄN</t>
        </is>
      </c>
      <c r="G294" t="inlineStr">
        <is>
          <t>HEBY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46275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70158-2021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44533</v>
      </c>
      <c r="E296" s="1" t="n">
        <v>46275</v>
      </c>
      <c r="F296" t="inlineStr">
        <is>
          <t>UPPSALA LÄN</t>
        </is>
      </c>
      <c r="G296" t="inlineStr">
        <is>
          <t>HEBY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45786</v>
      </c>
      <c r="E297" s="1" t="n">
        <v>46275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45394</v>
      </c>
      <c r="E298" s="1" t="n">
        <v>46275</v>
      </c>
      <c r="F298" t="inlineStr">
        <is>
          <t>UPPSALA LÄN</t>
        </is>
      </c>
      <c r="G298" t="inlineStr">
        <is>
          <t>HEBY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29340-2022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44752</v>
      </c>
      <c r="E299" s="1" t="n">
        <v>46275</v>
      </c>
      <c r="F299" t="inlineStr">
        <is>
          <t>UPPSALA LÄN</t>
        </is>
      </c>
      <c r="G299" t="inlineStr">
        <is>
          <t>HEBY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45786</v>
      </c>
      <c r="E300" s="1" t="n">
        <v>46275</v>
      </c>
      <c r="F300" t="inlineStr">
        <is>
          <t>UPPSALA LÄN</t>
        </is>
      </c>
      <c r="G300" t="inlineStr">
        <is>
          <t>HEBY</t>
        </is>
      </c>
      <c r="H300" t="inlineStr">
        <is>
          <t>Kyrkan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45331</v>
      </c>
      <c r="E301" s="1" t="n">
        <v>46275</v>
      </c>
      <c r="F301" t="inlineStr">
        <is>
          <t>UPPSALA LÄN</t>
        </is>
      </c>
      <c r="G301" t="inlineStr">
        <is>
          <t>HEBY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74215-2021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44558</v>
      </c>
      <c r="E302" s="1" t="n">
        <v>46275</v>
      </c>
      <c r="F302" t="inlineStr">
        <is>
          <t>UPPSALA LÄN</t>
        </is>
      </c>
      <c r="G302" t="inlineStr">
        <is>
          <t>HEBY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45355</v>
      </c>
      <c r="E303" s="1" t="n">
        <v>46275</v>
      </c>
      <c r="F303" t="inlineStr">
        <is>
          <t>UPPSALA LÄN</t>
        </is>
      </c>
      <c r="G303" t="inlineStr">
        <is>
          <t>HEBY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45294</v>
      </c>
      <c r="E304" s="1" t="n">
        <v>46275</v>
      </c>
      <c r="F304" t="inlineStr">
        <is>
          <t>UPPSALA LÄN</t>
        </is>
      </c>
      <c r="G304" t="inlineStr">
        <is>
          <t>HEBY</t>
        </is>
      </c>
      <c r="H304" t="inlineStr">
        <is>
          <t>Kommuner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45390</v>
      </c>
      <c r="E305" s="1" t="n">
        <v>46275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13213-2022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44644</v>
      </c>
      <c r="E306" s="1" t="n">
        <v>46275</v>
      </c>
      <c r="F306" t="inlineStr">
        <is>
          <t>UPPSALA LÄN</t>
        </is>
      </c>
      <c r="G306" t="inlineStr">
        <is>
          <t>HEBY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40924-2023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45173</v>
      </c>
      <c r="E307" s="1" t="n">
        <v>46275</v>
      </c>
      <c r="F307" t="inlineStr">
        <is>
          <t>UPPSALA LÄN</t>
        </is>
      </c>
      <c r="G307" t="inlineStr">
        <is>
          <t>HEBY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46275</v>
      </c>
      <c r="F308" t="inlineStr">
        <is>
          <t>UPPSALA LÄN</t>
        </is>
      </c>
      <c r="G308" t="inlineStr">
        <is>
          <t>HEBY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45175</v>
      </c>
      <c r="E309" s="1" t="n">
        <v>46275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46275</v>
      </c>
      <c r="F310" t="inlineStr">
        <is>
          <t>UPPSALA LÄN</t>
        </is>
      </c>
      <c r="G310" t="inlineStr">
        <is>
          <t>HEBY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46275</v>
      </c>
      <c r="F311" t="inlineStr">
        <is>
          <t>UPPSALA LÄN</t>
        </is>
      </c>
      <c r="G311" t="inlineStr">
        <is>
          <t>HEBY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45786</v>
      </c>
      <c r="E312" s="1" t="n">
        <v>46275</v>
      </c>
      <c r="F312" t="inlineStr">
        <is>
          <t>UPPSALA LÄN</t>
        </is>
      </c>
      <c r="G312" t="inlineStr">
        <is>
          <t>HEBY</t>
        </is>
      </c>
      <c r="H312" t="inlineStr">
        <is>
          <t>Kyrkan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45786</v>
      </c>
      <c r="E313" s="1" t="n">
        <v>46275</v>
      </c>
      <c r="F313" t="inlineStr">
        <is>
          <t>UPPSALA LÄN</t>
        </is>
      </c>
      <c r="G313" t="inlineStr">
        <is>
          <t>HEBY</t>
        </is>
      </c>
      <c r="H313" t="inlineStr">
        <is>
          <t>Kyrkan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44791</v>
      </c>
      <c r="E314" s="1" t="n">
        <v>46275</v>
      </c>
      <c r="F314" t="inlineStr">
        <is>
          <t>UPPSALA LÄN</t>
        </is>
      </c>
      <c r="G314" t="inlineStr">
        <is>
          <t>HEBY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35868-2022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44802</v>
      </c>
      <c r="E315" s="1" t="n">
        <v>46275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45337</v>
      </c>
      <c r="E316" s="1" t="n">
        <v>46275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45181</v>
      </c>
      <c r="E317" s="1" t="n">
        <v>46275</v>
      </c>
      <c r="F317" t="inlineStr">
        <is>
          <t>UPPSALA LÄN</t>
        </is>
      </c>
      <c r="G317" t="inlineStr">
        <is>
          <t>HEBY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45175</v>
      </c>
      <c r="E318" s="1" t="n">
        <v>46275</v>
      </c>
      <c r="F318" t="inlineStr">
        <is>
          <t>UPPSALA LÄN</t>
        </is>
      </c>
      <c r="G318" t="inlineStr">
        <is>
          <t>HEBY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45599</v>
      </c>
      <c r="E319" s="1" t="n">
        <v>46275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46275</v>
      </c>
      <c r="F320" t="inlineStr">
        <is>
          <t>UPPSALA LÄN</t>
        </is>
      </c>
      <c r="G320" t="inlineStr">
        <is>
          <t>HEBY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46275</v>
      </c>
      <c r="F321" t="inlineStr">
        <is>
          <t>UPPSALA LÄN</t>
        </is>
      </c>
      <c r="G321" t="inlineStr">
        <is>
          <t>HEBY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46275</v>
      </c>
      <c r="F322" t="inlineStr">
        <is>
          <t>UPPSALA LÄN</t>
        </is>
      </c>
      <c r="G322" t="inlineStr">
        <is>
          <t>HEBY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45133</v>
      </c>
      <c r="E323" s="1" t="n">
        <v>46275</v>
      </c>
      <c r="F323" t="inlineStr">
        <is>
          <t>UPPSALA LÄN</t>
        </is>
      </c>
      <c r="G323" t="inlineStr">
        <is>
          <t>HEBY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46275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12.3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45209</v>
      </c>
      <c r="E325" s="1" t="n">
        <v>46275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45390</v>
      </c>
      <c r="E326" s="1" t="n">
        <v>46275</v>
      </c>
      <c r="F326" t="inlineStr">
        <is>
          <t>UPPSALA LÄN</t>
        </is>
      </c>
      <c r="G326" t="inlineStr">
        <is>
          <t>HEBY</t>
        </is>
      </c>
      <c r="I326" t="n">
        <v>15.8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52796-2024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46275</v>
      </c>
      <c r="F327" t="inlineStr">
        <is>
          <t>UPPSALA LÄN</t>
        </is>
      </c>
      <c r="G327" t="inlineStr">
        <is>
          <t>HEBY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14884-2024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45398</v>
      </c>
      <c r="E328" s="1" t="n">
        <v>46275</v>
      </c>
      <c r="F328" t="inlineStr">
        <is>
          <t>UPPSALA LÄN</t>
        </is>
      </c>
      <c r="G328" t="inlineStr">
        <is>
          <t>HEBY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45680</v>
      </c>
      <c r="E329" s="1" t="n">
        <v>46275</v>
      </c>
      <c r="F329" t="inlineStr">
        <is>
          <t>UPPSALA LÄN</t>
        </is>
      </c>
      <c r="G329" t="inlineStr">
        <is>
          <t>HEBY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46275</v>
      </c>
      <c r="F330" t="inlineStr">
        <is>
          <t>UPPSALA LÄN</t>
        </is>
      </c>
      <c r="G330" t="inlineStr">
        <is>
          <t>HEBY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46275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46275</v>
      </c>
      <c r="F332" t="inlineStr">
        <is>
          <t>UPPSALA LÄN</t>
        </is>
      </c>
      <c r="G332" t="inlineStr">
        <is>
          <t>HEBY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45747</v>
      </c>
      <c r="E333" s="1" t="n">
        <v>46275</v>
      </c>
      <c r="F333" t="inlineStr">
        <is>
          <t>UPPSALA LÄN</t>
        </is>
      </c>
      <c r="G333" t="inlineStr">
        <is>
          <t>HEBY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46275</v>
      </c>
      <c r="F334" t="inlineStr">
        <is>
          <t>UPPSALA LÄN</t>
        </is>
      </c>
      <c r="G334" t="inlineStr">
        <is>
          <t>HEBY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45089</v>
      </c>
      <c r="E335" s="1" t="n">
        <v>46275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46275</v>
      </c>
      <c r="F336" t="inlineStr">
        <is>
          <t>UPPSALA LÄN</t>
        </is>
      </c>
      <c r="G336" t="inlineStr">
        <is>
          <t>HEBY</t>
        </is>
      </c>
      <c r="H336" t="inlineStr">
        <is>
          <t>Kyrkan</t>
        </is>
      </c>
      <c r="I336" t="n">
        <v>10.6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46275</v>
      </c>
      <c r="F337" t="inlineStr">
        <is>
          <t>UPPSALA LÄN</t>
        </is>
      </c>
      <c r="G337" t="inlineStr">
        <is>
          <t>HEBY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45708</v>
      </c>
      <c r="E338" s="1" t="n">
        <v>46275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49536-2024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45596</v>
      </c>
      <c r="E339" s="1" t="n">
        <v>46275</v>
      </c>
      <c r="F339" t="inlineStr">
        <is>
          <t>UPPSALA LÄN</t>
        </is>
      </c>
      <c r="G339" t="inlineStr">
        <is>
          <t>HEBY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45674</v>
      </c>
      <c r="E340" s="1" t="n">
        <v>46275</v>
      </c>
      <c r="F340" t="inlineStr">
        <is>
          <t>UPPSALA LÄN</t>
        </is>
      </c>
      <c r="G340" t="inlineStr">
        <is>
          <t>HEBY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35865-2022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44802</v>
      </c>
      <c r="E341" s="1" t="n">
        <v>46275</v>
      </c>
      <c r="F341" t="inlineStr">
        <is>
          <t>UPPSALA LÄN</t>
        </is>
      </c>
      <c r="G341" t="inlineStr">
        <is>
          <t>HEBY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35875-2022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44802</v>
      </c>
      <c r="E342" s="1" t="n">
        <v>46275</v>
      </c>
      <c r="F342" t="inlineStr">
        <is>
          <t>UPPSALA LÄN</t>
        </is>
      </c>
      <c r="G342" t="inlineStr">
        <is>
          <t>HEBY</t>
        </is>
      </c>
      <c r="I342" t="n">
        <v>12.1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46275</v>
      </c>
      <c r="F343" t="inlineStr">
        <is>
          <t>UPPSALA LÄN</t>
        </is>
      </c>
      <c r="G343" t="inlineStr">
        <is>
          <t>HEBY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45547</v>
      </c>
      <c r="E344" s="1" t="n">
        <v>46275</v>
      </c>
      <c r="F344" t="inlineStr">
        <is>
          <t>UPPSALA LÄN</t>
        </is>
      </c>
      <c r="G344" t="inlineStr">
        <is>
          <t>HEBY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10414-2022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44623</v>
      </c>
      <c r="E345" s="1" t="n">
        <v>46275</v>
      </c>
      <c r="F345" t="inlineStr">
        <is>
          <t>UPPSALA LÄN</t>
        </is>
      </c>
      <c r="G345" t="inlineStr">
        <is>
          <t>HEBY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45804</v>
      </c>
      <c r="E346" s="1" t="n">
        <v>46275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45804</v>
      </c>
      <c r="E347" s="1" t="n">
        <v>46275</v>
      </c>
      <c r="F347" t="inlineStr">
        <is>
          <t>UPPSALA LÄN</t>
        </is>
      </c>
      <c r="G347" t="inlineStr">
        <is>
          <t>HEBY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46275</v>
      </c>
      <c r="F348" t="inlineStr">
        <is>
          <t>UPPSALA LÄN</t>
        </is>
      </c>
      <c r="G348" t="inlineStr">
        <is>
          <t>HEBY</t>
        </is>
      </c>
      <c r="H348" t="inlineStr">
        <is>
          <t>Kyrkan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46275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46275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28561-2025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46275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19718-2023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45050</v>
      </c>
      <c r="E352" s="1" t="n">
        <v>46275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46275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45883</v>
      </c>
      <c r="E354" s="1" t="n">
        <v>46275</v>
      </c>
      <c r="F354" t="inlineStr">
        <is>
          <t>UPPSALA LÄN</t>
        </is>
      </c>
      <c r="G354" t="inlineStr">
        <is>
          <t>HEBY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46275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41216-2025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45898</v>
      </c>
      <c r="E356" s="1" t="n">
        <v>46275</v>
      </c>
      <c r="F356" t="inlineStr">
        <is>
          <t>UPPSALA LÄN</t>
        </is>
      </c>
      <c r="G356" t="inlineStr">
        <is>
          <t>HEBY</t>
        </is>
      </c>
      <c r="I356" t="n">
        <v>14.8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46275</v>
      </c>
      <c r="F357" t="inlineStr">
        <is>
          <t>UPPSALA LÄN</t>
        </is>
      </c>
      <c r="G357" t="inlineStr">
        <is>
          <t>HEBY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44734</v>
      </c>
      <c r="E358" s="1" t="n">
        <v>46275</v>
      </c>
      <c r="F358" t="inlineStr">
        <is>
          <t>UPPSALA LÄN</t>
        </is>
      </c>
      <c r="G358" t="inlineStr">
        <is>
          <t>HEBY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29739-2025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45825</v>
      </c>
      <c r="E359" s="1" t="n">
        <v>46275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45826</v>
      </c>
      <c r="E360" s="1" t="n">
        <v>46275</v>
      </c>
      <c r="F360" t="inlineStr">
        <is>
          <t>UPPSALA LÄN</t>
        </is>
      </c>
      <c r="G360" t="inlineStr">
        <is>
          <t>HEBY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46275</v>
      </c>
      <c r="F361" t="inlineStr">
        <is>
          <t>UPPSALA LÄN</t>
        </is>
      </c>
      <c r="G361" t="inlineStr">
        <is>
          <t>HEBY</t>
        </is>
      </c>
      <c r="H361" t="inlineStr">
        <is>
          <t>Övriga Aktiebolag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45827</v>
      </c>
      <c r="E362" s="1" t="n">
        <v>46275</v>
      </c>
      <c r="F362" t="inlineStr">
        <is>
          <t>UPPSALA LÄN</t>
        </is>
      </c>
      <c r="G362" t="inlineStr">
        <is>
          <t>HEBY</t>
        </is>
      </c>
      <c r="H362" t="inlineStr">
        <is>
          <t>Övriga Aktiebolag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31058-2025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46275</v>
      </c>
      <c r="F363" t="inlineStr">
        <is>
          <t>UPPSALA LÄN</t>
        </is>
      </c>
      <c r="G363" t="inlineStr">
        <is>
          <t>HEBY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46275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46275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43.4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3368-2024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45317</v>
      </c>
      <c r="E366" s="1" t="n">
        <v>46275</v>
      </c>
      <c r="F366" t="inlineStr">
        <is>
          <t>UPPSALA LÄN</t>
        </is>
      </c>
      <c r="G366" t="inlineStr">
        <is>
          <t>HEBY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46275</v>
      </c>
      <c r="F367" t="inlineStr">
        <is>
          <t>UPPSALA LÄN</t>
        </is>
      </c>
      <c r="G367" t="inlineStr">
        <is>
          <t>HEBY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46275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46275</v>
      </c>
      <c r="F369" t="inlineStr">
        <is>
          <t>UPPSALA LÄN</t>
        </is>
      </c>
      <c r="G369" t="inlineStr">
        <is>
          <t>HEBY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26085-2022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44734</v>
      </c>
      <c r="E370" s="1" t="n">
        <v>46275</v>
      </c>
      <c r="F370" t="inlineStr">
        <is>
          <t>UPPSALA LÄN</t>
        </is>
      </c>
      <c r="G370" t="inlineStr">
        <is>
          <t>HEBY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29536-2023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45106</v>
      </c>
      <c r="E371" s="1" t="n">
        <v>46275</v>
      </c>
      <c r="F371" t="inlineStr">
        <is>
          <t>UPPSALA LÄN</t>
        </is>
      </c>
      <c r="G371" t="inlineStr">
        <is>
          <t>HEBY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45294</v>
      </c>
      <c r="E372" s="1" t="n">
        <v>46275</v>
      </c>
      <c r="F372" t="inlineStr">
        <is>
          <t>UPPSALA LÄN</t>
        </is>
      </c>
      <c r="G372" t="inlineStr">
        <is>
          <t>HEBY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45092</v>
      </c>
      <c r="E373" s="1" t="n">
        <v>46275</v>
      </c>
      <c r="F373" t="inlineStr">
        <is>
          <t>UPPSALA LÄN</t>
        </is>
      </c>
      <c r="G373" t="inlineStr">
        <is>
          <t>HEBY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46275</v>
      </c>
      <c r="F374" t="inlineStr">
        <is>
          <t>UPPSALA LÄN</t>
        </is>
      </c>
      <c r="G374" t="inlineStr">
        <is>
          <t>HEBY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46275</v>
      </c>
      <c r="F375" t="inlineStr">
        <is>
          <t>UPPSALA LÄN</t>
        </is>
      </c>
      <c r="G375" t="inlineStr">
        <is>
          <t>HEBY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46275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11.8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39892-2025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45891</v>
      </c>
      <c r="E377" s="1" t="n">
        <v>46275</v>
      </c>
      <c r="F377" t="inlineStr">
        <is>
          <t>UPPSALA LÄN</t>
        </is>
      </c>
      <c r="G377" t="inlineStr">
        <is>
          <t>HEBY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45847</v>
      </c>
      <c r="E378" s="1" t="n">
        <v>46275</v>
      </c>
      <c r="F378" t="inlineStr">
        <is>
          <t>UPPSALA LÄN</t>
        </is>
      </c>
      <c r="G378" t="inlineStr">
        <is>
          <t>HEBY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46275</v>
      </c>
      <c r="F379" t="inlineStr">
        <is>
          <t>UPPSALA LÄN</t>
        </is>
      </c>
      <c r="G379" t="inlineStr">
        <is>
          <t>HEBY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46275</v>
      </c>
      <c r="F380" t="inlineStr">
        <is>
          <t>UPPSALA LÄN</t>
        </is>
      </c>
      <c r="G380" t="inlineStr">
        <is>
          <t>HEBY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35265-2025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45852</v>
      </c>
      <c r="E381" s="1" t="n">
        <v>46275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45922</v>
      </c>
      <c r="E382" s="1" t="n">
        <v>46275</v>
      </c>
      <c r="F382" t="inlineStr">
        <is>
          <t>UPPSALA LÄN</t>
        </is>
      </c>
      <c r="G382" t="inlineStr">
        <is>
          <t>HEBY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45852</v>
      </c>
      <c r="E383" s="1" t="n">
        <v>46275</v>
      </c>
      <c r="F383" t="inlineStr">
        <is>
          <t>UPPSALA LÄN</t>
        </is>
      </c>
      <c r="G383" t="inlineStr">
        <is>
          <t>HEBY</t>
        </is>
      </c>
      <c r="H383" t="inlineStr">
        <is>
          <t>Kyrkan</t>
        </is>
      </c>
      <c r="I383" t="n">
        <v>10.3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44753</v>
      </c>
      <c r="E384" s="1" t="n">
        <v>46275</v>
      </c>
      <c r="F384" t="inlineStr">
        <is>
          <t>UPPSALA LÄN</t>
        </is>
      </c>
      <c r="G384" t="inlineStr">
        <is>
          <t>HEBY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47506-2025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46275</v>
      </c>
      <c r="F385" t="inlineStr">
        <is>
          <t>UPPSALA LÄN</t>
        </is>
      </c>
      <c r="G385" t="inlineStr">
        <is>
          <t>HEBY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31903-2023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45118</v>
      </c>
      <c r="E386" s="1" t="n">
        <v>46275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45777</v>
      </c>
      <c r="E387" s="1" t="n">
        <v>46275</v>
      </c>
      <c r="F387" t="inlineStr">
        <is>
          <t>UPPSALA LÄN</t>
        </is>
      </c>
      <c r="G387" t="inlineStr">
        <is>
          <t>HEBY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45293</v>
      </c>
      <c r="E388" s="1" t="n">
        <v>46275</v>
      </c>
      <c r="F388" t="inlineStr">
        <is>
          <t>UPPSALA LÄN</t>
        </is>
      </c>
      <c r="G388" t="inlineStr">
        <is>
          <t>HEBY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46275</v>
      </c>
      <c r="F389" t="inlineStr">
        <is>
          <t>UPPSALA LÄN</t>
        </is>
      </c>
      <c r="G389" t="inlineStr">
        <is>
          <t>HEBY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46275</v>
      </c>
      <c r="F390" t="inlineStr">
        <is>
          <t>UPPSALA LÄN</t>
        </is>
      </c>
      <c r="G390" t="inlineStr">
        <is>
          <t>HEBY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45693</v>
      </c>
      <c r="E391" s="1" t="n">
        <v>46275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46275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44781</v>
      </c>
      <c r="E393" s="1" t="n">
        <v>46275</v>
      </c>
      <c r="F393" t="inlineStr">
        <is>
          <t>UPPSALA LÄN</t>
        </is>
      </c>
      <c r="G393" t="inlineStr">
        <is>
          <t>HEBY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45128</v>
      </c>
      <c r="E394" s="1" t="n">
        <v>46275</v>
      </c>
      <c r="F394" t="inlineStr">
        <is>
          <t>UPPSALA LÄN</t>
        </is>
      </c>
      <c r="G394" t="inlineStr">
        <is>
          <t>HEBY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45197</v>
      </c>
      <c r="E395" s="1" t="n">
        <v>46275</v>
      </c>
      <c r="F395" t="inlineStr">
        <is>
          <t>UPPSALA LÄN</t>
        </is>
      </c>
      <c r="G395" t="inlineStr">
        <is>
          <t>HEBY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46275</v>
      </c>
      <c r="F396" t="inlineStr">
        <is>
          <t>UPPSALA LÄN</t>
        </is>
      </c>
      <c r="G396" t="inlineStr">
        <is>
          <t>HEBY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46275</v>
      </c>
      <c r="F397" t="inlineStr">
        <is>
          <t>UPPSALA LÄN</t>
        </is>
      </c>
      <c r="G397" t="inlineStr">
        <is>
          <t>HEBY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45952</v>
      </c>
      <c r="E398" s="1" t="n">
        <v>46275</v>
      </c>
      <c r="F398" t="inlineStr">
        <is>
          <t>UPPSALA LÄN</t>
        </is>
      </c>
      <c r="G398" t="inlineStr">
        <is>
          <t>HEBY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45951</v>
      </c>
      <c r="E399" s="1" t="n">
        <v>46275</v>
      </c>
      <c r="F399" t="inlineStr">
        <is>
          <t>UPPSALA LÄN</t>
        </is>
      </c>
      <c r="G399" t="inlineStr">
        <is>
          <t>HEBY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44732</v>
      </c>
      <c r="E400" s="1" t="n">
        <v>46275</v>
      </c>
      <c r="F400" t="inlineStr">
        <is>
          <t>UPPSALA LÄN</t>
        </is>
      </c>
      <c r="G400" t="inlineStr">
        <is>
          <t>HEBY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45957</v>
      </c>
      <c r="E401" s="1" t="n">
        <v>46275</v>
      </c>
      <c r="F401" t="inlineStr">
        <is>
          <t>UPPSALA LÄN</t>
        </is>
      </c>
      <c r="G401" t="inlineStr">
        <is>
          <t>HEBY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46275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45582</v>
      </c>
      <c r="E403" s="1" t="n">
        <v>46275</v>
      </c>
      <c r="F403" t="inlineStr">
        <is>
          <t>UPPSALA LÄN</t>
        </is>
      </c>
      <c r="G403" t="inlineStr">
        <is>
          <t>HEBY</t>
        </is>
      </c>
      <c r="H403" t="inlineStr">
        <is>
          <t>Bergvik skog väst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46275</v>
      </c>
      <c r="F404" t="inlineStr">
        <is>
          <t>UPPSALA LÄN</t>
        </is>
      </c>
      <c r="G404" t="inlineStr">
        <is>
          <t>HEBY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45406</v>
      </c>
      <c r="E405" s="1" t="n">
        <v>46275</v>
      </c>
      <c r="F405" t="inlineStr">
        <is>
          <t>UPPSALA LÄN</t>
        </is>
      </c>
      <c r="G405" t="inlineStr">
        <is>
          <t>HEBY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46275</v>
      </c>
      <c r="F406" t="inlineStr">
        <is>
          <t>UPPSALA LÄN</t>
        </is>
      </c>
      <c r="G406" t="inlineStr">
        <is>
          <t>HEBY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60461-2022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44911</v>
      </c>
      <c r="E407" s="1" t="n">
        <v>46275</v>
      </c>
      <c r="F407" t="inlineStr">
        <is>
          <t>UPPSALA LÄN</t>
        </is>
      </c>
      <c r="G407" t="inlineStr">
        <is>
          <t>HEBY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55018-2025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46275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44694</v>
      </c>
      <c r="E409" s="1" t="n">
        <v>46275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55488-2025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45971</v>
      </c>
      <c r="E410" s="1" t="n">
        <v>46275</v>
      </c>
      <c r="F410" t="inlineStr">
        <is>
          <t>UPPSALA LÄN</t>
        </is>
      </c>
      <c r="G410" t="inlineStr">
        <is>
          <t>HEBY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55496-2025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45971</v>
      </c>
      <c r="E411" s="1" t="n">
        <v>46275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44978</v>
      </c>
      <c r="E412" s="1" t="n">
        <v>46275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45972</v>
      </c>
      <c r="E413" s="1" t="n">
        <v>46275</v>
      </c>
      <c r="F413" t="inlineStr">
        <is>
          <t>UPPSALA LÄN</t>
        </is>
      </c>
      <c r="G413" t="inlineStr">
        <is>
          <t>HEBY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60295-2021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44495</v>
      </c>
      <c r="E414" s="1" t="n">
        <v>46275</v>
      </c>
      <c r="F414" t="inlineStr">
        <is>
          <t>UPPSALA LÄN</t>
        </is>
      </c>
      <c r="G414" t="inlineStr">
        <is>
          <t>HEBY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45572</v>
      </c>
      <c r="E415" s="1" t="n">
        <v>46275</v>
      </c>
      <c r="F415" t="inlineStr">
        <is>
          <t>UPPSALA LÄN</t>
        </is>
      </c>
      <c r="G415" t="inlineStr">
        <is>
          <t>HEBY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44659</v>
      </c>
      <c r="E416" s="1" t="n">
        <v>46275</v>
      </c>
      <c r="F416" t="inlineStr">
        <is>
          <t>UPPSALA LÄN</t>
        </is>
      </c>
      <c r="G416" t="inlineStr">
        <is>
          <t>HEBY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8856-2022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44614</v>
      </c>
      <c r="E417" s="1" t="n">
        <v>46275</v>
      </c>
      <c r="F417" t="inlineStr">
        <is>
          <t>UPPSALA LÄN</t>
        </is>
      </c>
      <c r="G417" t="inlineStr">
        <is>
          <t>HEBY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46275</v>
      </c>
      <c r="F418" t="inlineStr">
        <is>
          <t>UPPSALA LÄN</t>
        </is>
      </c>
      <c r="G418" t="inlineStr">
        <is>
          <t>HEBY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44942</v>
      </c>
      <c r="E419" s="1" t="n">
        <v>46275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46275</v>
      </c>
      <c r="F420" t="inlineStr">
        <is>
          <t>UPPSALA LÄN</t>
        </is>
      </c>
      <c r="G420" t="inlineStr">
        <is>
          <t>HEBY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46275</v>
      </c>
      <c r="F421" t="inlineStr">
        <is>
          <t>UPPSALA LÄN</t>
        </is>
      </c>
      <c r="G421" t="inlineStr">
        <is>
          <t>HEBY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45664</v>
      </c>
      <c r="E422" s="1" t="n">
        <v>46275</v>
      </c>
      <c r="F422" t="inlineStr">
        <is>
          <t>UPPSALA LÄN</t>
        </is>
      </c>
      <c r="G422" t="inlineStr">
        <is>
          <t>HEBY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45980</v>
      </c>
      <c r="E423" s="1" t="n">
        <v>46275</v>
      </c>
      <c r="F423" t="inlineStr">
        <is>
          <t>UPPSALA LÄN</t>
        </is>
      </c>
      <c r="G423" t="inlineStr">
        <is>
          <t>HEBY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46275</v>
      </c>
      <c r="F424" t="inlineStr">
        <is>
          <t>UPPSALA LÄN</t>
        </is>
      </c>
      <c r="G424" t="inlineStr">
        <is>
          <t>HEBY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6866-2022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44602</v>
      </c>
      <c r="E425" s="1" t="n">
        <v>46275</v>
      </c>
      <c r="F425" t="inlineStr">
        <is>
          <t>UPPSALA LÄN</t>
        </is>
      </c>
      <c r="G425" t="inlineStr">
        <is>
          <t>HEBY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45113</v>
      </c>
      <c r="E426" s="1" t="n">
        <v>46275</v>
      </c>
      <c r="F426" t="inlineStr">
        <is>
          <t>UPPSALA LÄN</t>
        </is>
      </c>
      <c r="G426" t="inlineStr">
        <is>
          <t>HEBY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18148-2022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44684</v>
      </c>
      <c r="E427" s="1" t="n">
        <v>46275</v>
      </c>
      <c r="F427" t="inlineStr">
        <is>
          <t>UPPSALA LÄN</t>
        </is>
      </c>
      <c r="G427" t="inlineStr">
        <is>
          <t>HEBY</t>
        </is>
      </c>
      <c r="H427" t="inlineStr">
        <is>
          <t>Bergvik skog väst AB</t>
        </is>
      </c>
      <c r="I427" t="n">
        <v>41.8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66873-2021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44522</v>
      </c>
      <c r="E428" s="1" t="n">
        <v>46275</v>
      </c>
      <c r="F428" t="inlineStr">
        <is>
          <t>UPPSALA LÄN</t>
        </is>
      </c>
      <c r="G428" t="inlineStr">
        <is>
          <t>HEBY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46275</v>
      </c>
      <c r="F429" t="inlineStr">
        <is>
          <t>UPPSALA LÄN</t>
        </is>
      </c>
      <c r="G429" t="inlineStr">
        <is>
          <t>HEBY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45006</v>
      </c>
      <c r="E430" s="1" t="n">
        <v>46275</v>
      </c>
      <c r="F430" t="inlineStr">
        <is>
          <t>UPPSALA LÄN</t>
        </is>
      </c>
      <c r="G430" t="inlineStr">
        <is>
          <t>HEBY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25995-2022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44734</v>
      </c>
      <c r="E431" s="1" t="n">
        <v>46275</v>
      </c>
      <c r="F431" t="inlineStr">
        <is>
          <t>UPPSALA LÄN</t>
        </is>
      </c>
      <c r="G431" t="inlineStr">
        <is>
          <t>HEBY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45083</v>
      </c>
      <c r="E432" s="1" t="n">
        <v>46275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46275</v>
      </c>
      <c r="F433" t="inlineStr">
        <is>
          <t>UPPSALA LÄN</t>
        </is>
      </c>
      <c r="G433" t="inlineStr">
        <is>
          <t>HEBY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20882-2022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44701</v>
      </c>
      <c r="E434" s="1" t="n">
        <v>46275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51733-2025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45951</v>
      </c>
      <c r="E435" s="1" t="n">
        <v>46275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öst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14585-2023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46275</v>
      </c>
      <c r="F436" t="inlineStr">
        <is>
          <t>UPPSALA LÄN</t>
        </is>
      </c>
      <c r="G436" t="inlineStr">
        <is>
          <t>HEBY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56352-2021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44480</v>
      </c>
      <c r="E437" s="1" t="n">
        <v>46275</v>
      </c>
      <c r="F437" t="inlineStr">
        <is>
          <t>UPPSALA LÄN</t>
        </is>
      </c>
      <c r="G437" t="inlineStr">
        <is>
          <t>HEBY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40435-2025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45895</v>
      </c>
      <c r="E438" s="1" t="n">
        <v>46275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öst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44984</v>
      </c>
      <c r="E439" s="1" t="n">
        <v>46275</v>
      </c>
      <c r="F439" t="inlineStr">
        <is>
          <t>UPPSALA LÄN</t>
        </is>
      </c>
      <c r="G439" t="inlineStr">
        <is>
          <t>HEBY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51521-2023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45215</v>
      </c>
      <c r="E440" s="1" t="n">
        <v>46275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44984</v>
      </c>
      <c r="E441" s="1" t="n">
        <v>46275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46275</v>
      </c>
      <c r="F442" t="inlineStr">
        <is>
          <t>UPPSALA LÄN</t>
        </is>
      </c>
      <c r="G442" t="inlineStr">
        <is>
          <t>HEBY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44644</v>
      </c>
      <c r="E443" s="1" t="n">
        <v>46275</v>
      </c>
      <c r="F443" t="inlineStr">
        <is>
          <t>UPPSALA LÄN</t>
        </is>
      </c>
      <c r="G443" t="inlineStr">
        <is>
          <t>HEBY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46275</v>
      </c>
      <c r="F444" t="inlineStr">
        <is>
          <t>UPPSALA LÄN</t>
        </is>
      </c>
      <c r="G444" t="inlineStr">
        <is>
          <t>HEBY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59858-2024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45639</v>
      </c>
      <c r="E445" s="1" t="n">
        <v>46275</v>
      </c>
      <c r="F445" t="inlineStr">
        <is>
          <t>UPPSALA LÄN</t>
        </is>
      </c>
      <c r="G445" t="inlineStr">
        <is>
          <t>HEBY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46003</v>
      </c>
      <c r="E446" s="1" t="n">
        <v>46275</v>
      </c>
      <c r="F446" t="inlineStr">
        <is>
          <t>UPPSALA LÄN</t>
        </is>
      </c>
      <c r="G446" t="inlineStr">
        <is>
          <t>HEBY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44981</v>
      </c>
      <c r="E447" s="1" t="n">
        <v>46275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46003</v>
      </c>
      <c r="E448" s="1" t="n">
        <v>46275</v>
      </c>
      <c r="F448" t="inlineStr">
        <is>
          <t>UPPSALA LÄN</t>
        </is>
      </c>
      <c r="G448" t="inlineStr">
        <is>
          <t>HEBY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62042-2025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46005</v>
      </c>
      <c r="E449" s="1" t="n">
        <v>46275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60788-2022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44914</v>
      </c>
      <c r="E450" s="1" t="n">
        <v>46275</v>
      </c>
      <c r="F450" t="inlineStr">
        <is>
          <t>UPPSALA LÄN</t>
        </is>
      </c>
      <c r="G450" t="inlineStr">
        <is>
          <t>HEBY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46003</v>
      </c>
      <c r="E451" s="1" t="n">
        <v>46275</v>
      </c>
      <c r="F451" t="inlineStr">
        <is>
          <t>UPPSALA LÄN</t>
        </is>
      </c>
      <c r="G451" t="inlineStr">
        <is>
          <t>HEBY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46275</v>
      </c>
      <c r="F452" t="inlineStr">
        <is>
          <t>UPPSALA LÄN</t>
        </is>
      </c>
      <c r="G452" t="inlineStr">
        <is>
          <t>HEBY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11835-2024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45376</v>
      </c>
      <c r="E453" s="1" t="n">
        <v>46275</v>
      </c>
      <c r="F453" t="inlineStr">
        <is>
          <t>UPPSALA LÄN</t>
        </is>
      </c>
      <c r="G453" t="inlineStr">
        <is>
          <t>HEBY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46275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45111</v>
      </c>
      <c r="E455" s="1" t="n">
        <v>46275</v>
      </c>
      <c r="F455" t="inlineStr">
        <is>
          <t>UPPSALA LÄN</t>
        </is>
      </c>
      <c r="G455" t="inlineStr">
        <is>
          <t>HEBY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46023</v>
      </c>
      <c r="E456" s="1" t="n">
        <v>46275</v>
      </c>
      <c r="F456" t="inlineStr">
        <is>
          <t>UPPSALA LÄN</t>
        </is>
      </c>
      <c r="G456" t="inlineStr">
        <is>
          <t>HEBY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46275</v>
      </c>
      <c r="F457" t="inlineStr">
        <is>
          <t>UPPSALA LÄN</t>
        </is>
      </c>
      <c r="G457" t="inlineStr">
        <is>
          <t>HEBY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46275</v>
      </c>
      <c r="F458" t="inlineStr">
        <is>
          <t>UPPSALA LÄN</t>
        </is>
      </c>
      <c r="G458" t="inlineStr">
        <is>
          <t>HEBY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46275</v>
      </c>
      <c r="F459" t="inlineStr">
        <is>
          <t>UPPSALA LÄN</t>
        </is>
      </c>
      <c r="G459" t="inlineStr">
        <is>
          <t>HEBY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46052</v>
      </c>
      <c r="E460" s="1" t="n">
        <v>46275</v>
      </c>
      <c r="F460" t="inlineStr">
        <is>
          <t>UPPSALA LÄN</t>
        </is>
      </c>
      <c r="G460" t="inlineStr">
        <is>
          <t>HEBY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46275</v>
      </c>
      <c r="F461" t="inlineStr">
        <is>
          <t>UPPSALA LÄN</t>
        </is>
      </c>
      <c r="G461" t="inlineStr">
        <is>
          <t>HEBY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46051</v>
      </c>
      <c r="E462" s="1" t="n">
        <v>46275</v>
      </c>
      <c r="F462" t="inlineStr">
        <is>
          <t>UPPSALA LÄN</t>
        </is>
      </c>
      <c r="G462" t="inlineStr">
        <is>
          <t>HEBY</t>
        </is>
      </c>
      <c r="H462" t="inlineStr">
        <is>
          <t>Bergvik skog väst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46052</v>
      </c>
      <c r="E463" s="1" t="n">
        <v>46275</v>
      </c>
      <c r="F463" t="inlineStr">
        <is>
          <t>UPPSALA LÄN</t>
        </is>
      </c>
      <c r="G463" t="inlineStr">
        <is>
          <t>HEBY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11555-2026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46084</v>
      </c>
      <c r="E464" s="1" t="n">
        <v>46275</v>
      </c>
      <c r="F464" t="inlineStr">
        <is>
          <t>UPPSALA LÄN</t>
        </is>
      </c>
      <c r="G464" t="inlineStr">
        <is>
          <t>HEBY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46275</v>
      </c>
      <c r="F465" t="inlineStr">
        <is>
          <t>UPPSALA LÄN</t>
        </is>
      </c>
      <c r="G465" t="inlineStr">
        <is>
          <t>HEBY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46275</v>
      </c>
      <c r="F466" t="inlineStr">
        <is>
          <t>UPPSALA LÄN</t>
        </is>
      </c>
      <c r="G466" t="inlineStr">
        <is>
          <t>HEBY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46275</v>
      </c>
      <c r="F467" t="inlineStr">
        <is>
          <t>UPPSALA LÄN</t>
        </is>
      </c>
      <c r="G467" t="inlineStr">
        <is>
          <t>HEBY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46275</v>
      </c>
      <c r="F468" t="inlineStr">
        <is>
          <t>UPPSALA LÄN</t>
        </is>
      </c>
      <c r="G468" t="inlineStr">
        <is>
          <t>HEBY</t>
        </is>
      </c>
      <c r="H468" t="inlineStr">
        <is>
          <t>Kommuner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46275</v>
      </c>
      <c r="F469" t="inlineStr">
        <is>
          <t>UPPSALA LÄN</t>
        </is>
      </c>
      <c r="G469" t="inlineStr">
        <is>
          <t>HEBY</t>
        </is>
      </c>
      <c r="H469" t="inlineStr">
        <is>
          <t>Kommuner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46275</v>
      </c>
      <c r="F470" t="inlineStr">
        <is>
          <t>UPPSALA LÄN</t>
        </is>
      </c>
      <c r="G470" t="inlineStr">
        <is>
          <t>HEBY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7473-2026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46059</v>
      </c>
      <c r="E471" s="1" t="n">
        <v>46275</v>
      </c>
      <c r="F471" t="inlineStr">
        <is>
          <t>UPPSALA LÄN</t>
        </is>
      </c>
      <c r="G471" t="inlineStr">
        <is>
          <t>HEBY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46275</v>
      </c>
      <c r="F472" t="inlineStr">
        <is>
          <t>UPPSALA LÄN</t>
        </is>
      </c>
      <c r="G472" t="inlineStr">
        <is>
          <t>HEBY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7986-2026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46275</v>
      </c>
      <c r="F473" t="inlineStr">
        <is>
          <t>UPPSALA LÄN</t>
        </is>
      </c>
      <c r="G473" t="inlineStr">
        <is>
          <t>HEBY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46275</v>
      </c>
      <c r="F474" t="inlineStr">
        <is>
          <t>UPPSALA LÄN</t>
        </is>
      </c>
      <c r="G474" t="inlineStr">
        <is>
          <t>HEBY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46275</v>
      </c>
      <c r="F475" t="inlineStr">
        <is>
          <t>UPPSALA LÄN</t>
        </is>
      </c>
      <c r="G475" t="inlineStr">
        <is>
          <t>HEBY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46073</v>
      </c>
      <c r="E476" s="1" t="n">
        <v>46275</v>
      </c>
      <c r="F476" t="inlineStr">
        <is>
          <t>UPPSALA LÄN</t>
        </is>
      </c>
      <c r="G476" t="inlineStr">
        <is>
          <t>HEBY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46073</v>
      </c>
      <c r="E477" s="1" t="n">
        <v>46275</v>
      </c>
      <c r="F477" t="inlineStr">
        <is>
          <t>UPPSALA LÄN</t>
        </is>
      </c>
      <c r="G477" t="inlineStr">
        <is>
          <t>HEBY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10131-2026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46275</v>
      </c>
      <c r="F478" t="inlineStr">
        <is>
          <t>UPPSALA LÄN</t>
        </is>
      </c>
      <c r="G478" t="inlineStr">
        <is>
          <t>HEBY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46275</v>
      </c>
      <c r="F479" t="inlineStr">
        <is>
          <t>UPPSALA LÄN</t>
        </is>
      </c>
      <c r="G479" t="inlineStr">
        <is>
          <t>HEBY</t>
        </is>
      </c>
      <c r="I479" t="n">
        <v>11.5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46275</v>
      </c>
      <c r="F480" t="inlineStr">
        <is>
          <t>UPPSALA LÄN</t>
        </is>
      </c>
      <c r="G480" t="inlineStr">
        <is>
          <t>HEBY</t>
        </is>
      </c>
      <c r="I480" t="n">
        <v>8.699999999999999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46093</v>
      </c>
      <c r="E481" s="1" t="n">
        <v>46275</v>
      </c>
      <c r="F481" t="inlineStr">
        <is>
          <t>UPPSALA LÄN</t>
        </is>
      </c>
      <c r="G481" t="inlineStr">
        <is>
          <t>HEBY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13097-2026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46275</v>
      </c>
      <c r="F482" t="inlineStr">
        <is>
          <t>UPPSALA LÄN</t>
        </is>
      </c>
      <c r="G482" t="inlineStr">
        <is>
          <t>HEBY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13089-2026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46275</v>
      </c>
      <c r="F483" t="inlineStr">
        <is>
          <t>UPPSALA LÄN</t>
        </is>
      </c>
      <c r="G483" t="inlineStr">
        <is>
          <t>HEBY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46093</v>
      </c>
      <c r="E484" s="1" t="n">
        <v>46275</v>
      </c>
      <c r="F484" t="inlineStr">
        <is>
          <t>UPPSALA LÄN</t>
        </is>
      </c>
      <c r="G484" t="inlineStr">
        <is>
          <t>HEBY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46275</v>
      </c>
      <c r="F485" t="inlineStr">
        <is>
          <t>UPPSALA LÄN</t>
        </is>
      </c>
      <c r="G485" t="inlineStr">
        <is>
          <t>HEBY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14765-2026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46275</v>
      </c>
      <c r="F486" t="inlineStr">
        <is>
          <t>UPPSALA LÄN</t>
        </is>
      </c>
      <c r="G486" t="inlineStr">
        <is>
          <t>HEBY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46110</v>
      </c>
      <c r="E487" s="1" t="n">
        <v>46275</v>
      </c>
      <c r="F487" t="inlineStr">
        <is>
          <t>UPPSALA LÄN</t>
        </is>
      </c>
      <c r="G487" t="inlineStr">
        <is>
          <t>HEBY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16506-2026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46112</v>
      </c>
      <c r="E488" s="1" t="n">
        <v>46275</v>
      </c>
      <c r="F488" t="inlineStr">
        <is>
          <t>UPPSALA LÄN</t>
        </is>
      </c>
      <c r="G488" t="inlineStr">
        <is>
          <t>HEBY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46275</v>
      </c>
      <c r="F489" t="inlineStr">
        <is>
          <t>UPPSALA LÄN</t>
        </is>
      </c>
      <c r="G489" t="inlineStr">
        <is>
          <t>HEBY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16515-2026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46275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46275</v>
      </c>
      <c r="F491" t="inlineStr">
        <is>
          <t>UPPSALA LÄN</t>
        </is>
      </c>
      <c r="G491" t="inlineStr">
        <is>
          <t>HEBY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46275</v>
      </c>
      <c r="F492" t="inlineStr">
        <is>
          <t>UPPSALA LÄN</t>
        </is>
      </c>
      <c r="G492" t="inlineStr">
        <is>
          <t>HEBY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17077-2026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46275</v>
      </c>
      <c r="F493" t="inlineStr">
        <is>
          <t>UPPSALA LÄN</t>
        </is>
      </c>
      <c r="G493" t="inlineStr">
        <is>
          <t>HEBY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46275</v>
      </c>
      <c r="F494" t="inlineStr">
        <is>
          <t>UPPSALA LÄN</t>
        </is>
      </c>
      <c r="G494" t="inlineStr">
        <is>
          <t>HEBY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46275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46275</v>
      </c>
      <c r="F496" t="inlineStr">
        <is>
          <t>UPPSALA LÄN</t>
        </is>
      </c>
      <c r="G496" t="inlineStr">
        <is>
          <t>HEBY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46275</v>
      </c>
      <c r="F497" t="inlineStr">
        <is>
          <t>UPPSALA LÄN</t>
        </is>
      </c>
      <c r="G497" t="inlineStr">
        <is>
          <t>HEBY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46275</v>
      </c>
      <c r="F498" t="inlineStr">
        <is>
          <t>UPPSALA LÄN</t>
        </is>
      </c>
      <c r="G498" t="inlineStr">
        <is>
          <t>HEBY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46275</v>
      </c>
      <c r="F499" t="inlineStr">
        <is>
          <t>UPPSALA LÄN</t>
        </is>
      </c>
      <c r="G499" t="inlineStr">
        <is>
          <t>HEBY</t>
        </is>
      </c>
      <c r="H499" t="inlineStr">
        <is>
          <t>Kyrkan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46275</v>
      </c>
      <c r="F500" t="inlineStr">
        <is>
          <t>UPPSALA LÄN</t>
        </is>
      </c>
      <c r="G500" t="inlineStr">
        <is>
          <t>HEBY</t>
        </is>
      </c>
      <c r="H500" t="inlineStr">
        <is>
          <t>Kyrkan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46275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40455-2025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45895</v>
      </c>
      <c r="E502" s="1" t="n">
        <v>46275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öst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46275</v>
      </c>
      <c r="F503" t="inlineStr">
        <is>
          <t>UPPSALA LÄN</t>
        </is>
      </c>
      <c r="G503" t="inlineStr">
        <is>
          <t>HEBY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3371-2024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45317</v>
      </c>
      <c r="E504" s="1" t="n">
        <v>46275</v>
      </c>
      <c r="F504" t="inlineStr">
        <is>
          <t>UPPSALA LÄN</t>
        </is>
      </c>
      <c r="G504" t="inlineStr">
        <is>
          <t>HEBY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45932</v>
      </c>
      <c r="E505" s="1" t="n">
        <v>46275</v>
      </c>
      <c r="F505" t="inlineStr">
        <is>
          <t>UPPSALA LÄN</t>
        </is>
      </c>
      <c r="G505" t="inlineStr">
        <is>
          <t>HEBY</t>
        </is>
      </c>
      <c r="H505" t="inlineStr">
        <is>
          <t>Allmännings- och besparingsskogar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46275</v>
      </c>
      <c r="F506" t="inlineStr">
        <is>
          <t>UPPSALA LÄN</t>
        </is>
      </c>
      <c r="G506" t="inlineStr">
        <is>
          <t>HEBY</t>
        </is>
      </c>
      <c r="H506" t="inlineStr">
        <is>
          <t>Övriga Aktiebolag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20470-2026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46275</v>
      </c>
      <c r="F507" t="inlineStr">
        <is>
          <t>UPPSALA LÄN</t>
        </is>
      </c>
      <c r="G507" t="inlineStr">
        <is>
          <t>HEBY</t>
        </is>
      </c>
      <c r="H507" t="inlineStr">
        <is>
          <t>Övriga Aktiebolag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46275</v>
      </c>
      <c r="F508" t="inlineStr">
        <is>
          <t>UPPSALA LÄN</t>
        </is>
      </c>
      <c r="G508" t="inlineStr">
        <is>
          <t>HEBY</t>
        </is>
      </c>
      <c r="H508" t="inlineStr">
        <is>
          <t>Kyrkan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16847-2024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46275</v>
      </c>
      <c r="F509" t="inlineStr">
        <is>
          <t>UPPSALA LÄN</t>
        </is>
      </c>
      <c r="G509" t="inlineStr">
        <is>
          <t>HEBY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46140</v>
      </c>
      <c r="E510" s="1" t="n">
        <v>46275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50802-2025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45946</v>
      </c>
      <c r="E511" s="1" t="n">
        <v>46275</v>
      </c>
      <c r="F511" t="inlineStr">
        <is>
          <t>UPPSALA LÄN</t>
        </is>
      </c>
      <c r="G511" t="inlineStr">
        <is>
          <t>HEBY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45884</v>
      </c>
      <c r="E512" s="1" t="n">
        <v>46275</v>
      </c>
      <c r="F512" t="inlineStr">
        <is>
          <t>UPPSALA LÄN</t>
        </is>
      </c>
      <c r="G512" t="inlineStr">
        <is>
          <t>HEBY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20459-2026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46140</v>
      </c>
      <c r="E513" s="1" t="n">
        <v>46275</v>
      </c>
      <c r="F513" t="inlineStr">
        <is>
          <t>UPPSALA LÄN</t>
        </is>
      </c>
      <c r="G513" t="inlineStr">
        <is>
          <t>HEBY</t>
        </is>
      </c>
      <c r="H513" t="inlineStr">
        <is>
          <t>Övriga Aktiebolag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45932</v>
      </c>
      <c r="E514" s="1" t="n">
        <v>46275</v>
      </c>
      <c r="F514" t="inlineStr">
        <is>
          <t>UPPSALA LÄN</t>
        </is>
      </c>
      <c r="G514" t="inlineStr">
        <is>
          <t>HEBY</t>
        </is>
      </c>
      <c r="H514" t="inlineStr">
        <is>
          <t>Allmännings- och besparingsskogar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45884</v>
      </c>
      <c r="E515" s="1" t="n">
        <v>46275</v>
      </c>
      <c r="F515" t="inlineStr">
        <is>
          <t>UPPSALA LÄN</t>
        </is>
      </c>
      <c r="G515" t="inlineStr">
        <is>
          <t>HEBY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45891</v>
      </c>
      <c r="E516" s="1" t="n">
        <v>46275</v>
      </c>
      <c r="F516" t="inlineStr">
        <is>
          <t>UPPSALA LÄN</t>
        </is>
      </c>
      <c r="G516" t="inlineStr">
        <is>
          <t>HEBY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50954-2025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45946</v>
      </c>
      <c r="E517" s="1" t="n">
        <v>46275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45904</v>
      </c>
      <c r="E518" s="1" t="n">
        <v>46275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öst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46275</v>
      </c>
      <c r="F519" t="inlineStr">
        <is>
          <t>UPPSALA LÄN</t>
        </is>
      </c>
      <c r="G519" t="inlineStr">
        <is>
          <t>HEBY</t>
        </is>
      </c>
      <c r="H519" t="inlineStr">
        <is>
          <t>Övriga Aktiebolag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45805</v>
      </c>
      <c r="E520" s="1" t="n">
        <v>46275</v>
      </c>
      <c r="F520" t="inlineStr">
        <is>
          <t>UPPSALA LÄN</t>
        </is>
      </c>
      <c r="G520" t="inlineStr">
        <is>
          <t>HEBY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46275</v>
      </c>
      <c r="F521" t="inlineStr">
        <is>
          <t>UPPSALA LÄN</t>
        </is>
      </c>
      <c r="G521" t="inlineStr">
        <is>
          <t>HEBY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46275</v>
      </c>
      <c r="F522" t="inlineStr">
        <is>
          <t>UPPSALA LÄN</t>
        </is>
      </c>
      <c r="G522" t="inlineStr">
        <is>
          <t>HEBY</t>
        </is>
      </c>
      <c r="H522" t="inlineStr">
        <is>
          <t>Allmännings- och besparingsskogar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45805</v>
      </c>
      <c r="E523" s="1" t="n">
        <v>46275</v>
      </c>
      <c r="F523" t="inlineStr">
        <is>
          <t>UPPSALA LÄN</t>
        </is>
      </c>
      <c r="G523" t="inlineStr">
        <is>
          <t>HEBY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45770</v>
      </c>
      <c r="E524" s="1" t="n">
        <v>46275</v>
      </c>
      <c r="F524" t="inlineStr">
        <is>
          <t>UPPSALA LÄN</t>
        </is>
      </c>
      <c r="G524" t="inlineStr">
        <is>
          <t>HEBY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46160</v>
      </c>
      <c r="E525" s="1" t="n">
        <v>46275</v>
      </c>
      <c r="F525" t="inlineStr">
        <is>
          <t>UPPSALA LÄN</t>
        </is>
      </c>
      <c r="G525" t="inlineStr">
        <is>
          <t>HEBY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24067-2026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46164</v>
      </c>
      <c r="E526" s="1" t="n">
        <v>46275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35.2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23490-2026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46163</v>
      </c>
      <c r="E527" s="1" t="n">
        <v>46275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46275</v>
      </c>
      <c r="F528" t="inlineStr">
        <is>
          <t>UPPSALA LÄN</t>
        </is>
      </c>
      <c r="G528" t="inlineStr">
        <is>
          <t>HEBY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46275</v>
      </c>
      <c r="F529" t="inlineStr">
        <is>
          <t>UPPSALA LÄN</t>
        </is>
      </c>
      <c r="G529" t="inlineStr">
        <is>
          <t>HEBY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46169</v>
      </c>
      <c r="E530" s="1" t="n">
        <v>46275</v>
      </c>
      <c r="F530" t="inlineStr">
        <is>
          <t>UPPSALA LÄN</t>
        </is>
      </c>
      <c r="G530" t="inlineStr">
        <is>
          <t>HEBY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46275</v>
      </c>
      <c r="F531" t="inlineStr">
        <is>
          <t>UPPSALA LÄN</t>
        </is>
      </c>
      <c r="G531" t="inlineStr">
        <is>
          <t>HEBY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55019-2025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45967</v>
      </c>
      <c r="E532" s="1" t="n">
        <v>46275</v>
      </c>
      <c r="F532" t="inlineStr">
        <is>
          <t>UPPSALA LÄN</t>
        </is>
      </c>
      <c r="G532" t="inlineStr">
        <is>
          <t>HEBY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46275</v>
      </c>
      <c r="F533" t="inlineStr">
        <is>
          <t>UPPSALA LÄN</t>
        </is>
      </c>
      <c r="G533" t="inlineStr">
        <is>
          <t>HEBY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46275</v>
      </c>
      <c r="F534" t="inlineStr">
        <is>
          <t>UPPSALA LÄN</t>
        </is>
      </c>
      <c r="G534" t="inlineStr">
        <is>
          <t>HEBY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46178</v>
      </c>
      <c r="E535" s="1" t="n">
        <v>46275</v>
      </c>
      <c r="F535" t="inlineStr">
        <is>
          <t>UPPSALA LÄN</t>
        </is>
      </c>
      <c r="G535" t="inlineStr">
        <is>
          <t>HEBY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46275</v>
      </c>
      <c r="F536" t="inlineStr">
        <is>
          <t>UPPSALA LÄN</t>
        </is>
      </c>
      <c r="G536" t="inlineStr">
        <is>
          <t>HEBY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46238</v>
      </c>
      <c r="E537" s="1" t="n">
        <v>46275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46275</v>
      </c>
      <c r="F538" t="inlineStr">
        <is>
          <t>UPPSALA LÄN</t>
        </is>
      </c>
      <c r="G538" t="inlineStr">
        <is>
          <t>HEBY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46275</v>
      </c>
      <c r="F539" t="inlineStr">
        <is>
          <t>UPPSALA LÄN</t>
        </is>
      </c>
      <c r="G539" t="inlineStr">
        <is>
          <t>HEBY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29518-2026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46275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46275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46.8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46275</v>
      </c>
      <c r="F542" t="inlineStr">
        <is>
          <t>UPPSALA LÄN</t>
        </is>
      </c>
      <c r="G542" t="inlineStr">
        <is>
          <t>HEBY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9623-2026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46275</v>
      </c>
      <c r="F543" t="inlineStr">
        <is>
          <t>UPPSALA LÄN</t>
        </is>
      </c>
      <c r="G543" t="inlineStr">
        <is>
          <t>HEBY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46863-2025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45929</v>
      </c>
      <c r="E544" s="1" t="n">
        <v>46275</v>
      </c>
      <c r="F544" t="inlineStr">
        <is>
          <t>UPPSALA LÄN</t>
        </is>
      </c>
      <c r="G544" t="inlineStr">
        <is>
          <t>HEBY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46275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29847-2026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46205</v>
      </c>
      <c r="E546" s="1" t="n">
        <v>46275</v>
      </c>
      <c r="F546" t="inlineStr">
        <is>
          <t>UPPSALA LÄN</t>
        </is>
      </c>
      <c r="G546" t="inlineStr">
        <is>
          <t>HEBY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29826-2026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46275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33943-2026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46275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34281-2026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46253</v>
      </c>
      <c r="E549" s="1" t="n">
        <v>46275</v>
      </c>
      <c r="F549" t="inlineStr">
        <is>
          <t>UPPSALA LÄN</t>
        </is>
      </c>
      <c r="G549" t="inlineStr">
        <is>
          <t>HEBY</t>
        </is>
      </c>
      <c r="H549" t="inlineStr">
        <is>
          <t>Allmännings- och besparingsskogar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46238</v>
      </c>
      <c r="E550" s="1" t="n">
        <v>46275</v>
      </c>
      <c r="F550" t="inlineStr">
        <is>
          <t>UPPSALA LÄN</t>
        </is>
      </c>
      <c r="G550" t="inlineStr">
        <is>
          <t>HEBY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46254</v>
      </c>
      <c r="E551" s="1" t="n">
        <v>46275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34381-2026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46254</v>
      </c>
      <c r="E552" s="1" t="n">
        <v>46275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46254</v>
      </c>
      <c r="E553" s="1" t="n">
        <v>46275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46275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46275</v>
      </c>
      <c r="F555" t="inlineStr">
        <is>
          <t>UPPSALA LÄN</t>
        </is>
      </c>
      <c r="G555" t="inlineStr">
        <is>
          <t>HEBY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46255</v>
      </c>
      <c r="E556" s="1" t="n">
        <v>46275</v>
      </c>
      <c r="F556" t="inlineStr">
        <is>
          <t>UPPSALA LÄN</t>
        </is>
      </c>
      <c r="G556" t="inlineStr">
        <is>
          <t>HEBY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34610-2026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46275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46275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46275</v>
      </c>
      <c r="F559" t="inlineStr">
        <is>
          <t>UPPSALA LÄN</t>
        </is>
      </c>
      <c r="G559" t="inlineStr">
        <is>
          <t>HEBY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46275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46275</v>
      </c>
      <c r="F561" t="inlineStr">
        <is>
          <t>UPPSALA LÄN</t>
        </is>
      </c>
      <c r="G561" t="inlineStr">
        <is>
          <t>HEBY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46275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46275</v>
      </c>
      <c r="F563" t="inlineStr">
        <is>
          <t>UPPSALA LÄN</t>
        </is>
      </c>
      <c r="G563" t="inlineStr">
        <is>
          <t>HEBY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46253</v>
      </c>
      <c r="E564" s="1" t="n">
        <v>46275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väst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46275</v>
      </c>
      <c r="F565" t="inlineStr">
        <is>
          <t>UPPSALA LÄN</t>
        </is>
      </c>
      <c r="G565" t="inlineStr">
        <is>
          <t>HEBY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46262</v>
      </c>
      <c r="E566" s="1" t="n">
        <v>46275</v>
      </c>
      <c r="F566" t="inlineStr">
        <is>
          <t>UPPSALA LÄN</t>
        </is>
      </c>
      <c r="G566" t="inlineStr">
        <is>
          <t>HEBY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46275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55.9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46223</v>
      </c>
      <c r="E568" s="1" t="n">
        <v>46275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46275</v>
      </c>
      <c r="F569" t="inlineStr">
        <is>
          <t>UPPSALA LÄN</t>
        </is>
      </c>
      <c r="G569" t="inlineStr">
        <is>
          <t>HEBY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46223</v>
      </c>
      <c r="E570" s="1" t="n">
        <v>46275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31604-2026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46224</v>
      </c>
      <c r="E571" s="1" t="n">
        <v>46275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46275</v>
      </c>
      <c r="F572" t="inlineStr">
        <is>
          <t>UPPSALA LÄN</t>
        </is>
      </c>
      <c r="G572" t="inlineStr">
        <is>
          <t>HEBY</t>
        </is>
      </c>
      <c r="H572" t="inlineStr">
        <is>
          <t>Kyrkan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46275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46275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36684-2026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46272</v>
      </c>
      <c r="E575" s="1" t="n">
        <v>46275</v>
      </c>
      <c r="F575" t="inlineStr">
        <is>
          <t>UPPSALA LÄN</t>
        </is>
      </c>
      <c r="G575" t="inlineStr">
        <is>
          <t>HEBY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36738-2026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46275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46275</v>
      </c>
      <c r="F577" t="inlineStr">
        <is>
          <t>UPPSALA LÄN</t>
        </is>
      </c>
      <c r="G577" t="inlineStr">
        <is>
          <t>HEBY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31890-2026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46231</v>
      </c>
      <c r="E578" s="1" t="n">
        <v>46275</v>
      </c>
      <c r="F578" t="inlineStr">
        <is>
          <t>UPPSALA LÄN</t>
        </is>
      </c>
      <c r="G578" t="inlineStr">
        <is>
          <t>HEBY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46231</v>
      </c>
      <c r="E579" s="1" t="n">
        <v>46275</v>
      </c>
      <c r="F579" t="inlineStr">
        <is>
          <t>UPPSALA LÄN</t>
        </is>
      </c>
      <c r="G579" t="inlineStr">
        <is>
          <t>HEBY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46273</v>
      </c>
      <c r="E580" s="1" t="n">
        <v>46275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46275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46275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46275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46275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2310-2022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44684</v>
      </c>
      <c r="E585" s="1" t="n">
        <v>46275</v>
      </c>
      <c r="F585" t="inlineStr">
        <is>
          <t>UPPSALA LÄN</t>
        </is>
      </c>
      <c r="G585" t="inlineStr">
        <is>
          <t>HEBY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46275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  <c r="Z586">
        <f>HYPERLINK("https://klasma.github.io/Logging_0331/knärot/S 1330-2022 karta knärot.png", "S 1330-2022")</f>
        <v/>
      </c>
      <c r="AA586">
        <f>HYPERLINK("https://klasma.github.io/Logging_0331/klagomål/S 1330-2022 FSC-klagomål.docx", "S 1330-2022")</f>
        <v/>
      </c>
      <c r="AB586">
        <f>HYPERLINK("https://klasma.github.io/Logging_0331/klagomålsmail/S 1330-2022 FSC-klagomål mail.docx", "S 1330-2022")</f>
        <v/>
      </c>
      <c r="AC586">
        <f>HYPERLINK("https://klasma.github.io/Logging_0331/tillsyn/S 1330-2022 tillsynsbegäran.docx", "S 1330-2022")</f>
        <v/>
      </c>
      <c r="AD586">
        <f>HYPERLINK("https://klasma.github.io/Logging_0331/tillsynsmail/S 1330-2022 tillsynsbegäran mail.docx", "S 1330-2022")</f>
        <v/>
      </c>
    </row>
    <row r="587" ht="15" customHeight="1">
      <c r="A587" t="inlineStr">
        <is>
          <t>S 3256-2023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45191</v>
      </c>
      <c r="E587" s="1" t="n">
        <v>46275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4466-2022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46275</v>
      </c>
      <c r="F588" t="inlineStr">
        <is>
          <t>UPPSALA LÄN</t>
        </is>
      </c>
      <c r="G588" t="inlineStr">
        <is>
          <t>HEBY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4423-2024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45590</v>
      </c>
      <c r="E589" s="1" t="n">
        <v>46275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1385-2024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45411</v>
      </c>
      <c r="E590" s="1" t="n">
        <v>46275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2797-2024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45485</v>
      </c>
      <c r="E591" s="1" t="n">
        <v>46275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398-2025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45699</v>
      </c>
      <c r="E592" s="1" t="n">
        <v>46275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23.3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45411</v>
      </c>
      <c r="E593" s="1" t="n">
        <v>46275</v>
      </c>
      <c r="F593" t="inlineStr">
        <is>
          <t>UPPSALA LÄN</t>
        </is>
      </c>
      <c r="G593" t="inlineStr">
        <is>
          <t>HEBY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4464-2022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46275</v>
      </c>
      <c r="F594" t="inlineStr">
        <is>
          <t>UPPSALA LÄN</t>
        </is>
      </c>
      <c r="G594" t="inlineStr">
        <is>
          <t>HEBY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46275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46275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46275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46275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2346-2026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46275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2026-09-10T02:09:05Z</dcterms:created>
  <dcterms:modified xmlns:dcterms="http://purl.org/dc/terms/" xmlns:xsi="http://www.w3.org/2001/XMLSchema-instance" xsi:type="dcterms:W3CDTF">2026-09-10T02:09:06Z</dcterms:modified>
</cp:coreProperties>
</file>
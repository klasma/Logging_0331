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45749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45749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45749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45749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45749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45749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45749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45749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45749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45749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45749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45749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45749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32759-2023</t>
        </is>
      </c>
      <c r="B27" s="1" t="n">
        <v>45123</v>
      </c>
      <c r="C27" s="1" t="n">
        <v>45749</v>
      </c>
      <c r="D27" t="inlineStr">
        <is>
          <t>UPPSALA LÄN</t>
        </is>
      </c>
      <c r="E27" t="inlineStr">
        <is>
          <t>HEBY</t>
        </is>
      </c>
      <c r="G27" t="n">
        <v>23.9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 sköldmossa
Vedticka</t>
        </is>
      </c>
      <c r="S27">
        <f>HYPERLINK("https://klasma.github.io/Logging_0331/artfynd/A 32759-2023 artfynd.xlsx", "A 32759-2023")</f>
        <v/>
      </c>
      <c r="T27">
        <f>HYPERLINK("https://klasma.github.io/Logging_0331/kartor/A 32759-2023 karta.png", "A 32759-2023")</f>
        <v/>
      </c>
      <c r="U27">
        <f>HYPERLINK("https://klasma.github.io/Logging_0331/knärot/A 32759-2023 karta knärot.png", "A 32759-2023")</f>
        <v/>
      </c>
      <c r="V27">
        <f>HYPERLINK("https://klasma.github.io/Logging_0331/klagomål/A 32759-2023 FSC-klagomål.docx", "A 32759-2023")</f>
        <v/>
      </c>
      <c r="W27">
        <f>HYPERLINK("https://klasma.github.io/Logging_0331/klagomålsmail/A 32759-2023 FSC-klagomål mail.docx", "A 32759-2023")</f>
        <v/>
      </c>
      <c r="X27">
        <f>HYPERLINK("https://klasma.github.io/Logging_0331/tillsyn/A 32759-2023 tillsynsbegäran.docx", "A 32759-2023")</f>
        <v/>
      </c>
      <c r="Y27">
        <f>HYPERLINK("https://klasma.github.io/Logging_0331/tillsynsmail/A 32759-2023 tillsynsbegäran mail.docx", "A 32759-2023")</f>
        <v/>
      </c>
    </row>
    <row r="28" ht="15" customHeight="1">
      <c r="A28" t="inlineStr">
        <is>
          <t>A 36531-2023</t>
        </is>
      </c>
      <c r="B28" s="1" t="n">
        <v>45153</v>
      </c>
      <c r="C28" s="1" t="n">
        <v>45749</v>
      </c>
      <c r="D28" t="inlineStr">
        <is>
          <t>UPPSALA LÄN</t>
        </is>
      </c>
      <c r="E28" t="inlineStr">
        <is>
          <t>HEBY</t>
        </is>
      </c>
      <c r="G28" t="n">
        <v>4.8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Lammticka
Motaggsvamp
Skrovlig taggsvamp</t>
        </is>
      </c>
      <c r="S28">
        <f>HYPERLINK("https://klasma.github.io/Logging_0331/artfynd/A 36531-2023 artfynd.xlsx", "A 36531-2023")</f>
        <v/>
      </c>
      <c r="T28">
        <f>HYPERLINK("https://klasma.github.io/Logging_0331/kartor/A 36531-2023 karta.png", "A 36531-2023")</f>
        <v/>
      </c>
      <c r="V28">
        <f>HYPERLINK("https://klasma.github.io/Logging_0331/klagomål/A 36531-2023 FSC-klagomål.docx", "A 36531-2023")</f>
        <v/>
      </c>
      <c r="W28">
        <f>HYPERLINK("https://klasma.github.io/Logging_0331/klagomålsmail/A 36531-2023 FSC-klagomål mail.docx", "A 36531-2023")</f>
        <v/>
      </c>
      <c r="X28">
        <f>HYPERLINK("https://klasma.github.io/Logging_0331/tillsyn/A 36531-2023 tillsynsbegäran.docx", "A 36531-2023")</f>
        <v/>
      </c>
      <c r="Y28">
        <f>HYPERLINK("https://klasma.github.io/Logging_0331/tillsynsmail/A 36531-2023 tillsynsbegäran mail.docx", "A 36531-2023")</f>
        <v/>
      </c>
    </row>
    <row r="29" ht="15" customHeight="1">
      <c r="A29" t="inlineStr">
        <is>
          <t>A 40637-2023</t>
        </is>
      </c>
      <c r="B29" s="1" t="n">
        <v>45170</v>
      </c>
      <c r="C29" s="1" t="n">
        <v>45749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3.4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Tallticka
Vedticka</t>
        </is>
      </c>
      <c r="S29">
        <f>HYPERLINK("https://klasma.github.io/Logging_0331/artfynd/A 40637-2023 artfynd.xlsx", "A 40637-2023")</f>
        <v/>
      </c>
      <c r="T29">
        <f>HYPERLINK("https://klasma.github.io/Logging_0331/kartor/A 40637-2023 karta.png", "A 40637-2023")</f>
        <v/>
      </c>
      <c r="V29">
        <f>HYPERLINK("https://klasma.github.io/Logging_0331/klagomål/A 40637-2023 FSC-klagomål.docx", "A 40637-2023")</f>
        <v/>
      </c>
      <c r="W29">
        <f>HYPERLINK("https://klasma.github.io/Logging_0331/klagomålsmail/A 40637-2023 FSC-klagomål mail.docx", "A 40637-2023")</f>
        <v/>
      </c>
      <c r="X29">
        <f>HYPERLINK("https://klasma.github.io/Logging_0331/tillsyn/A 40637-2023 tillsynsbegäran.docx", "A 40637-2023")</f>
        <v/>
      </c>
      <c r="Y29">
        <f>HYPERLINK("https://klasma.github.io/Logging_0331/tillsynsmail/A 40637-2023 tillsynsbegäran mail.docx", "A 40637-2023")</f>
        <v/>
      </c>
    </row>
    <row r="30" ht="15" customHeight="1">
      <c r="A30" t="inlineStr">
        <is>
          <t>A 51733-2023</t>
        </is>
      </c>
      <c r="B30" s="1" t="n">
        <v>45222</v>
      </c>
      <c r="C30" s="1" t="n">
        <v>45749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17.7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Blåsippa
Revlummer</t>
        </is>
      </c>
      <c r="S30">
        <f>HYPERLINK("https://klasma.github.io/Logging_0331/artfynd/A 51733-2023 artfynd.xlsx", "A 51733-2023")</f>
        <v/>
      </c>
      <c r="T30">
        <f>HYPERLINK("https://klasma.github.io/Logging_0331/kartor/A 51733-2023 karta.png", "A 51733-2023")</f>
        <v/>
      </c>
      <c r="U30">
        <f>HYPERLINK("https://klasma.github.io/Logging_0331/knärot/A 51733-2023 karta knärot.png", "A 51733-2023")</f>
        <v/>
      </c>
      <c r="V30">
        <f>HYPERLINK("https://klasma.github.io/Logging_0331/klagomål/A 51733-2023 FSC-klagomål.docx", "A 51733-2023")</f>
        <v/>
      </c>
      <c r="W30">
        <f>HYPERLINK("https://klasma.github.io/Logging_0331/klagomålsmail/A 51733-2023 FSC-klagomål mail.docx", "A 51733-2023")</f>
        <v/>
      </c>
      <c r="X30">
        <f>HYPERLINK("https://klasma.github.io/Logging_0331/tillsyn/A 51733-2023 tillsynsbegäran.docx", "A 51733-2023")</f>
        <v/>
      </c>
      <c r="Y30">
        <f>HYPERLINK("https://klasma.github.io/Logging_0331/tillsynsmail/A 51733-2023 tillsynsbegäran mail.docx", "A 51733-2023")</f>
        <v/>
      </c>
    </row>
    <row r="31" ht="15" customHeight="1">
      <c r="A31" t="inlineStr">
        <is>
          <t>A 22185-2024</t>
        </is>
      </c>
      <c r="B31" s="1" t="n">
        <v>45446</v>
      </c>
      <c r="C31" s="1" t="n">
        <v>45749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Aspsplintbock
Aspvedgnagare
Myskbock</t>
        </is>
      </c>
      <c r="S31">
        <f>HYPERLINK("https://klasma.github.io/Logging_0331/artfynd/A 22185-2024 artfynd.xlsx", "A 22185-2024")</f>
        <v/>
      </c>
      <c r="T31">
        <f>HYPERLINK("https://klasma.github.io/Logging_0331/kartor/A 22185-2024 karta.png", "A 22185-2024")</f>
        <v/>
      </c>
      <c r="V31">
        <f>HYPERLINK("https://klasma.github.io/Logging_0331/klagomål/A 22185-2024 FSC-klagomål.docx", "A 22185-2024")</f>
        <v/>
      </c>
      <c r="W31">
        <f>HYPERLINK("https://klasma.github.io/Logging_0331/klagomålsmail/A 22185-2024 FSC-klagomål mail.docx", "A 22185-2024")</f>
        <v/>
      </c>
      <c r="X31">
        <f>HYPERLINK("https://klasma.github.io/Logging_0331/tillsyn/A 22185-2024 tillsynsbegäran.docx", "A 22185-2024")</f>
        <v/>
      </c>
      <c r="Y31">
        <f>HYPERLINK("https://klasma.github.io/Logging_0331/tillsynsmail/A 22185-2024 tillsynsbegäran mail.docx", "A 22185-2024")</f>
        <v/>
      </c>
    </row>
    <row r="32" ht="15" customHeight="1">
      <c r="A32" t="inlineStr">
        <is>
          <t>A 31174-2024</t>
        </is>
      </c>
      <c r="B32" s="1" t="n">
        <v>45503</v>
      </c>
      <c r="C32" s="1" t="n">
        <v>45749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Lammticka
Motaggsvamp
Vanlig snok</t>
        </is>
      </c>
      <c r="S32">
        <f>HYPERLINK("https://klasma.github.io/Logging_0331/artfynd/A 31174-2024 artfynd.xlsx", "A 31174-2024")</f>
        <v/>
      </c>
      <c r="T32">
        <f>HYPERLINK("https://klasma.github.io/Logging_0331/kartor/A 31174-2024 karta.png", "A 31174-2024")</f>
        <v/>
      </c>
      <c r="V32">
        <f>HYPERLINK("https://klasma.github.io/Logging_0331/klagomål/A 31174-2024 FSC-klagomål.docx", "A 31174-2024")</f>
        <v/>
      </c>
      <c r="W32">
        <f>HYPERLINK("https://klasma.github.io/Logging_0331/klagomålsmail/A 31174-2024 FSC-klagomål mail.docx", "A 31174-2024")</f>
        <v/>
      </c>
      <c r="X32">
        <f>HYPERLINK("https://klasma.github.io/Logging_0331/tillsyn/A 31174-2024 tillsynsbegäran.docx", "A 31174-2024")</f>
        <v/>
      </c>
      <c r="Y32">
        <f>HYPERLINK("https://klasma.github.io/Logging_0331/tillsynsmail/A 31174-2024 tillsynsbegäran mail.docx", "A 31174-2024")</f>
        <v/>
      </c>
    </row>
    <row r="33" ht="15" customHeight="1">
      <c r="A33" t="inlineStr">
        <is>
          <t>A 31758-2024</t>
        </is>
      </c>
      <c r="B33" s="1" t="n">
        <v>45509</v>
      </c>
      <c r="C33" s="1" t="n">
        <v>45749</v>
      </c>
      <c r="D33" t="inlineStr">
        <is>
          <t>UPPSALA LÄN</t>
        </is>
      </c>
      <c r="E33" t="inlineStr">
        <is>
          <t>HEBY</t>
        </is>
      </c>
      <c r="G33" t="n">
        <v>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Lammticka
Druvfingersvamp
Motaggsvamp</t>
        </is>
      </c>
      <c r="S33">
        <f>HYPERLINK("https://klasma.github.io/Logging_0331/artfynd/A 31758-2024 artfynd.xlsx", "A 31758-2024")</f>
        <v/>
      </c>
      <c r="T33">
        <f>HYPERLINK("https://klasma.github.io/Logging_0331/kartor/A 31758-2024 karta.png", "A 31758-2024")</f>
        <v/>
      </c>
      <c r="V33">
        <f>HYPERLINK("https://klasma.github.io/Logging_0331/klagomål/A 31758-2024 FSC-klagomål.docx", "A 31758-2024")</f>
        <v/>
      </c>
      <c r="W33">
        <f>HYPERLINK("https://klasma.github.io/Logging_0331/klagomålsmail/A 31758-2024 FSC-klagomål mail.docx", "A 31758-2024")</f>
        <v/>
      </c>
      <c r="X33">
        <f>HYPERLINK("https://klasma.github.io/Logging_0331/tillsyn/A 31758-2024 tillsynsbegäran.docx", "A 31758-2024")</f>
        <v/>
      </c>
      <c r="Y33">
        <f>HYPERLINK("https://klasma.github.io/Logging_0331/tillsynsmail/A 31758-2024 tillsynsbegäran mail.docx", "A 31758-2024")</f>
        <v/>
      </c>
    </row>
    <row r="34" ht="15" customHeight="1">
      <c r="A34" t="inlineStr">
        <is>
          <t>A 50466-2024</t>
        </is>
      </c>
      <c r="B34" s="1" t="n">
        <v>45601</v>
      </c>
      <c r="C34" s="1" t="n">
        <v>45749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3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Knärot
Väddnätfjäril
Tjäder</t>
        </is>
      </c>
      <c r="S34">
        <f>HYPERLINK("https://klasma.github.io/Logging_0331/artfynd/A 50466-2024 artfynd.xlsx", "A 50466-2024")</f>
        <v/>
      </c>
      <c r="T34">
        <f>HYPERLINK("https://klasma.github.io/Logging_0331/kartor/A 50466-2024 karta.png", "A 50466-2024")</f>
        <v/>
      </c>
      <c r="U34">
        <f>HYPERLINK("https://klasma.github.io/Logging_0331/knärot/A 50466-2024 karta knärot.png", "A 50466-2024")</f>
        <v/>
      </c>
      <c r="V34">
        <f>HYPERLINK("https://klasma.github.io/Logging_0331/klagomål/A 50466-2024 FSC-klagomål.docx", "A 50466-2024")</f>
        <v/>
      </c>
      <c r="W34">
        <f>HYPERLINK("https://klasma.github.io/Logging_0331/klagomålsmail/A 50466-2024 FSC-klagomål mail.docx", "A 50466-2024")</f>
        <v/>
      </c>
      <c r="X34">
        <f>HYPERLINK("https://klasma.github.io/Logging_0331/tillsyn/A 50466-2024 tillsynsbegäran.docx", "A 50466-2024")</f>
        <v/>
      </c>
      <c r="Y34">
        <f>HYPERLINK("https://klasma.github.io/Logging_0331/tillsynsmail/A 50466-2024 tillsynsbegäran mail.docx", "A 50466-2024")</f>
        <v/>
      </c>
      <c r="Z34">
        <f>HYPERLINK("https://klasma.github.io/Logging_0331/fåglar/A 50466-2024 prioriterade fågelarter.docx", "A 50466-2024")</f>
        <v/>
      </c>
    </row>
    <row r="35" ht="15" customHeight="1">
      <c r="A35" t="inlineStr">
        <is>
          <t>A 4610-2025</t>
        </is>
      </c>
      <c r="B35" s="1" t="n">
        <v>45687</v>
      </c>
      <c r="C35" s="1" t="n">
        <v>45749</v>
      </c>
      <c r="D35" t="inlineStr">
        <is>
          <t>UPPSALA LÄN</t>
        </is>
      </c>
      <c r="E35" t="inlineStr">
        <is>
          <t>HEBY</t>
        </is>
      </c>
      <c r="G35" t="n">
        <v>25.1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Större flatbagge
Granbräken
Jättesvampmal</t>
        </is>
      </c>
      <c r="S35">
        <f>HYPERLINK("https://klasma.github.io/Logging_0331/artfynd/A 4610-2025 artfynd.xlsx", "A 4610-2025")</f>
        <v/>
      </c>
      <c r="T35">
        <f>HYPERLINK("https://klasma.github.io/Logging_0331/kartor/A 4610-2025 karta.png", "A 4610-2025")</f>
        <v/>
      </c>
      <c r="V35">
        <f>HYPERLINK("https://klasma.github.io/Logging_0331/klagomål/A 4610-2025 FSC-klagomål.docx", "A 4610-2025")</f>
        <v/>
      </c>
      <c r="W35">
        <f>HYPERLINK("https://klasma.github.io/Logging_0331/klagomålsmail/A 4610-2025 FSC-klagomål mail.docx", "A 4610-2025")</f>
        <v/>
      </c>
      <c r="X35">
        <f>HYPERLINK("https://klasma.github.io/Logging_0331/tillsyn/A 4610-2025 tillsynsbegäran.docx", "A 4610-2025")</f>
        <v/>
      </c>
      <c r="Y35">
        <f>HYPERLINK("https://klasma.github.io/Logging_0331/tillsynsmail/A 4610-2025 tillsynsbegäran mail.docx", "A 4610-2025")</f>
        <v/>
      </c>
    </row>
    <row r="36" ht="15" customHeight="1">
      <c r="A36" t="inlineStr">
        <is>
          <t>A 29091-2020</t>
        </is>
      </c>
      <c r="B36" s="1" t="n">
        <v>44002</v>
      </c>
      <c r="C36" s="1" t="n">
        <v>45749</v>
      </c>
      <c r="D36" t="inlineStr">
        <is>
          <t>UPPSALA LÄN</t>
        </is>
      </c>
      <c r="E36" t="inlineStr">
        <is>
          <t>HEBY</t>
        </is>
      </c>
      <c r="G36" t="n">
        <v>2.6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HYPERLINK("https://klasma.github.io/Logging_0331/artfynd/A 29091-2020 artfynd.xlsx", "A 29091-2020")</f>
        <v/>
      </c>
      <c r="T36">
        <f>HYPERLINK("https://klasma.github.io/Logging_0331/kartor/A 29091-2020 karta.png", "A 29091-2020")</f>
        <v/>
      </c>
      <c r="U36">
        <f>HYPERLINK("https://klasma.github.io/Logging_0331/knärot/A 29091-2020 karta knärot.png", "A 29091-2020")</f>
        <v/>
      </c>
      <c r="V36">
        <f>HYPERLINK("https://klasma.github.io/Logging_0331/klagomål/A 29091-2020 FSC-klagomål.docx", "A 29091-2020")</f>
        <v/>
      </c>
      <c r="W36">
        <f>HYPERLINK("https://klasma.github.io/Logging_0331/klagomålsmail/A 29091-2020 FSC-klagomål mail.docx", "A 29091-2020")</f>
        <v/>
      </c>
      <c r="X36">
        <f>HYPERLINK("https://klasma.github.io/Logging_0331/tillsyn/A 29091-2020 tillsynsbegäran.docx", "A 29091-2020")</f>
        <v/>
      </c>
      <c r="Y36">
        <f>HYPERLINK("https://klasma.github.io/Logging_0331/tillsynsmail/A 29091-2020 tillsynsbegäran mail.docx", "A 29091-2020")</f>
        <v/>
      </c>
    </row>
    <row r="37" ht="15" customHeight="1">
      <c r="A37" t="inlineStr">
        <is>
          <t>A 36385-2020</t>
        </is>
      </c>
      <c r="B37" s="1" t="n">
        <v>44049</v>
      </c>
      <c r="C37" s="1" t="n">
        <v>45749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0.8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Revlummer</t>
        </is>
      </c>
      <c r="S37">
        <f>HYPERLINK("https://klasma.github.io/Logging_0331/artfynd/A 36385-2020 artfynd.xlsx", "A 36385-2020")</f>
        <v/>
      </c>
      <c r="T37">
        <f>HYPERLINK("https://klasma.github.io/Logging_0331/kartor/A 36385-2020 karta.png", "A 36385-2020")</f>
        <v/>
      </c>
      <c r="V37">
        <f>HYPERLINK("https://klasma.github.io/Logging_0331/klagomål/A 36385-2020 FSC-klagomål.docx", "A 36385-2020")</f>
        <v/>
      </c>
      <c r="W37">
        <f>HYPERLINK("https://klasma.github.io/Logging_0331/klagomålsmail/A 36385-2020 FSC-klagomål mail.docx", "A 36385-2020")</f>
        <v/>
      </c>
      <c r="X37">
        <f>HYPERLINK("https://klasma.github.io/Logging_0331/tillsyn/A 36385-2020 tillsynsbegäran.docx", "A 36385-2020")</f>
        <v/>
      </c>
      <c r="Y37">
        <f>HYPERLINK("https://klasma.github.io/Logging_0331/tillsynsmail/A 36385-2020 tillsynsbegäran mail.docx", "A 36385-2020")</f>
        <v/>
      </c>
    </row>
    <row r="38" ht="15" customHeight="1">
      <c r="A38" t="inlineStr">
        <is>
          <t>A 1396-2022</t>
        </is>
      </c>
      <c r="B38" s="1" t="n">
        <v>44573</v>
      </c>
      <c r="C38" s="1" t="n">
        <v>45749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Åkergroda
Vanlig groda</t>
        </is>
      </c>
      <c r="S38">
        <f>HYPERLINK("https://klasma.github.io/Logging_0331/artfynd/A 1396-2022 artfynd.xlsx", "A 1396-2022")</f>
        <v/>
      </c>
      <c r="T38">
        <f>HYPERLINK("https://klasma.github.io/Logging_0331/kartor/A 1396-2022 karta.png", "A 1396-2022")</f>
        <v/>
      </c>
      <c r="V38">
        <f>HYPERLINK("https://klasma.github.io/Logging_0331/klagomål/A 1396-2022 FSC-klagomål.docx", "A 1396-2022")</f>
        <v/>
      </c>
      <c r="W38">
        <f>HYPERLINK("https://klasma.github.io/Logging_0331/klagomålsmail/A 1396-2022 FSC-klagomål mail.docx", "A 1396-2022")</f>
        <v/>
      </c>
      <c r="X38">
        <f>HYPERLINK("https://klasma.github.io/Logging_0331/tillsyn/A 1396-2022 tillsynsbegäran.docx", "A 1396-2022")</f>
        <v/>
      </c>
      <c r="Y38">
        <f>HYPERLINK("https://klasma.github.io/Logging_0331/tillsynsmail/A 1396-2022 tillsynsbegäran mail.docx", "A 1396-2022")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45749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45749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45749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45749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45749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45749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45749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45749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45749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45749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45749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45749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45749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45749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45749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45749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45749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45749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45749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45749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45749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45749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45749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45749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45749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45749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45749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45749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45749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45749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45749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45749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45749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45749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45749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45749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45749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45749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45749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45749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45749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45749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45749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45749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45749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45749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45749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45749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45749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45749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55082-2024</t>
        </is>
      </c>
      <c r="B91" s="1" t="n">
        <v>45621</v>
      </c>
      <c r="C91" s="1" t="n">
        <v>45749</v>
      </c>
      <c r="D91" t="inlineStr">
        <is>
          <t>UPPSALA LÄN</t>
        </is>
      </c>
      <c r="E91" t="inlineStr">
        <is>
          <t>HEBY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HYPERLINK("https://klasma.github.io/Logging_0331/artfynd/A 55082-2024 artfynd.xlsx", "A 55082-2024")</f>
        <v/>
      </c>
      <c r="T91">
        <f>HYPERLINK("https://klasma.github.io/Logging_0331/kartor/A 55082-2024 karta.png", "A 55082-2024")</f>
        <v/>
      </c>
      <c r="V91">
        <f>HYPERLINK("https://klasma.github.io/Logging_0331/klagomål/A 55082-2024 FSC-klagomål.docx", "A 55082-2024")</f>
        <v/>
      </c>
      <c r="W91">
        <f>HYPERLINK("https://klasma.github.io/Logging_0331/klagomålsmail/A 55082-2024 FSC-klagomål mail.docx", "A 55082-2024")</f>
        <v/>
      </c>
      <c r="X91">
        <f>HYPERLINK("https://klasma.github.io/Logging_0331/tillsyn/A 55082-2024 tillsynsbegäran.docx", "A 55082-2024")</f>
        <v/>
      </c>
      <c r="Y91">
        <f>HYPERLINK("https://klasma.github.io/Logging_0331/tillsynsmail/A 55082-2024 tillsynsbegäran mail.docx", "A 55082-2024")</f>
        <v/>
      </c>
    </row>
    <row r="92" ht="15" customHeight="1">
      <c r="A92" t="inlineStr">
        <is>
          <t>A 55663-2024</t>
        </is>
      </c>
      <c r="B92" s="1" t="n">
        <v>45622</v>
      </c>
      <c r="C92" s="1" t="n">
        <v>45749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HYPERLINK("https://klasma.github.io/Logging_0331/artfynd/A 55663-2024 artfynd.xlsx", "A 55663-2024")</f>
        <v/>
      </c>
      <c r="T92">
        <f>HYPERLINK("https://klasma.github.io/Logging_0331/kartor/A 55663-2024 karta.png", "A 55663-2024")</f>
        <v/>
      </c>
      <c r="V92">
        <f>HYPERLINK("https://klasma.github.io/Logging_0331/klagomål/A 55663-2024 FSC-klagomål.docx", "A 55663-2024")</f>
        <v/>
      </c>
      <c r="W92">
        <f>HYPERLINK("https://klasma.github.io/Logging_0331/klagomålsmail/A 55663-2024 FSC-klagomål mail.docx", "A 55663-2024")</f>
        <v/>
      </c>
      <c r="X92">
        <f>HYPERLINK("https://klasma.github.io/Logging_0331/tillsyn/A 55663-2024 tillsynsbegäran.docx", "A 55663-2024")</f>
        <v/>
      </c>
      <c r="Y92">
        <f>HYPERLINK("https://klasma.github.io/Logging_0331/tillsynsmail/A 55663-2024 tillsynsbegäran mail.docx", "A 55663-2024")</f>
        <v/>
      </c>
    </row>
    <row r="93" ht="15" customHeight="1">
      <c r="A93" t="inlineStr">
        <is>
          <t>A 2592-2025</t>
        </is>
      </c>
      <c r="B93" s="1" t="n">
        <v>45674</v>
      </c>
      <c r="C93" s="1" t="n">
        <v>45749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HYPERLINK("https://klasma.github.io/Logging_0331/artfynd/A 2592-2025 artfynd.xlsx", "A 2592-2025")</f>
        <v/>
      </c>
      <c r="T93">
        <f>HYPERLINK("https://klasma.github.io/Logging_0331/kartor/A 2592-2025 karta.png", "A 2592-2025")</f>
        <v/>
      </c>
      <c r="V93">
        <f>HYPERLINK("https://klasma.github.io/Logging_0331/klagomål/A 2592-2025 FSC-klagomål.docx", "A 2592-2025")</f>
        <v/>
      </c>
      <c r="W93">
        <f>HYPERLINK("https://klasma.github.io/Logging_0331/klagomålsmail/A 2592-2025 FSC-klagomål mail.docx", "A 2592-2025")</f>
        <v/>
      </c>
      <c r="X93">
        <f>HYPERLINK("https://klasma.github.io/Logging_0331/tillsyn/A 2592-2025 tillsynsbegäran.docx", "A 2592-2025")</f>
        <v/>
      </c>
      <c r="Y93">
        <f>HYPERLINK("https://klasma.github.io/Logging_0331/tillsynsmail/A 2592-2025 tillsynsbegäran mail.docx", "A 2592-2025")</f>
        <v/>
      </c>
    </row>
    <row r="94" ht="15" customHeight="1">
      <c r="A94" t="inlineStr">
        <is>
          <t>A 17706-2019</t>
        </is>
      </c>
      <c r="B94" s="1" t="n">
        <v>43556</v>
      </c>
      <c r="C94" s="1" t="n">
        <v>45749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18323-2019</t>
        </is>
      </c>
      <c r="B95" s="1" t="n">
        <v>43559</v>
      </c>
      <c r="C95" s="1" t="n">
        <v>45749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18699-2019</t>
        </is>
      </c>
      <c r="B96" s="1" t="n">
        <v>43560</v>
      </c>
      <c r="C96" s="1" t="n">
        <v>45749</v>
      </c>
      <c r="D96" t="inlineStr">
        <is>
          <t>UPPSALA LÄN</t>
        </is>
      </c>
      <c r="E96" t="inlineStr">
        <is>
          <t>HEBY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18716-2019</t>
        </is>
      </c>
      <c r="B97" s="1" t="n">
        <v>43560</v>
      </c>
      <c r="C97" s="1" t="n">
        <v>45749</v>
      </c>
      <c r="D97" t="inlineStr">
        <is>
          <t>UPPSALA LÄN</t>
        </is>
      </c>
      <c r="E97" t="inlineStr">
        <is>
          <t>HEBY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18799-2019</t>
        </is>
      </c>
      <c r="B98" s="1" t="n">
        <v>43562</v>
      </c>
      <c r="C98" s="1" t="n">
        <v>45749</v>
      </c>
      <c r="D98" t="inlineStr">
        <is>
          <t>UPPSALA LÄN</t>
        </is>
      </c>
      <c r="E98" t="inlineStr">
        <is>
          <t>HEBY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18997-2019</t>
        </is>
      </c>
      <c r="B99" s="1" t="n">
        <v>43563</v>
      </c>
      <c r="C99" s="1" t="n">
        <v>45749</v>
      </c>
      <c r="D99" t="inlineStr">
        <is>
          <t>UPPSALA LÄN</t>
        </is>
      </c>
      <c r="E99" t="inlineStr">
        <is>
          <t>HEBY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19779-2019</t>
        </is>
      </c>
      <c r="B100" s="1" t="n">
        <v>43567</v>
      </c>
      <c r="C100" s="1" t="n">
        <v>45749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20157-2019</t>
        </is>
      </c>
      <c r="B101" s="1" t="n">
        <v>43570</v>
      </c>
      <c r="C101" s="1" t="n">
        <v>45749</v>
      </c>
      <c r="D101" t="inlineStr">
        <is>
          <t>UPPSALA LÄN</t>
        </is>
      </c>
      <c r="E101" t="inlineStr">
        <is>
          <t>HEBY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19989-2019</t>
        </is>
      </c>
      <c r="B102" s="1" t="n">
        <v>43570</v>
      </c>
      <c r="C102" s="1" t="n">
        <v>45749</v>
      </c>
      <c r="D102" t="inlineStr">
        <is>
          <t>UPPSALA LÄN</t>
        </is>
      </c>
      <c r="E102" t="inlineStr">
        <is>
          <t>HEBY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21566-2019</t>
        </is>
      </c>
      <c r="B103" s="1" t="n">
        <v>43580</v>
      </c>
      <c r="C103" s="1" t="n">
        <v>45749</v>
      </c>
      <c r="D103" t="inlineStr">
        <is>
          <t>UPPSALA LÄN</t>
        </is>
      </c>
      <c r="E103" t="inlineStr">
        <is>
          <t>HEBY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21565-2019</t>
        </is>
      </c>
      <c r="B104" s="1" t="n">
        <v>43580</v>
      </c>
      <c r="C104" s="1" t="n">
        <v>45749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21760-2019</t>
        </is>
      </c>
      <c r="B105" s="1" t="n">
        <v>43581</v>
      </c>
      <c r="C105" s="1" t="n">
        <v>45749</v>
      </c>
      <c r="D105" t="inlineStr">
        <is>
          <t>UPPSALA LÄN</t>
        </is>
      </c>
      <c r="E105" t="inlineStr">
        <is>
          <t>HEBY</t>
        </is>
      </c>
      <c r="F105" t="inlineStr">
        <is>
          <t>Övriga Aktiebolag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24039-2019</t>
        </is>
      </c>
      <c r="B106" s="1" t="n">
        <v>43598</v>
      </c>
      <c r="C106" s="1" t="n">
        <v>45749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24297-2019</t>
        </is>
      </c>
      <c r="B107" s="1" t="n">
        <v>43598</v>
      </c>
      <c r="C107" s="1" t="n">
        <v>45749</v>
      </c>
      <c r="D107" t="inlineStr">
        <is>
          <t>UPPSALA LÄN</t>
        </is>
      </c>
      <c r="E107" t="inlineStr">
        <is>
          <t>HEBY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25317-2019</t>
        </is>
      </c>
      <c r="B108" s="1" t="n">
        <v>43606</v>
      </c>
      <c r="C108" s="1" t="n">
        <v>45749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25672-2019</t>
        </is>
      </c>
      <c r="B109" s="1" t="n">
        <v>43607</v>
      </c>
      <c r="C109" s="1" t="n">
        <v>45749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25791-2019</t>
        </is>
      </c>
      <c r="B110" s="1" t="n">
        <v>43608</v>
      </c>
      <c r="C110" s="1" t="n">
        <v>45749</v>
      </c>
      <c r="D110" t="inlineStr">
        <is>
          <t>UPPSALA LÄN</t>
        </is>
      </c>
      <c r="E110" t="inlineStr">
        <is>
          <t>HEBY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26060-2019</t>
        </is>
      </c>
      <c r="B111" s="1" t="n">
        <v>43609</v>
      </c>
      <c r="C111" s="1" t="n">
        <v>45749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27277-2019</t>
        </is>
      </c>
      <c r="B112" s="1" t="n">
        <v>43615</v>
      </c>
      <c r="C112" s="1" t="n">
        <v>45749</v>
      </c>
      <c r="D112" t="inlineStr">
        <is>
          <t>UPPSALA LÄN</t>
        </is>
      </c>
      <c r="E112" t="inlineStr">
        <is>
          <t>HEBY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29637-2019</t>
        </is>
      </c>
      <c r="B113" s="1" t="n">
        <v>43628</v>
      </c>
      <c r="C113" s="1" t="n">
        <v>45749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29954-2019</t>
        </is>
      </c>
      <c r="B114" s="1" t="n">
        <v>43633</v>
      </c>
      <c r="C114" s="1" t="n">
        <v>45749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30838-2019</t>
        </is>
      </c>
      <c r="B115" s="1" t="n">
        <v>43636</v>
      </c>
      <c r="C115" s="1" t="n">
        <v>45749</v>
      </c>
      <c r="D115" t="inlineStr">
        <is>
          <t>UPPSALA LÄN</t>
        </is>
      </c>
      <c r="E115" t="inlineStr">
        <is>
          <t>HEBY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31438-2019</t>
        </is>
      </c>
      <c r="B116" s="1" t="n">
        <v>43641</v>
      </c>
      <c r="C116" s="1" t="n">
        <v>45749</v>
      </c>
      <c r="D116" t="inlineStr">
        <is>
          <t>UPPSALA LÄN</t>
        </is>
      </c>
      <c r="E116" t="inlineStr">
        <is>
          <t>HEBY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31436-2019</t>
        </is>
      </c>
      <c r="B117" s="1" t="n">
        <v>43641</v>
      </c>
      <c r="C117" s="1" t="n">
        <v>45749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32299-2019</t>
        </is>
      </c>
      <c r="B118" s="1" t="n">
        <v>43644</v>
      </c>
      <c r="C118" s="1" t="n">
        <v>45749</v>
      </c>
      <c r="D118" t="inlineStr">
        <is>
          <t>UPPSALA LÄN</t>
        </is>
      </c>
      <c r="E118" t="inlineStr">
        <is>
          <t>HEBY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33575-2019</t>
        </is>
      </c>
      <c r="B119" s="1" t="n">
        <v>43651</v>
      </c>
      <c r="C119" s="1" t="n">
        <v>45749</v>
      </c>
      <c r="D119" t="inlineStr">
        <is>
          <t>UPPSALA LÄN</t>
        </is>
      </c>
      <c r="E119" t="inlineStr">
        <is>
          <t>HEBY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33584-2019</t>
        </is>
      </c>
      <c r="B120" s="1" t="n">
        <v>43651</v>
      </c>
      <c r="C120" s="1" t="n">
        <v>45749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33932-2019</t>
        </is>
      </c>
      <c r="B121" s="1" t="n">
        <v>43654</v>
      </c>
      <c r="C121" s="1" t="n">
        <v>45749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35811-2019</t>
        </is>
      </c>
      <c r="B122" s="1" t="n">
        <v>43656</v>
      </c>
      <c r="C122" s="1" t="n">
        <v>45749</v>
      </c>
      <c r="D122" t="inlineStr">
        <is>
          <t>UPPSALA LÄN</t>
        </is>
      </c>
      <c r="E122" t="inlineStr">
        <is>
          <t>HEBY</t>
        </is>
      </c>
      <c r="F122" t="inlineStr">
        <is>
          <t>Allmännings- och besparingsskogar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37092-2019</t>
        </is>
      </c>
      <c r="B123" s="1" t="n">
        <v>43676</v>
      </c>
      <c r="C123" s="1" t="n">
        <v>45749</v>
      </c>
      <c r="D123" t="inlineStr">
        <is>
          <t>UPPSALA LÄN</t>
        </is>
      </c>
      <c r="E123" t="inlineStr">
        <is>
          <t>HEBY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39918-2019</t>
        </is>
      </c>
      <c r="B124" s="1" t="n">
        <v>43689</v>
      </c>
      <c r="C124" s="1" t="n">
        <v>45749</v>
      </c>
      <c r="D124" t="inlineStr">
        <is>
          <t>UPPSALA LÄN</t>
        </is>
      </c>
      <c r="E124" t="inlineStr">
        <is>
          <t>HEBY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39087-2019</t>
        </is>
      </c>
      <c r="B125" s="1" t="n">
        <v>43689</v>
      </c>
      <c r="C125" s="1" t="n">
        <v>45749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40336-2019</t>
        </is>
      </c>
      <c r="B126" s="1" t="n">
        <v>43696</v>
      </c>
      <c r="C126" s="1" t="n">
        <v>45749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40792-2019</t>
        </is>
      </c>
      <c r="B127" s="1" t="n">
        <v>43697</v>
      </c>
      <c r="C127" s="1" t="n">
        <v>45749</v>
      </c>
      <c r="D127" t="inlineStr">
        <is>
          <t>UPPSALA LÄN</t>
        </is>
      </c>
      <c r="E127" t="inlineStr">
        <is>
          <t>HEBY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42841-2019</t>
        </is>
      </c>
      <c r="B128" s="1" t="n">
        <v>43705</v>
      </c>
      <c r="C128" s="1" t="n">
        <v>45749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43039-2019</t>
        </is>
      </c>
      <c r="B129" s="1" t="n">
        <v>43705</v>
      </c>
      <c r="C129" s="1" t="n">
        <v>45749</v>
      </c>
      <c r="D129" t="inlineStr">
        <is>
          <t>UPPSALA LÄN</t>
        </is>
      </c>
      <c r="E129" t="inlineStr">
        <is>
          <t>HEBY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45500-2019</t>
        </is>
      </c>
      <c r="B130" s="1" t="n">
        <v>43710</v>
      </c>
      <c r="C130" s="1" t="n">
        <v>45749</v>
      </c>
      <c r="D130" t="inlineStr">
        <is>
          <t>UPPSALA LÄN</t>
        </is>
      </c>
      <c r="E130" t="inlineStr">
        <is>
          <t>HEBY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45493-2019</t>
        </is>
      </c>
      <c r="B131" s="1" t="n">
        <v>43710</v>
      </c>
      <c r="C131" s="1" t="n">
        <v>45749</v>
      </c>
      <c r="D131" t="inlineStr">
        <is>
          <t>UPPSALA LÄN</t>
        </is>
      </c>
      <c r="E131" t="inlineStr">
        <is>
          <t>HEBY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44497-2019</t>
        </is>
      </c>
      <c r="B132" s="1" t="n">
        <v>43711</v>
      </c>
      <c r="C132" s="1" t="n">
        <v>45749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44991-2019</t>
        </is>
      </c>
      <c r="B133" s="1" t="n">
        <v>43713</v>
      </c>
      <c r="C133" s="1" t="n">
        <v>45749</v>
      </c>
      <c r="D133" t="inlineStr">
        <is>
          <t>UPPSALA LÄN</t>
        </is>
      </c>
      <c r="E133" t="inlineStr">
        <is>
          <t>HEBY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45667-2019</t>
        </is>
      </c>
      <c r="B134" s="1" t="n">
        <v>43717</v>
      </c>
      <c r="C134" s="1" t="n">
        <v>45749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46563-2019</t>
        </is>
      </c>
      <c r="B135" s="1" t="n">
        <v>43719</v>
      </c>
      <c r="C135" s="1" t="n">
        <v>45749</v>
      </c>
      <c r="D135" t="inlineStr">
        <is>
          <t>UPPSALA LÄN</t>
        </is>
      </c>
      <c r="E135" t="inlineStr">
        <is>
          <t>HEBY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46545-2019</t>
        </is>
      </c>
      <c r="B136" s="1" t="n">
        <v>43719</v>
      </c>
      <c r="C136" s="1" t="n">
        <v>45749</v>
      </c>
      <c r="D136" t="inlineStr">
        <is>
          <t>UPPSALA LÄN</t>
        </is>
      </c>
      <c r="E136" t="inlineStr">
        <is>
          <t>HEBY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48086-2019</t>
        </is>
      </c>
      <c r="B137" s="1" t="n">
        <v>43725</v>
      </c>
      <c r="C137" s="1" t="n">
        <v>45749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50358-2019</t>
        </is>
      </c>
      <c r="B138" s="1" t="n">
        <v>43731</v>
      </c>
      <c r="C138" s="1" t="n">
        <v>45749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50414-2019</t>
        </is>
      </c>
      <c r="B139" s="1" t="n">
        <v>43731</v>
      </c>
      <c r="C139" s="1" t="n">
        <v>45749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50348-2019</t>
        </is>
      </c>
      <c r="B140" s="1" t="n">
        <v>43735</v>
      </c>
      <c r="C140" s="1" t="n">
        <v>45749</v>
      </c>
      <c r="D140" t="inlineStr">
        <is>
          <t>UPPSALA LÄN</t>
        </is>
      </c>
      <c r="E140" t="inlineStr">
        <is>
          <t>HEBY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50361-2019</t>
        </is>
      </c>
      <c r="B141" s="1" t="n">
        <v>43735</v>
      </c>
      <c r="C141" s="1" t="n">
        <v>45749</v>
      </c>
      <c r="D141" t="inlineStr">
        <is>
          <t>UPPSALA LÄN</t>
        </is>
      </c>
      <c r="E141" t="inlineStr">
        <is>
          <t>HEBY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50346-2019</t>
        </is>
      </c>
      <c r="B142" s="1" t="n">
        <v>43735</v>
      </c>
      <c r="C142" s="1" t="n">
        <v>45749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50785-2019</t>
        </is>
      </c>
      <c r="B143" s="1" t="n">
        <v>43737</v>
      </c>
      <c r="C143" s="1" t="n">
        <v>45749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50688-2019</t>
        </is>
      </c>
      <c r="B144" s="1" t="n">
        <v>43738</v>
      </c>
      <c r="C144" s="1" t="n">
        <v>45749</v>
      </c>
      <c r="D144" t="inlineStr">
        <is>
          <t>UPPSALA LÄN</t>
        </is>
      </c>
      <c r="E144" t="inlineStr">
        <is>
          <t>HEBY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53320-2019</t>
        </is>
      </c>
      <c r="B145" s="1" t="n">
        <v>43740</v>
      </c>
      <c r="C145" s="1" t="n">
        <v>45749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51862-2019</t>
        </is>
      </c>
      <c r="B146" s="1" t="n">
        <v>43741</v>
      </c>
      <c r="C146" s="1" t="n">
        <v>45749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52187-2019</t>
        </is>
      </c>
      <c r="B147" s="1" t="n">
        <v>43742</v>
      </c>
      <c r="C147" s="1" t="n">
        <v>45749</v>
      </c>
      <c r="D147" t="inlineStr">
        <is>
          <t>UPPSALA LÄN</t>
        </is>
      </c>
      <c r="E147" t="inlineStr">
        <is>
          <t>HEBY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54280-2019</t>
        </is>
      </c>
      <c r="B148" s="1" t="n">
        <v>43745</v>
      </c>
      <c r="C148" s="1" t="n">
        <v>45749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54258-2019</t>
        </is>
      </c>
      <c r="B149" s="1" t="n">
        <v>43745</v>
      </c>
      <c r="C149" s="1" t="n">
        <v>45749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54479-2019</t>
        </is>
      </c>
      <c r="B150" s="1" t="n">
        <v>43747</v>
      </c>
      <c r="C150" s="1" t="n">
        <v>45749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53733-2019</t>
        </is>
      </c>
      <c r="B151" s="1" t="n">
        <v>43749</v>
      </c>
      <c r="C151" s="1" t="n">
        <v>45749</v>
      </c>
      <c r="D151" t="inlineStr">
        <is>
          <t>UPPSALA LÄN</t>
        </is>
      </c>
      <c r="E151" t="inlineStr">
        <is>
          <t>HEBY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53738-2019</t>
        </is>
      </c>
      <c r="B152" s="1" t="n">
        <v>43749</v>
      </c>
      <c r="C152" s="1" t="n">
        <v>45749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55369-2019</t>
        </is>
      </c>
      <c r="B153" s="1" t="n">
        <v>43754</v>
      </c>
      <c r="C153" s="1" t="n">
        <v>45749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57023-2019</t>
        </is>
      </c>
      <c r="B154" s="1" t="n">
        <v>43766</v>
      </c>
      <c r="C154" s="1" t="n">
        <v>45749</v>
      </c>
      <c r="D154" t="inlineStr">
        <is>
          <t>UPPSALA LÄN</t>
        </is>
      </c>
      <c r="E154" t="inlineStr">
        <is>
          <t>HEBY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57134-2019</t>
        </is>
      </c>
      <c r="B155" s="1" t="n">
        <v>43766</v>
      </c>
      <c r="C155" s="1" t="n">
        <v>45749</v>
      </c>
      <c r="D155" t="inlineStr">
        <is>
          <t>UPPSALA LÄN</t>
        </is>
      </c>
      <c r="E155" t="inlineStr">
        <is>
          <t>HEBY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HYPERLINK("https://klasma.github.io/Logging_0331/knärot/A 57134-2019 karta knärot.png", "A 57134-2019")</f>
        <v/>
      </c>
      <c r="V155">
        <f>HYPERLINK("https://klasma.github.io/Logging_0331/klagomål/A 57134-2019 FSC-klagomål.docx", "A 57134-2019")</f>
        <v/>
      </c>
      <c r="W155">
        <f>HYPERLINK("https://klasma.github.io/Logging_0331/klagomålsmail/A 57134-2019 FSC-klagomål mail.docx", "A 57134-2019")</f>
        <v/>
      </c>
      <c r="X155">
        <f>HYPERLINK("https://klasma.github.io/Logging_0331/tillsyn/A 57134-2019 tillsynsbegäran.docx", "A 57134-2019")</f>
        <v/>
      </c>
      <c r="Y155">
        <f>HYPERLINK("https://klasma.github.io/Logging_0331/tillsynsmail/A 57134-2019 tillsynsbegäran mail.docx", "A 57134-2019")</f>
        <v/>
      </c>
    </row>
    <row r="156" ht="15" customHeight="1">
      <c r="A156" t="inlineStr">
        <is>
          <t>A 57792-2019</t>
        </is>
      </c>
      <c r="B156" s="1" t="n">
        <v>43768</v>
      </c>
      <c r="C156" s="1" t="n">
        <v>45749</v>
      </c>
      <c r="D156" t="inlineStr">
        <is>
          <t>UPPSALA LÄN</t>
        </is>
      </c>
      <c r="E156" t="inlineStr">
        <is>
          <t>HEBY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59239-2019</t>
        </is>
      </c>
      <c r="B157" s="1" t="n">
        <v>43775</v>
      </c>
      <c r="C157" s="1" t="n">
        <v>45749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60806-2019</t>
        </is>
      </c>
      <c r="B158" s="1" t="n">
        <v>43781</v>
      </c>
      <c r="C158" s="1" t="n">
        <v>45749</v>
      </c>
      <c r="D158" t="inlineStr">
        <is>
          <t>UPPSALA LÄN</t>
        </is>
      </c>
      <c r="E158" t="inlineStr">
        <is>
          <t>HEBY</t>
        </is>
      </c>
      <c r="F158" t="inlineStr">
        <is>
          <t>Allmännings- och besparingsskogar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62096-2019</t>
        </is>
      </c>
      <c r="B159" s="1" t="n">
        <v>43782</v>
      </c>
      <c r="C159" s="1" t="n">
        <v>45749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61351-2019</t>
        </is>
      </c>
      <c r="B160" s="1" t="n">
        <v>43783</v>
      </c>
      <c r="C160" s="1" t="n">
        <v>45749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61395-2019</t>
        </is>
      </c>
      <c r="B161" s="1" t="n">
        <v>43783</v>
      </c>
      <c r="C161" s="1" t="n">
        <v>45749</v>
      </c>
      <c r="D161" t="inlineStr">
        <is>
          <t>UPPSALA LÄN</t>
        </is>
      </c>
      <c r="E161" t="inlineStr">
        <is>
          <t>HEBY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61388-2019</t>
        </is>
      </c>
      <c r="B162" s="1" t="n">
        <v>43783</v>
      </c>
      <c r="C162" s="1" t="n">
        <v>45749</v>
      </c>
      <c r="D162" t="inlineStr">
        <is>
          <t>UPPSALA LÄN</t>
        </is>
      </c>
      <c r="E162" t="inlineStr">
        <is>
          <t>HEBY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61924-2019</t>
        </is>
      </c>
      <c r="B163" s="1" t="n">
        <v>43787</v>
      </c>
      <c r="C163" s="1" t="n">
        <v>45749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62026-2019</t>
        </is>
      </c>
      <c r="B164" s="1" t="n">
        <v>43787</v>
      </c>
      <c r="C164" s="1" t="n">
        <v>45749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62022-2019</t>
        </is>
      </c>
      <c r="B165" s="1" t="n">
        <v>43787</v>
      </c>
      <c r="C165" s="1" t="n">
        <v>45749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63376-2019</t>
        </is>
      </c>
      <c r="B166" s="1" t="n">
        <v>43794</v>
      </c>
      <c r="C166" s="1" t="n">
        <v>45749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64250-2019</t>
        </is>
      </c>
      <c r="B167" s="1" t="n">
        <v>43797</v>
      </c>
      <c r="C167" s="1" t="n">
        <v>45749</v>
      </c>
      <c r="D167" t="inlineStr">
        <is>
          <t>UPPSALA LÄN</t>
        </is>
      </c>
      <c r="E167" t="inlineStr">
        <is>
          <t>HEBY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65111-2019</t>
        </is>
      </c>
      <c r="B168" s="1" t="n">
        <v>43802</v>
      </c>
      <c r="C168" s="1" t="n">
        <v>45749</v>
      </c>
      <c r="D168" t="inlineStr">
        <is>
          <t>UPPSALA LÄN</t>
        </is>
      </c>
      <c r="E168" t="inlineStr">
        <is>
          <t>HEBY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66125-2019</t>
        </is>
      </c>
      <c r="B169" s="1" t="n">
        <v>43808</v>
      </c>
      <c r="C169" s="1" t="n">
        <v>45749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68196-2019</t>
        </is>
      </c>
      <c r="B170" s="1" t="n">
        <v>43817</v>
      </c>
      <c r="C170" s="1" t="n">
        <v>45749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68412-2019</t>
        </is>
      </c>
      <c r="B171" s="1" t="n">
        <v>43818</v>
      </c>
      <c r="C171" s="1" t="n">
        <v>45749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1387-2020</t>
        </is>
      </c>
      <c r="B172" s="1" t="n">
        <v>43843</v>
      </c>
      <c r="C172" s="1" t="n">
        <v>45749</v>
      </c>
      <c r="D172" t="inlineStr">
        <is>
          <t>UPPSALA LÄN</t>
        </is>
      </c>
      <c r="E172" t="inlineStr">
        <is>
          <t>HEBY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1717-2020</t>
        </is>
      </c>
      <c r="B173" s="1" t="n">
        <v>43844</v>
      </c>
      <c r="C173" s="1" t="n">
        <v>45749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1929-2020</t>
        </is>
      </c>
      <c r="B174" s="1" t="n">
        <v>43845</v>
      </c>
      <c r="C174" s="1" t="n">
        <v>45749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2306-2020</t>
        </is>
      </c>
      <c r="B175" s="1" t="n">
        <v>43846</v>
      </c>
      <c r="C175" s="1" t="n">
        <v>45749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2315-2020</t>
        </is>
      </c>
      <c r="B176" s="1" t="n">
        <v>43846</v>
      </c>
      <c r="C176" s="1" t="n">
        <v>45749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2499-2020</t>
        </is>
      </c>
      <c r="B177" s="1" t="n">
        <v>43847</v>
      </c>
      <c r="C177" s="1" t="n">
        <v>45749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3276-2020</t>
        </is>
      </c>
      <c r="B178" s="1" t="n">
        <v>43852</v>
      </c>
      <c r="C178" s="1" t="n">
        <v>45749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3242-2020</t>
        </is>
      </c>
      <c r="B179" s="1" t="n">
        <v>43852</v>
      </c>
      <c r="C179" s="1" t="n">
        <v>45749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4549-2020</t>
        </is>
      </c>
      <c r="B180" s="1" t="n">
        <v>43858</v>
      </c>
      <c r="C180" s="1" t="n">
        <v>45749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5395-2020</t>
        </is>
      </c>
      <c r="B181" s="1" t="n">
        <v>43860</v>
      </c>
      <c r="C181" s="1" t="n">
        <v>45749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5539-2020</t>
        </is>
      </c>
      <c r="B182" s="1" t="n">
        <v>43861</v>
      </c>
      <c r="C182" s="1" t="n">
        <v>45749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5740-2020</t>
        </is>
      </c>
      <c r="B183" s="1" t="n">
        <v>43863</v>
      </c>
      <c r="C183" s="1" t="n">
        <v>45749</v>
      </c>
      <c r="D183" t="inlineStr">
        <is>
          <t>UPPSALA LÄN</t>
        </is>
      </c>
      <c r="E183" t="inlineStr">
        <is>
          <t>HEBY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5774-2020</t>
        </is>
      </c>
      <c r="B184" s="1" t="n">
        <v>43864</v>
      </c>
      <c r="C184" s="1" t="n">
        <v>45749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5759-2020</t>
        </is>
      </c>
      <c r="B185" s="1" t="n">
        <v>43864</v>
      </c>
      <c r="C185" s="1" t="n">
        <v>45749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6754-2020</t>
        </is>
      </c>
      <c r="B186" s="1" t="n">
        <v>43866</v>
      </c>
      <c r="C186" s="1" t="n">
        <v>45749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6536-2020</t>
        </is>
      </c>
      <c r="B187" s="1" t="n">
        <v>43867</v>
      </c>
      <c r="C187" s="1" t="n">
        <v>45749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6676-2020</t>
        </is>
      </c>
      <c r="B188" s="1" t="n">
        <v>43867</v>
      </c>
      <c r="C188" s="1" t="n">
        <v>45749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7329-2020</t>
        </is>
      </c>
      <c r="B189" s="1" t="n">
        <v>43871</v>
      </c>
      <c r="C189" s="1" t="n">
        <v>45749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7397-2020</t>
        </is>
      </c>
      <c r="B190" s="1" t="n">
        <v>43871</v>
      </c>
      <c r="C190" s="1" t="n">
        <v>45749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9927-2020</t>
        </is>
      </c>
      <c r="B191" s="1" t="n">
        <v>43882</v>
      </c>
      <c r="C191" s="1" t="n">
        <v>45749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9914-2020</t>
        </is>
      </c>
      <c r="B192" s="1" t="n">
        <v>43882</v>
      </c>
      <c r="C192" s="1" t="n">
        <v>45749</v>
      </c>
      <c r="D192" t="inlineStr">
        <is>
          <t>UPPSALA LÄN</t>
        </is>
      </c>
      <c r="E192" t="inlineStr">
        <is>
          <t>HEBY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11152-2020</t>
        </is>
      </c>
      <c r="B193" s="1" t="n">
        <v>43891</v>
      </c>
      <c r="C193" s="1" t="n">
        <v>45749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11151-2020</t>
        </is>
      </c>
      <c r="B194" s="1" t="n">
        <v>43891</v>
      </c>
      <c r="C194" s="1" t="n">
        <v>45749</v>
      </c>
      <c r="D194" t="inlineStr">
        <is>
          <t>UPPSALA LÄN</t>
        </is>
      </c>
      <c r="E194" t="inlineStr">
        <is>
          <t>HEBY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11166-2020</t>
        </is>
      </c>
      <c r="B195" s="1" t="n">
        <v>43891</v>
      </c>
      <c r="C195" s="1" t="n">
        <v>45749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11165-2020</t>
        </is>
      </c>
      <c r="B196" s="1" t="n">
        <v>43891</v>
      </c>
      <c r="C196" s="1" t="n">
        <v>45749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13140-2020</t>
        </is>
      </c>
      <c r="B197" s="1" t="n">
        <v>43901</v>
      </c>
      <c r="C197" s="1" t="n">
        <v>45749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13175-2020</t>
        </is>
      </c>
      <c r="B198" s="1" t="n">
        <v>43901</v>
      </c>
      <c r="C198" s="1" t="n">
        <v>45749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13141-2020</t>
        </is>
      </c>
      <c r="B199" s="1" t="n">
        <v>43901</v>
      </c>
      <c r="C199" s="1" t="n">
        <v>45749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13180-2020</t>
        </is>
      </c>
      <c r="B200" s="1" t="n">
        <v>43901</v>
      </c>
      <c r="C200" s="1" t="n">
        <v>45749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13865-2020</t>
        </is>
      </c>
      <c r="B201" s="1" t="n">
        <v>43906</v>
      </c>
      <c r="C201" s="1" t="n">
        <v>45749</v>
      </c>
      <c r="D201" t="inlineStr">
        <is>
          <t>UPPSALA LÄN</t>
        </is>
      </c>
      <c r="E201" t="inlineStr">
        <is>
          <t>HEBY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14783-2020</t>
        </is>
      </c>
      <c r="B202" s="1" t="n">
        <v>43909</v>
      </c>
      <c r="C202" s="1" t="n">
        <v>45749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14823-2020</t>
        </is>
      </c>
      <c r="B203" s="1" t="n">
        <v>43909</v>
      </c>
      <c r="C203" s="1" t="n">
        <v>45749</v>
      </c>
      <c r="D203" t="inlineStr">
        <is>
          <t>UPPSALA LÄN</t>
        </is>
      </c>
      <c r="E203" t="inlineStr">
        <is>
          <t>HEBY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14777-2020</t>
        </is>
      </c>
      <c r="B204" s="1" t="n">
        <v>43909</v>
      </c>
      <c r="C204" s="1" t="n">
        <v>45749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14814-2020</t>
        </is>
      </c>
      <c r="B205" s="1" t="n">
        <v>43909</v>
      </c>
      <c r="C205" s="1" t="n">
        <v>45749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15389-2020</t>
        </is>
      </c>
      <c r="B206" s="1" t="n">
        <v>43913</v>
      </c>
      <c r="C206" s="1" t="n">
        <v>45749</v>
      </c>
      <c r="D206" t="inlineStr">
        <is>
          <t>UPPSALA LÄN</t>
        </is>
      </c>
      <c r="E206" t="inlineStr">
        <is>
          <t>HEBY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15805-2020</t>
        </is>
      </c>
      <c r="B207" s="1" t="n">
        <v>43915</v>
      </c>
      <c r="C207" s="1" t="n">
        <v>45749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16071-2020</t>
        </is>
      </c>
      <c r="B208" s="1" t="n">
        <v>43916</v>
      </c>
      <c r="C208" s="1" t="n">
        <v>45749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16758-2020</t>
        </is>
      </c>
      <c r="B209" s="1" t="n">
        <v>43920</v>
      </c>
      <c r="C209" s="1" t="n">
        <v>45749</v>
      </c>
      <c r="D209" t="inlineStr">
        <is>
          <t>UPPSALA LÄN</t>
        </is>
      </c>
      <c r="E209" t="inlineStr">
        <is>
          <t>HEBY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17468-2020</t>
        </is>
      </c>
      <c r="B210" s="1" t="n">
        <v>43920</v>
      </c>
      <c r="C210" s="1" t="n">
        <v>45749</v>
      </c>
      <c r="D210" t="inlineStr">
        <is>
          <t>UPPSALA LÄN</t>
        </is>
      </c>
      <c r="E210" t="inlineStr">
        <is>
          <t>HEBY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19914-2020</t>
        </is>
      </c>
      <c r="B211" s="1" t="n">
        <v>43943</v>
      </c>
      <c r="C211" s="1" t="n">
        <v>45749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20175-2020</t>
        </is>
      </c>
      <c r="B212" s="1" t="n">
        <v>43944</v>
      </c>
      <c r="C212" s="1" t="n">
        <v>45749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20877-2020</t>
        </is>
      </c>
      <c r="B213" s="1" t="n">
        <v>43950</v>
      </c>
      <c r="C213" s="1" t="n">
        <v>45749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20928-2020</t>
        </is>
      </c>
      <c r="B214" s="1" t="n">
        <v>43950</v>
      </c>
      <c r="C214" s="1" t="n">
        <v>45749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21466-2020</t>
        </is>
      </c>
      <c r="B215" s="1" t="n">
        <v>43956</v>
      </c>
      <c r="C215" s="1" t="n">
        <v>45749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21916-2020</t>
        </is>
      </c>
      <c r="B216" s="1" t="n">
        <v>43958</v>
      </c>
      <c r="C216" s="1" t="n">
        <v>45749</v>
      </c>
      <c r="D216" t="inlineStr">
        <is>
          <t>UPPSALA LÄN</t>
        </is>
      </c>
      <c r="E216" t="inlineStr">
        <is>
          <t>HEBY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21973-2020</t>
        </is>
      </c>
      <c r="B217" s="1" t="n">
        <v>43959</v>
      </c>
      <c r="C217" s="1" t="n">
        <v>45749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22056-2020</t>
        </is>
      </c>
      <c r="B218" s="1" t="n">
        <v>43959</v>
      </c>
      <c r="C218" s="1" t="n">
        <v>45749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22152-2020</t>
        </is>
      </c>
      <c r="B219" s="1" t="n">
        <v>43962</v>
      </c>
      <c r="C219" s="1" t="n">
        <v>45749</v>
      </c>
      <c r="D219" t="inlineStr">
        <is>
          <t>UPPSALA LÄN</t>
        </is>
      </c>
      <c r="E219" t="inlineStr">
        <is>
          <t>HEBY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22737-2020</t>
        </is>
      </c>
      <c r="B220" s="1" t="n">
        <v>43963</v>
      </c>
      <c r="C220" s="1" t="n">
        <v>45749</v>
      </c>
      <c r="D220" t="inlineStr">
        <is>
          <t>UPPSALA LÄN</t>
        </is>
      </c>
      <c r="E220" t="inlineStr">
        <is>
          <t>HEBY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25588-2020</t>
        </is>
      </c>
      <c r="B221" s="1" t="n">
        <v>43983</v>
      </c>
      <c r="C221" s="1" t="n">
        <v>45749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25544-2020</t>
        </is>
      </c>
      <c r="B222" s="1" t="n">
        <v>43983</v>
      </c>
      <c r="C222" s="1" t="n">
        <v>45749</v>
      </c>
      <c r="D222" t="inlineStr">
        <is>
          <t>UPPSALA LÄN</t>
        </is>
      </c>
      <c r="E222" t="inlineStr">
        <is>
          <t>HEBY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25687-2020</t>
        </is>
      </c>
      <c r="B223" s="1" t="n">
        <v>43984</v>
      </c>
      <c r="C223" s="1" t="n">
        <v>45749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26389-2020</t>
        </is>
      </c>
      <c r="B224" s="1" t="n">
        <v>43987</v>
      </c>
      <c r="C224" s="1" t="n">
        <v>45749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30176-2020</t>
        </is>
      </c>
      <c r="B225" s="1" t="n">
        <v>44007</v>
      </c>
      <c r="C225" s="1" t="n">
        <v>45749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31539-2020</t>
        </is>
      </c>
      <c r="B226" s="1" t="n">
        <v>44013</v>
      </c>
      <c r="C226" s="1" t="n">
        <v>45749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33026-2020</t>
        </is>
      </c>
      <c r="B227" s="1" t="n">
        <v>44021</v>
      </c>
      <c r="C227" s="1" t="n">
        <v>45749</v>
      </c>
      <c r="D227" t="inlineStr">
        <is>
          <t>UPPSALA LÄN</t>
        </is>
      </c>
      <c r="E227" t="inlineStr">
        <is>
          <t>HEBY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33545-2020</t>
        </is>
      </c>
      <c r="B228" s="1" t="n">
        <v>44025</v>
      </c>
      <c r="C228" s="1" t="n">
        <v>45749</v>
      </c>
      <c r="D228" t="inlineStr">
        <is>
          <t>UPPSALA LÄN</t>
        </is>
      </c>
      <c r="E228" t="inlineStr">
        <is>
          <t>HEBY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33671-2020</t>
        </is>
      </c>
      <c r="B229" s="1" t="n">
        <v>44026</v>
      </c>
      <c r="C229" s="1" t="n">
        <v>45749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34700-2020</t>
        </is>
      </c>
      <c r="B230" s="1" t="n">
        <v>44035</v>
      </c>
      <c r="C230" s="1" t="n">
        <v>45749</v>
      </c>
      <c r="D230" t="inlineStr">
        <is>
          <t>UPPSALA LÄN</t>
        </is>
      </c>
      <c r="E230" t="inlineStr">
        <is>
          <t>HEBY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34729-2020</t>
        </is>
      </c>
      <c r="B231" s="1" t="n">
        <v>44035</v>
      </c>
      <c r="C231" s="1" t="n">
        <v>45749</v>
      </c>
      <c r="D231" t="inlineStr">
        <is>
          <t>UPPSALA LÄN</t>
        </is>
      </c>
      <c r="E231" t="inlineStr">
        <is>
          <t>HEBY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34697-2020</t>
        </is>
      </c>
      <c r="B232" s="1" t="n">
        <v>44035</v>
      </c>
      <c r="C232" s="1" t="n">
        <v>45749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36061-2020</t>
        </is>
      </c>
      <c r="B233" s="1" t="n">
        <v>44048</v>
      </c>
      <c r="C233" s="1" t="n">
        <v>45749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36075-2020</t>
        </is>
      </c>
      <c r="B234" s="1" t="n">
        <v>44048</v>
      </c>
      <c r="C234" s="1" t="n">
        <v>45749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36939-2020</t>
        </is>
      </c>
      <c r="B235" s="1" t="n">
        <v>44053</v>
      </c>
      <c r="C235" s="1" t="n">
        <v>45749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40803-2020</t>
        </is>
      </c>
      <c r="B236" s="1" t="n">
        <v>44070</v>
      </c>
      <c r="C236" s="1" t="n">
        <v>45749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45497-2020</t>
        </is>
      </c>
      <c r="B237" s="1" t="n">
        <v>44089</v>
      </c>
      <c r="C237" s="1" t="n">
        <v>45749</v>
      </c>
      <c r="D237" t="inlineStr">
        <is>
          <t>UPPSALA LÄN</t>
        </is>
      </c>
      <c r="E237" t="inlineStr">
        <is>
          <t>HEBY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46223-2020</t>
        </is>
      </c>
      <c r="B238" s="1" t="n">
        <v>44092</v>
      </c>
      <c r="C238" s="1" t="n">
        <v>45749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46643-2020</t>
        </is>
      </c>
      <c r="B239" s="1" t="n">
        <v>44095</v>
      </c>
      <c r="C239" s="1" t="n">
        <v>45749</v>
      </c>
      <c r="D239" t="inlineStr">
        <is>
          <t>UPPSALA LÄN</t>
        </is>
      </c>
      <c r="E239" t="inlineStr">
        <is>
          <t>HEBY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47149-2020</t>
        </is>
      </c>
      <c r="B240" s="1" t="n">
        <v>44097</v>
      </c>
      <c r="C240" s="1" t="n">
        <v>45749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47628-2020</t>
        </is>
      </c>
      <c r="B241" s="1" t="n">
        <v>44098</v>
      </c>
      <c r="C241" s="1" t="n">
        <v>45749</v>
      </c>
      <c r="D241" t="inlineStr">
        <is>
          <t>UPPSALA LÄN</t>
        </is>
      </c>
      <c r="E241" t="inlineStr">
        <is>
          <t>HEBY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48181-2020</t>
        </is>
      </c>
      <c r="B242" s="1" t="n">
        <v>44102</v>
      </c>
      <c r="C242" s="1" t="n">
        <v>45749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48548-2020</t>
        </is>
      </c>
      <c r="B243" s="1" t="n">
        <v>44103</v>
      </c>
      <c r="C243" s="1" t="n">
        <v>45749</v>
      </c>
      <c r="D243" t="inlineStr">
        <is>
          <t>UPPSALA LÄN</t>
        </is>
      </c>
      <c r="E243" t="inlineStr">
        <is>
          <t>HEBY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50589-2020</t>
        </is>
      </c>
      <c r="B244" s="1" t="n">
        <v>44110</v>
      </c>
      <c r="C244" s="1" t="n">
        <v>45749</v>
      </c>
      <c r="D244" t="inlineStr">
        <is>
          <t>UPPSALA LÄN</t>
        </is>
      </c>
      <c r="E244" t="inlineStr">
        <is>
          <t>HEBY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51943-2020</t>
        </is>
      </c>
      <c r="B245" s="1" t="n">
        <v>44110</v>
      </c>
      <c r="C245" s="1" t="n">
        <v>45749</v>
      </c>
      <c r="D245" t="inlineStr">
        <is>
          <t>UPPSALA LÄN</t>
        </is>
      </c>
      <c r="E245" t="inlineStr">
        <is>
          <t>HEBY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52182-2020</t>
        </is>
      </c>
      <c r="B246" s="1" t="n">
        <v>44117</v>
      </c>
      <c r="C246" s="1" t="n">
        <v>45749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52243-2020</t>
        </is>
      </c>
      <c r="B247" s="1" t="n">
        <v>44117</v>
      </c>
      <c r="C247" s="1" t="n">
        <v>45749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54698-2020</t>
        </is>
      </c>
      <c r="B248" s="1" t="n">
        <v>44127</v>
      </c>
      <c r="C248" s="1" t="n">
        <v>45749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56317-2020</t>
        </is>
      </c>
      <c r="B249" s="1" t="n">
        <v>44134</v>
      </c>
      <c r="C249" s="1" t="n">
        <v>45749</v>
      </c>
      <c r="D249" t="inlineStr">
        <is>
          <t>UPPSALA LÄN</t>
        </is>
      </c>
      <c r="E249" t="inlineStr">
        <is>
          <t>HEBY</t>
        </is>
      </c>
      <c r="G249" t="n">
        <v>23.4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58080-2020</t>
        </is>
      </c>
      <c r="B250" s="1" t="n">
        <v>44144</v>
      </c>
      <c r="C250" s="1" t="n">
        <v>45749</v>
      </c>
      <c r="D250" t="inlineStr">
        <is>
          <t>UPPSALA LÄN</t>
        </is>
      </c>
      <c r="E250" t="inlineStr">
        <is>
          <t>HEBY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59764-2020</t>
        </is>
      </c>
      <c r="B251" s="1" t="n">
        <v>44151</v>
      </c>
      <c r="C251" s="1" t="n">
        <v>45749</v>
      </c>
      <c r="D251" t="inlineStr">
        <is>
          <t>UPPSALA LÄN</t>
        </is>
      </c>
      <c r="E251" t="inlineStr">
        <is>
          <t>HEBY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61616-2020</t>
        </is>
      </c>
      <c r="B252" s="1" t="n">
        <v>44158</v>
      </c>
      <c r="C252" s="1" t="n">
        <v>45749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62330-2020</t>
        </is>
      </c>
      <c r="B253" s="1" t="n">
        <v>44160</v>
      </c>
      <c r="C253" s="1" t="n">
        <v>45749</v>
      </c>
      <c r="D253" t="inlineStr">
        <is>
          <t>UPPSALA LÄN</t>
        </is>
      </c>
      <c r="E253" t="inlineStr">
        <is>
          <t>HEBY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62765-2020</t>
        </is>
      </c>
      <c r="B254" s="1" t="n">
        <v>44161</v>
      </c>
      <c r="C254" s="1" t="n">
        <v>45749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69076-2020</t>
        </is>
      </c>
      <c r="B255" s="1" t="n">
        <v>44188</v>
      </c>
      <c r="C255" s="1" t="n">
        <v>45749</v>
      </c>
      <c r="D255" t="inlineStr">
        <is>
          <t>UPPSALA LÄN</t>
        </is>
      </c>
      <c r="E255" t="inlineStr">
        <is>
          <t>HEBY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69468-2020</t>
        </is>
      </c>
      <c r="B256" s="1" t="n">
        <v>44193</v>
      </c>
      <c r="C256" s="1" t="n">
        <v>45749</v>
      </c>
      <c r="D256" t="inlineStr">
        <is>
          <t>UPPSALA LÄN</t>
        </is>
      </c>
      <c r="E256" t="inlineStr">
        <is>
          <t>HEBY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798-2021</t>
        </is>
      </c>
      <c r="B257" s="1" t="n">
        <v>44204</v>
      </c>
      <c r="C257" s="1" t="n">
        <v>45749</v>
      </c>
      <c r="D257" t="inlineStr">
        <is>
          <t>UPPSALA LÄN</t>
        </is>
      </c>
      <c r="E257" t="inlineStr">
        <is>
          <t>HEBY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4821-2021</t>
        </is>
      </c>
      <c r="B258" s="1" t="n">
        <v>44225</v>
      </c>
      <c r="C258" s="1" t="n">
        <v>45749</v>
      </c>
      <c r="D258" t="inlineStr">
        <is>
          <t>UPPSALA LÄN</t>
        </is>
      </c>
      <c r="E258" t="inlineStr">
        <is>
          <t>HEBY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5117-2021</t>
        </is>
      </c>
      <c r="B259" s="1" t="n">
        <v>44228</v>
      </c>
      <c r="C259" s="1" t="n">
        <v>45749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5875-2021</t>
        </is>
      </c>
      <c r="B260" s="1" t="n">
        <v>44231</v>
      </c>
      <c r="C260" s="1" t="n">
        <v>45749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6142-2021</t>
        </is>
      </c>
      <c r="B261" s="1" t="n">
        <v>44232</v>
      </c>
      <c r="C261" s="1" t="n">
        <v>45749</v>
      </c>
      <c r="D261" t="inlineStr">
        <is>
          <t>UPPSALA LÄN</t>
        </is>
      </c>
      <c r="E261" t="inlineStr">
        <is>
          <t>HEBY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6151-2021</t>
        </is>
      </c>
      <c r="B262" s="1" t="n">
        <v>44232</v>
      </c>
      <c r="C262" s="1" t="n">
        <v>45749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6186-2021</t>
        </is>
      </c>
      <c r="B263" s="1" t="n">
        <v>44233</v>
      </c>
      <c r="C263" s="1" t="n">
        <v>45749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45749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7165-2021</t>
        </is>
      </c>
      <c r="B265" s="1" t="n">
        <v>44238</v>
      </c>
      <c r="C265" s="1" t="n">
        <v>45749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7195-2021</t>
        </is>
      </c>
      <c r="B266" s="1" t="n">
        <v>44238</v>
      </c>
      <c r="C266" s="1" t="n">
        <v>45749</v>
      </c>
      <c r="D266" t="inlineStr">
        <is>
          <t>UPPSALA LÄN</t>
        </is>
      </c>
      <c r="E266" t="inlineStr">
        <is>
          <t>HEBY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7282-2021</t>
        </is>
      </c>
      <c r="B267" s="1" t="n">
        <v>44238</v>
      </c>
      <c r="C267" s="1" t="n">
        <v>45749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7803-2021</t>
        </is>
      </c>
      <c r="B268" s="1" t="n">
        <v>44242</v>
      </c>
      <c r="C268" s="1" t="n">
        <v>45749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9010-2021</t>
        </is>
      </c>
      <c r="B269" s="1" t="n">
        <v>44249</v>
      </c>
      <c r="C269" s="1" t="n">
        <v>45749</v>
      </c>
      <c r="D269" t="inlineStr">
        <is>
          <t>UPPSALA LÄN</t>
        </is>
      </c>
      <c r="E269" t="inlineStr">
        <is>
          <t>HEBY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9230-2021</t>
        </is>
      </c>
      <c r="B270" s="1" t="n">
        <v>44250</v>
      </c>
      <c r="C270" s="1" t="n">
        <v>45749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10734-2021</t>
        </is>
      </c>
      <c r="B271" s="1" t="n">
        <v>44259</v>
      </c>
      <c r="C271" s="1" t="n">
        <v>45749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11090-2021</t>
        </is>
      </c>
      <c r="B272" s="1" t="n">
        <v>44260</v>
      </c>
      <c r="C272" s="1" t="n">
        <v>45749</v>
      </c>
      <c r="D272" t="inlineStr">
        <is>
          <t>UPPSALA LÄN</t>
        </is>
      </c>
      <c r="E272" t="inlineStr">
        <is>
          <t>HEBY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11314-2021</t>
        </is>
      </c>
      <c r="B273" s="1" t="n">
        <v>44263</v>
      </c>
      <c r="C273" s="1" t="n">
        <v>45749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11675-2021</t>
        </is>
      </c>
      <c r="B274" s="1" t="n">
        <v>44264</v>
      </c>
      <c r="C274" s="1" t="n">
        <v>45749</v>
      </c>
      <c r="D274" t="inlineStr">
        <is>
          <t>UPPSALA LÄN</t>
        </is>
      </c>
      <c r="E274" t="inlineStr">
        <is>
          <t>HEBY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13126-2021</t>
        </is>
      </c>
      <c r="B275" s="1" t="n">
        <v>44272</v>
      </c>
      <c r="C275" s="1" t="n">
        <v>45749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13098-2021</t>
        </is>
      </c>
      <c r="B276" s="1" t="n">
        <v>44272</v>
      </c>
      <c r="C276" s="1" t="n">
        <v>45749</v>
      </c>
      <c r="D276" t="inlineStr">
        <is>
          <t>UPPSALA LÄN</t>
        </is>
      </c>
      <c r="E276" t="inlineStr">
        <is>
          <t>HEBY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13131-2021</t>
        </is>
      </c>
      <c r="B277" s="1" t="n">
        <v>44272</v>
      </c>
      <c r="C277" s="1" t="n">
        <v>45749</v>
      </c>
      <c r="D277" t="inlineStr">
        <is>
          <t>UPPSALA LÄN</t>
        </is>
      </c>
      <c r="E277" t="inlineStr">
        <is>
          <t>HEBY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13046-2021</t>
        </is>
      </c>
      <c r="B278" s="1" t="n">
        <v>44272</v>
      </c>
      <c r="C278" s="1" t="n">
        <v>45749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14306-2021</t>
        </is>
      </c>
      <c r="B279" s="1" t="n">
        <v>44278</v>
      </c>
      <c r="C279" s="1" t="n">
        <v>45749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14386-2021</t>
        </is>
      </c>
      <c r="B280" s="1" t="n">
        <v>44279</v>
      </c>
      <c r="C280" s="1" t="n">
        <v>45749</v>
      </c>
      <c r="D280" t="inlineStr">
        <is>
          <t>UPPSALA LÄN</t>
        </is>
      </c>
      <c r="E280" t="inlineStr">
        <is>
          <t>HEBY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14843-2021</t>
        </is>
      </c>
      <c r="B281" s="1" t="n">
        <v>44280</v>
      </c>
      <c r="C281" s="1" t="n">
        <v>45749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15481-2021</t>
        </is>
      </c>
      <c r="B282" s="1" t="n">
        <v>44285</v>
      </c>
      <c r="C282" s="1" t="n">
        <v>45749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15485-2021</t>
        </is>
      </c>
      <c r="B283" s="1" t="n">
        <v>44285</v>
      </c>
      <c r="C283" s="1" t="n">
        <v>45749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16043-2021</t>
        </is>
      </c>
      <c r="B284" s="1" t="n">
        <v>44287</v>
      </c>
      <c r="C284" s="1" t="n">
        <v>45749</v>
      </c>
      <c r="D284" t="inlineStr">
        <is>
          <t>UPPSALA LÄN</t>
        </is>
      </c>
      <c r="E284" t="inlineStr">
        <is>
          <t>HEBY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16463-2021</t>
        </is>
      </c>
      <c r="B285" s="1" t="n">
        <v>44292</v>
      </c>
      <c r="C285" s="1" t="n">
        <v>45749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16494-2021</t>
        </is>
      </c>
      <c r="B286" s="1" t="n">
        <v>44293</v>
      </c>
      <c r="C286" s="1" t="n">
        <v>45749</v>
      </c>
      <c r="D286" t="inlineStr">
        <is>
          <t>UPPSALA LÄN</t>
        </is>
      </c>
      <c r="E286" t="inlineStr">
        <is>
          <t>HEBY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17580-2021</t>
        </is>
      </c>
      <c r="B287" s="1" t="n">
        <v>44299</v>
      </c>
      <c r="C287" s="1" t="n">
        <v>45749</v>
      </c>
      <c r="D287" t="inlineStr">
        <is>
          <t>UPPSALA LÄN</t>
        </is>
      </c>
      <c r="E287" t="inlineStr">
        <is>
          <t>HEBY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17747-2021</t>
        </is>
      </c>
      <c r="B288" s="1" t="n">
        <v>44300</v>
      </c>
      <c r="C288" s="1" t="n">
        <v>45749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18982-2021</t>
        </is>
      </c>
      <c r="B289" s="1" t="n">
        <v>44308</v>
      </c>
      <c r="C289" s="1" t="n">
        <v>45749</v>
      </c>
      <c r="D289" t="inlineStr">
        <is>
          <t>UPPSALA LÄN</t>
        </is>
      </c>
      <c r="E289" t="inlineStr">
        <is>
          <t>HEBY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19268-2021</t>
        </is>
      </c>
      <c r="B290" s="1" t="n">
        <v>44309</v>
      </c>
      <c r="C290" s="1" t="n">
        <v>45749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20024-2021</t>
        </is>
      </c>
      <c r="B291" s="1" t="n">
        <v>44314</v>
      </c>
      <c r="C291" s="1" t="n">
        <v>45749</v>
      </c>
      <c r="D291" t="inlineStr">
        <is>
          <t>UPPSALA LÄN</t>
        </is>
      </c>
      <c r="E291" t="inlineStr">
        <is>
          <t>HEBY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20230-2021</t>
        </is>
      </c>
      <c r="B292" s="1" t="n">
        <v>44314</v>
      </c>
      <c r="C292" s="1" t="n">
        <v>45749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20301-2021</t>
        </is>
      </c>
      <c r="B293" s="1" t="n">
        <v>44315</v>
      </c>
      <c r="C293" s="1" t="n">
        <v>45749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23637-2021</t>
        </is>
      </c>
      <c r="B294" s="1" t="n">
        <v>44334</v>
      </c>
      <c r="C294" s="1" t="n">
        <v>45749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25203-2021</t>
        </is>
      </c>
      <c r="B295" s="1" t="n">
        <v>44342</v>
      </c>
      <c r="C295" s="1" t="n">
        <v>45749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26789-2021</t>
        </is>
      </c>
      <c r="B296" s="1" t="n">
        <v>44349</v>
      </c>
      <c r="C296" s="1" t="n">
        <v>45749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27295-2021</t>
        </is>
      </c>
      <c r="B297" s="1" t="n">
        <v>44351</v>
      </c>
      <c r="C297" s="1" t="n">
        <v>45749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27650-2021</t>
        </is>
      </c>
      <c r="B298" s="1" t="n">
        <v>44354</v>
      </c>
      <c r="C298" s="1" t="n">
        <v>45749</v>
      </c>
      <c r="D298" t="inlineStr">
        <is>
          <t>UPPSALA LÄN</t>
        </is>
      </c>
      <c r="E298" t="inlineStr">
        <is>
          <t>HEBY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28777-2021</t>
        </is>
      </c>
      <c r="B299" s="1" t="n">
        <v>44357</v>
      </c>
      <c r="C299" s="1" t="n">
        <v>45749</v>
      </c>
      <c r="D299" t="inlineStr">
        <is>
          <t>UPPSALA LÄN</t>
        </is>
      </c>
      <c r="E299" t="inlineStr">
        <is>
          <t>HEBY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29231-2021</t>
        </is>
      </c>
      <c r="B300" s="1" t="n">
        <v>44360</v>
      </c>
      <c r="C300" s="1" t="n">
        <v>45749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29777-2021</t>
        </is>
      </c>
      <c r="B301" s="1" t="n">
        <v>44362</v>
      </c>
      <c r="C301" s="1" t="n">
        <v>45749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30304-2021</t>
        </is>
      </c>
      <c r="B302" s="1" t="n">
        <v>44364</v>
      </c>
      <c r="C302" s="1" t="n">
        <v>45749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30297-2021</t>
        </is>
      </c>
      <c r="B303" s="1" t="n">
        <v>44364</v>
      </c>
      <c r="C303" s="1" t="n">
        <v>45749</v>
      </c>
      <c r="D303" t="inlineStr">
        <is>
          <t>UPPSALA LÄN</t>
        </is>
      </c>
      <c r="E303" t="inlineStr">
        <is>
          <t>HEBY</t>
        </is>
      </c>
      <c r="F303" t="inlineStr">
        <is>
          <t>Övriga Aktiebolag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30293-2021</t>
        </is>
      </c>
      <c r="B304" s="1" t="n">
        <v>44364</v>
      </c>
      <c r="C304" s="1" t="n">
        <v>45749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31108-2021</t>
        </is>
      </c>
      <c r="B305" s="1" t="n">
        <v>44368</v>
      </c>
      <c r="C305" s="1" t="n">
        <v>45749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31113-2021</t>
        </is>
      </c>
      <c r="B306" s="1" t="n">
        <v>44368</v>
      </c>
      <c r="C306" s="1" t="n">
        <v>45749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31283-2021</t>
        </is>
      </c>
      <c r="B307" s="1" t="n">
        <v>44368</v>
      </c>
      <c r="C307" s="1" t="n">
        <v>45749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32221-2021</t>
        </is>
      </c>
      <c r="B308" s="1" t="n">
        <v>44371</v>
      </c>
      <c r="C308" s="1" t="n">
        <v>45749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34494-2021</t>
        </is>
      </c>
      <c r="B309" s="1" t="n">
        <v>44382</v>
      </c>
      <c r="C309" s="1" t="n">
        <v>45749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36085-2021</t>
        </is>
      </c>
      <c r="B310" s="1" t="n">
        <v>44389</v>
      </c>
      <c r="C310" s="1" t="n">
        <v>45749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36475-2021</t>
        </is>
      </c>
      <c r="B311" s="1" t="n">
        <v>44390</v>
      </c>
      <c r="C311" s="1" t="n">
        <v>45749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36494-2021</t>
        </is>
      </c>
      <c r="B312" s="1" t="n">
        <v>44391</v>
      </c>
      <c r="C312" s="1" t="n">
        <v>45749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38050-2021</t>
        </is>
      </c>
      <c r="B313" s="1" t="n">
        <v>44404</v>
      </c>
      <c r="C313" s="1" t="n">
        <v>45749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38051-2021</t>
        </is>
      </c>
      <c r="B314" s="1" t="n">
        <v>44404</v>
      </c>
      <c r="C314" s="1" t="n">
        <v>45749</v>
      </c>
      <c r="D314" t="inlineStr">
        <is>
          <t>UPPSALA LÄN</t>
        </is>
      </c>
      <c r="E314" t="inlineStr">
        <is>
          <t>HEBY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37980-2021</t>
        </is>
      </c>
      <c r="B315" s="1" t="n">
        <v>44404</v>
      </c>
      <c r="C315" s="1" t="n">
        <v>45749</v>
      </c>
      <c r="D315" t="inlineStr">
        <is>
          <t>UPPSALA LÄN</t>
        </is>
      </c>
      <c r="E315" t="inlineStr">
        <is>
          <t>HEBY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38049-2021</t>
        </is>
      </c>
      <c r="B316" s="1" t="n">
        <v>44404</v>
      </c>
      <c r="C316" s="1" t="n">
        <v>45749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38203-2021</t>
        </is>
      </c>
      <c r="B317" s="1" t="n">
        <v>44405</v>
      </c>
      <c r="C317" s="1" t="n">
        <v>45749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38859-2021</t>
        </is>
      </c>
      <c r="B318" s="1" t="n">
        <v>44411</v>
      </c>
      <c r="C318" s="1" t="n">
        <v>45749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40184-2021</t>
        </is>
      </c>
      <c r="B319" s="1" t="n">
        <v>44418</v>
      </c>
      <c r="C319" s="1" t="n">
        <v>45749</v>
      </c>
      <c r="D319" t="inlineStr">
        <is>
          <t>UPPSALA LÄN</t>
        </is>
      </c>
      <c r="E319" t="inlineStr">
        <is>
          <t>HEBY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42987-2021</t>
        </is>
      </c>
      <c r="B320" s="1" t="n">
        <v>44431</v>
      </c>
      <c r="C320" s="1" t="n">
        <v>45749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43307-2021</t>
        </is>
      </c>
      <c r="B321" s="1" t="n">
        <v>44431</v>
      </c>
      <c r="C321" s="1" t="n">
        <v>45749</v>
      </c>
      <c r="D321" t="inlineStr">
        <is>
          <t>UPPSALA LÄN</t>
        </is>
      </c>
      <c r="E321" t="inlineStr">
        <is>
          <t>HEBY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43179-2021</t>
        </is>
      </c>
      <c r="B322" s="1" t="n">
        <v>44431</v>
      </c>
      <c r="C322" s="1" t="n">
        <v>45749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43714-2021</t>
        </is>
      </c>
      <c r="B323" s="1" t="n">
        <v>44433</v>
      </c>
      <c r="C323" s="1" t="n">
        <v>45749</v>
      </c>
      <c r="D323" t="inlineStr">
        <is>
          <t>UPPSALA LÄN</t>
        </is>
      </c>
      <c r="E323" t="inlineStr">
        <is>
          <t>HEBY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43957-2021</t>
        </is>
      </c>
      <c r="B324" s="1" t="n">
        <v>44434</v>
      </c>
      <c r="C324" s="1" t="n">
        <v>45749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44464-2021</t>
        </is>
      </c>
      <c r="B325" s="1" t="n">
        <v>44435</v>
      </c>
      <c r="C325" s="1" t="n">
        <v>45749</v>
      </c>
      <c r="D325" t="inlineStr">
        <is>
          <t>UPPSALA LÄN</t>
        </is>
      </c>
      <c r="E325" t="inlineStr">
        <is>
          <t>HEBY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45964-2021</t>
        </is>
      </c>
      <c r="B326" s="1" t="n">
        <v>44441</v>
      </c>
      <c r="C326" s="1" t="n">
        <v>45749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46560-2021</t>
        </is>
      </c>
      <c r="B327" s="1" t="n">
        <v>44445</v>
      </c>
      <c r="C327" s="1" t="n">
        <v>45749</v>
      </c>
      <c r="D327" t="inlineStr">
        <is>
          <t>UPPSALA LÄN</t>
        </is>
      </c>
      <c r="E327" t="inlineStr">
        <is>
          <t>HEBY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48759-2021</t>
        </is>
      </c>
      <c r="B328" s="1" t="n">
        <v>44452</v>
      </c>
      <c r="C328" s="1" t="n">
        <v>45749</v>
      </c>
      <c r="D328" t="inlineStr">
        <is>
          <t>UPPSALA LÄN</t>
        </is>
      </c>
      <c r="E328" t="inlineStr">
        <is>
          <t>HEBY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49352-2021</t>
        </is>
      </c>
      <c r="B329" s="1" t="n">
        <v>44454</v>
      </c>
      <c r="C329" s="1" t="n">
        <v>45749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50541-2021</t>
        </is>
      </c>
      <c r="B330" s="1" t="n">
        <v>44459</v>
      </c>
      <c r="C330" s="1" t="n">
        <v>45749</v>
      </c>
      <c r="D330" t="inlineStr">
        <is>
          <t>UPPSALA LÄN</t>
        </is>
      </c>
      <c r="E330" t="inlineStr">
        <is>
          <t>HEBY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50546-2021</t>
        </is>
      </c>
      <c r="B331" s="1" t="n">
        <v>44459</v>
      </c>
      <c r="C331" s="1" t="n">
        <v>45749</v>
      </c>
      <c r="D331" t="inlineStr">
        <is>
          <t>UPPSALA LÄN</t>
        </is>
      </c>
      <c r="E331" t="inlineStr">
        <is>
          <t>HEBY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52424-2021</t>
        </is>
      </c>
      <c r="B332" s="1" t="n">
        <v>44466</v>
      </c>
      <c r="C332" s="1" t="n">
        <v>45749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53067-2021</t>
        </is>
      </c>
      <c r="B333" s="1" t="n">
        <v>44467</v>
      </c>
      <c r="C333" s="1" t="n">
        <v>45749</v>
      </c>
      <c r="D333" t="inlineStr">
        <is>
          <t>UPPSALA LÄN</t>
        </is>
      </c>
      <c r="E333" t="inlineStr">
        <is>
          <t>HEBY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56138-2021</t>
        </is>
      </c>
      <c r="B334" s="1" t="n">
        <v>44477</v>
      </c>
      <c r="C334" s="1" t="n">
        <v>45749</v>
      </c>
      <c r="D334" t="inlineStr">
        <is>
          <t>UPPSALA LÄN</t>
        </is>
      </c>
      <c r="E334" t="inlineStr">
        <is>
          <t>HEBY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56302-2021</t>
        </is>
      </c>
      <c r="B335" s="1" t="n">
        <v>44477</v>
      </c>
      <c r="C335" s="1" t="n">
        <v>45749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56376-2021</t>
        </is>
      </c>
      <c r="B336" s="1" t="n">
        <v>44480</v>
      </c>
      <c r="C336" s="1" t="n">
        <v>45749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56352-2021</t>
        </is>
      </c>
      <c r="B337" s="1" t="n">
        <v>44480</v>
      </c>
      <c r="C337" s="1" t="n">
        <v>45749</v>
      </c>
      <c r="D337" t="inlineStr">
        <is>
          <t>UPPSALA LÄN</t>
        </is>
      </c>
      <c r="E337" t="inlineStr">
        <is>
          <t>HEBY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56578-2021</t>
        </is>
      </c>
      <c r="B338" s="1" t="n">
        <v>44480</v>
      </c>
      <c r="C338" s="1" t="n">
        <v>45749</v>
      </c>
      <c r="D338" t="inlineStr">
        <is>
          <t>UPPSALA LÄN</t>
        </is>
      </c>
      <c r="E338" t="inlineStr">
        <is>
          <t>HEBY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59486-2021</t>
        </is>
      </c>
      <c r="B339" s="1" t="n">
        <v>44491</v>
      </c>
      <c r="C339" s="1" t="n">
        <v>45749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59599-2021</t>
        </is>
      </c>
      <c r="B340" s="1" t="n">
        <v>44491</v>
      </c>
      <c r="C340" s="1" t="n">
        <v>45749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60295-2021</t>
        </is>
      </c>
      <c r="B341" s="1" t="n">
        <v>44495</v>
      </c>
      <c r="C341" s="1" t="n">
        <v>45749</v>
      </c>
      <c r="D341" t="inlineStr">
        <is>
          <t>UPPSALA LÄN</t>
        </is>
      </c>
      <c r="E341" t="inlineStr">
        <is>
          <t>HEBY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62764-2021</t>
        </is>
      </c>
      <c r="B342" s="1" t="n">
        <v>44504</v>
      </c>
      <c r="C342" s="1" t="n">
        <v>45749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63393-2021</t>
        </is>
      </c>
      <c r="B343" s="1" t="n">
        <v>44508</v>
      </c>
      <c r="C343" s="1" t="n">
        <v>45749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63501-2021</t>
        </is>
      </c>
      <c r="B344" s="1" t="n">
        <v>44508</v>
      </c>
      <c r="C344" s="1" t="n">
        <v>45749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63826-2021</t>
        </is>
      </c>
      <c r="B345" s="1" t="n">
        <v>44509</v>
      </c>
      <c r="C345" s="1" t="n">
        <v>45749</v>
      </c>
      <c r="D345" t="inlineStr">
        <is>
          <t>UPPSALA LÄN</t>
        </is>
      </c>
      <c r="E345" t="inlineStr">
        <is>
          <t>HEBY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63959-2021</t>
        </is>
      </c>
      <c r="B346" s="1" t="n">
        <v>44509</v>
      </c>
      <c r="C346" s="1" t="n">
        <v>45749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63955-2021</t>
        </is>
      </c>
      <c r="B347" s="1" t="n">
        <v>44509</v>
      </c>
      <c r="C347" s="1" t="n">
        <v>45749</v>
      </c>
      <c r="D347" t="inlineStr">
        <is>
          <t>UPPSALA LÄN</t>
        </is>
      </c>
      <c r="E347" t="inlineStr">
        <is>
          <t>HEBY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64364-2021</t>
        </is>
      </c>
      <c r="B348" s="1" t="n">
        <v>44511</v>
      </c>
      <c r="C348" s="1" t="n">
        <v>45749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64413-2021</t>
        </is>
      </c>
      <c r="B349" s="1" t="n">
        <v>44511</v>
      </c>
      <c r="C349" s="1" t="n">
        <v>45749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64771-2021</t>
        </is>
      </c>
      <c r="B350" s="1" t="n">
        <v>44512</v>
      </c>
      <c r="C350" s="1" t="n">
        <v>45749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64899-2021</t>
        </is>
      </c>
      <c r="B351" s="1" t="n">
        <v>44512</v>
      </c>
      <c r="C351" s="1" t="n">
        <v>45749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65626-2021</t>
        </is>
      </c>
      <c r="B352" s="1" t="n">
        <v>44516</v>
      </c>
      <c r="C352" s="1" t="n">
        <v>45749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65623-2021</t>
        </is>
      </c>
      <c r="B353" s="1" t="n">
        <v>44516</v>
      </c>
      <c r="C353" s="1" t="n">
        <v>45749</v>
      </c>
      <c r="D353" t="inlineStr">
        <is>
          <t>UPPSALA LÄN</t>
        </is>
      </c>
      <c r="E353" t="inlineStr">
        <is>
          <t>HEBY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65631-2021</t>
        </is>
      </c>
      <c r="B354" s="1" t="n">
        <v>44516</v>
      </c>
      <c r="C354" s="1" t="n">
        <v>45749</v>
      </c>
      <c r="D354" t="inlineStr">
        <is>
          <t>UPPSALA LÄN</t>
        </is>
      </c>
      <c r="E354" t="inlineStr">
        <is>
          <t>HEBY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66029-2021</t>
        </is>
      </c>
      <c r="B355" s="1" t="n">
        <v>44517</v>
      </c>
      <c r="C355" s="1" t="n">
        <v>45749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66055-2021</t>
        </is>
      </c>
      <c r="B356" s="1" t="n">
        <v>44517</v>
      </c>
      <c r="C356" s="1" t="n">
        <v>45749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66025-2021</t>
        </is>
      </c>
      <c r="B357" s="1" t="n">
        <v>44517</v>
      </c>
      <c r="C357" s="1" t="n">
        <v>45749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66519-2021</t>
        </is>
      </c>
      <c r="B358" s="1" t="n">
        <v>44519</v>
      </c>
      <c r="C358" s="1" t="n">
        <v>45749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66517-2021</t>
        </is>
      </c>
      <c r="B359" s="1" t="n">
        <v>44519</v>
      </c>
      <c r="C359" s="1" t="n">
        <v>45749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66521-2021</t>
        </is>
      </c>
      <c r="B360" s="1" t="n">
        <v>44519</v>
      </c>
      <c r="C360" s="1" t="n">
        <v>45749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66818-2021</t>
        </is>
      </c>
      <c r="B361" s="1" t="n">
        <v>44522</v>
      </c>
      <c r="C361" s="1" t="n">
        <v>45749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66873-2021</t>
        </is>
      </c>
      <c r="B362" s="1" t="n">
        <v>44522</v>
      </c>
      <c r="C362" s="1" t="n">
        <v>45749</v>
      </c>
      <c r="D362" t="inlineStr">
        <is>
          <t>UPPSALA LÄN</t>
        </is>
      </c>
      <c r="E362" t="inlineStr">
        <is>
          <t>HEBY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67664-2021</t>
        </is>
      </c>
      <c r="B363" s="1" t="n">
        <v>44524</v>
      </c>
      <c r="C363" s="1" t="n">
        <v>45749</v>
      </c>
      <c r="D363" t="inlineStr">
        <is>
          <t>UPPSALA LÄN</t>
        </is>
      </c>
      <c r="E363" t="inlineStr">
        <is>
          <t>HEBY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68236-2021</t>
        </is>
      </c>
      <c r="B364" s="1" t="n">
        <v>44526</v>
      </c>
      <c r="C364" s="1" t="n">
        <v>45749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68520-2021</t>
        </is>
      </c>
      <c r="B365" s="1" t="n">
        <v>44529</v>
      </c>
      <c r="C365" s="1" t="n">
        <v>45749</v>
      </c>
      <c r="D365" t="inlineStr">
        <is>
          <t>UPPSALA LÄN</t>
        </is>
      </c>
      <c r="E365" t="inlineStr">
        <is>
          <t>HEBY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68585-2021</t>
        </is>
      </c>
      <c r="B366" s="1" t="n">
        <v>44529</v>
      </c>
      <c r="C366" s="1" t="n">
        <v>45749</v>
      </c>
      <c r="D366" t="inlineStr">
        <is>
          <t>UPPSALA LÄN</t>
        </is>
      </c>
      <c r="E366" t="inlineStr">
        <is>
          <t>HEBY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69377-2021</t>
        </is>
      </c>
      <c r="B367" s="1" t="n">
        <v>44531</v>
      </c>
      <c r="C367" s="1" t="n">
        <v>45749</v>
      </c>
      <c r="D367" t="inlineStr">
        <is>
          <t>UPPSALA LÄN</t>
        </is>
      </c>
      <c r="E367" t="inlineStr">
        <is>
          <t>HEBY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69597-2021</t>
        </is>
      </c>
      <c r="B368" s="1" t="n">
        <v>44532</v>
      </c>
      <c r="C368" s="1" t="n">
        <v>45749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70158-2021</t>
        </is>
      </c>
      <c r="B369" s="1" t="n">
        <v>44533</v>
      </c>
      <c r="C369" s="1" t="n">
        <v>45749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70154-2021</t>
        </is>
      </c>
      <c r="B370" s="1" t="n">
        <v>44533</v>
      </c>
      <c r="C370" s="1" t="n">
        <v>45749</v>
      </c>
      <c r="D370" t="inlineStr">
        <is>
          <t>UPPSALA LÄN</t>
        </is>
      </c>
      <c r="E370" t="inlineStr">
        <is>
          <t>HEBY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70976-2021</t>
        </is>
      </c>
      <c r="B371" s="1" t="n">
        <v>44538</v>
      </c>
      <c r="C371" s="1" t="n">
        <v>45749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72180-2021</t>
        </is>
      </c>
      <c r="B372" s="1" t="n">
        <v>44543</v>
      </c>
      <c r="C372" s="1" t="n">
        <v>45749</v>
      </c>
      <c r="D372" t="inlineStr">
        <is>
          <t>UPPSALA LÄN</t>
        </is>
      </c>
      <c r="E372" t="inlineStr">
        <is>
          <t>HEBY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72179-2021</t>
        </is>
      </c>
      <c r="B373" s="1" t="n">
        <v>44544</v>
      </c>
      <c r="C373" s="1" t="n">
        <v>45749</v>
      </c>
      <c r="D373" t="inlineStr">
        <is>
          <t>UPPSALA LÄN</t>
        </is>
      </c>
      <c r="E373" t="inlineStr">
        <is>
          <t>HEBY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72260-2021</t>
        </is>
      </c>
      <c r="B374" s="1" t="n">
        <v>44545</v>
      </c>
      <c r="C374" s="1" t="n">
        <v>45749</v>
      </c>
      <c r="D374" t="inlineStr">
        <is>
          <t>UPPSALA LÄN</t>
        </is>
      </c>
      <c r="E374" t="inlineStr">
        <is>
          <t>HEBY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73238-2021</t>
        </is>
      </c>
      <c r="B375" s="1" t="n">
        <v>44550</v>
      </c>
      <c r="C375" s="1" t="n">
        <v>45749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73385-2021</t>
        </is>
      </c>
      <c r="B376" s="1" t="n">
        <v>44551</v>
      </c>
      <c r="C376" s="1" t="n">
        <v>45749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73622-2021</t>
        </is>
      </c>
      <c r="B377" s="1" t="n">
        <v>44552</v>
      </c>
      <c r="C377" s="1" t="n">
        <v>45749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74215-2021</t>
        </is>
      </c>
      <c r="B378" s="1" t="n">
        <v>44558</v>
      </c>
      <c r="C378" s="1" t="n">
        <v>45749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312-2022</t>
        </is>
      </c>
      <c r="B379" s="1" t="n">
        <v>44565</v>
      </c>
      <c r="C379" s="1" t="n">
        <v>45749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279-2022</t>
        </is>
      </c>
      <c r="B380" s="1" t="n">
        <v>44565</v>
      </c>
      <c r="C380" s="1" t="n">
        <v>45749</v>
      </c>
      <c r="D380" t="inlineStr">
        <is>
          <t>UPPSALA LÄN</t>
        </is>
      </c>
      <c r="E380" t="inlineStr">
        <is>
          <t>HEBY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963-2022</t>
        </is>
      </c>
      <c r="B381" s="1" t="n">
        <v>44568</v>
      </c>
      <c r="C381" s="1" t="n">
        <v>45749</v>
      </c>
      <c r="D381" t="inlineStr">
        <is>
          <t>UPPSALA LÄN</t>
        </is>
      </c>
      <c r="E381" t="inlineStr">
        <is>
          <t>HEBY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1462-2022</t>
        </is>
      </c>
      <c r="B382" s="1" t="n">
        <v>44573</v>
      </c>
      <c r="C382" s="1" t="n">
        <v>45749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1755-2022</t>
        </is>
      </c>
      <c r="B383" s="1" t="n">
        <v>44574</v>
      </c>
      <c r="C383" s="1" t="n">
        <v>45749</v>
      </c>
      <c r="D383" t="inlineStr">
        <is>
          <t>UPPSALA LÄN</t>
        </is>
      </c>
      <c r="E383" t="inlineStr">
        <is>
          <t>HEBY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1752-2022</t>
        </is>
      </c>
      <c r="B384" s="1" t="n">
        <v>44574</v>
      </c>
      <c r="C384" s="1" t="n">
        <v>45749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1760-2022</t>
        </is>
      </c>
      <c r="B385" s="1" t="n">
        <v>44574</v>
      </c>
      <c r="C385" s="1" t="n">
        <v>45749</v>
      </c>
      <c r="D385" t="inlineStr">
        <is>
          <t>UPPSALA LÄN</t>
        </is>
      </c>
      <c r="E385" t="inlineStr">
        <is>
          <t>HEBY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2128-2022</t>
        </is>
      </c>
      <c r="B386" s="1" t="n">
        <v>44578</v>
      </c>
      <c r="C386" s="1" t="n">
        <v>45749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3496-2022</t>
        </is>
      </c>
      <c r="B387" s="1" t="n">
        <v>44585</v>
      </c>
      <c r="C387" s="1" t="n">
        <v>45749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3574-2022</t>
        </is>
      </c>
      <c r="B388" s="1" t="n">
        <v>44586</v>
      </c>
      <c r="C388" s="1" t="n">
        <v>45749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3641-2022</t>
        </is>
      </c>
      <c r="B389" s="1" t="n">
        <v>44586</v>
      </c>
      <c r="C389" s="1" t="n">
        <v>45749</v>
      </c>
      <c r="D389" t="inlineStr">
        <is>
          <t>UPPSALA LÄN</t>
        </is>
      </c>
      <c r="E389" t="inlineStr">
        <is>
          <t>HEBY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3988-2022</t>
        </is>
      </c>
      <c r="B390" s="1" t="n">
        <v>44587</v>
      </c>
      <c r="C390" s="1" t="n">
        <v>45749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5161-2022</t>
        </is>
      </c>
      <c r="B391" s="1" t="n">
        <v>44594</v>
      </c>
      <c r="C391" s="1" t="n">
        <v>45749</v>
      </c>
      <c r="D391" t="inlineStr">
        <is>
          <t>UPPSALA LÄN</t>
        </is>
      </c>
      <c r="E391" t="inlineStr">
        <is>
          <t>HEBY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5589-2022</t>
        </is>
      </c>
      <c r="B392" s="1" t="n">
        <v>44595</v>
      </c>
      <c r="C392" s="1" t="n">
        <v>45749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6044-2022</t>
        </is>
      </c>
      <c r="B393" s="1" t="n">
        <v>44599</v>
      </c>
      <c r="C393" s="1" t="n">
        <v>45749</v>
      </c>
      <c r="D393" t="inlineStr">
        <is>
          <t>UPPSALA LÄN</t>
        </is>
      </c>
      <c r="E393" t="inlineStr">
        <is>
          <t>HEBY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6523-2022</t>
        </is>
      </c>
      <c r="B394" s="1" t="n">
        <v>44601</v>
      </c>
      <c r="C394" s="1" t="n">
        <v>45749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6866-2022</t>
        </is>
      </c>
      <c r="B395" s="1" t="n">
        <v>44602</v>
      </c>
      <c r="C395" s="1" t="n">
        <v>45749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8169-2022</t>
        </is>
      </c>
      <c r="B396" s="1" t="n">
        <v>44609</v>
      </c>
      <c r="C396" s="1" t="n">
        <v>45749</v>
      </c>
      <c r="D396" t="inlineStr">
        <is>
          <t>UPPSALA LÄN</t>
        </is>
      </c>
      <c r="E396" t="inlineStr">
        <is>
          <t>HEBY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8182-2022</t>
        </is>
      </c>
      <c r="B397" s="1" t="n">
        <v>44609</v>
      </c>
      <c r="C397" s="1" t="n">
        <v>45749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8660-2022</t>
        </is>
      </c>
      <c r="B398" s="1" t="n">
        <v>44613</v>
      </c>
      <c r="C398" s="1" t="n">
        <v>45749</v>
      </c>
      <c r="D398" t="inlineStr">
        <is>
          <t>UPPSALA LÄN</t>
        </is>
      </c>
      <c r="E398" t="inlineStr">
        <is>
          <t>HEBY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8758-2022</t>
        </is>
      </c>
      <c r="B399" s="1" t="n">
        <v>44614</v>
      </c>
      <c r="C399" s="1" t="n">
        <v>45749</v>
      </c>
      <c r="D399" t="inlineStr">
        <is>
          <t>UPPSALA LÄN</t>
        </is>
      </c>
      <c r="E399" t="inlineStr">
        <is>
          <t>HEBY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8837-2022</t>
        </is>
      </c>
      <c r="B400" s="1" t="n">
        <v>44614</v>
      </c>
      <c r="C400" s="1" t="n">
        <v>45749</v>
      </c>
      <c r="D400" t="inlineStr">
        <is>
          <t>UPPSALA LÄN</t>
        </is>
      </c>
      <c r="E400" t="inlineStr">
        <is>
          <t>HEBY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8762-2022</t>
        </is>
      </c>
      <c r="B401" s="1" t="n">
        <v>44614</v>
      </c>
      <c r="C401" s="1" t="n">
        <v>45749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8856-2022</t>
        </is>
      </c>
      <c r="B402" s="1" t="n">
        <v>44614</v>
      </c>
      <c r="C402" s="1" t="n">
        <v>45749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8850-2022</t>
        </is>
      </c>
      <c r="B403" s="1" t="n">
        <v>44614</v>
      </c>
      <c r="C403" s="1" t="n">
        <v>45749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9167-2022</t>
        </is>
      </c>
      <c r="B404" s="1" t="n">
        <v>44615</v>
      </c>
      <c r="C404" s="1" t="n">
        <v>45749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9246-2022</t>
        </is>
      </c>
      <c r="B405" s="1" t="n">
        <v>44616</v>
      </c>
      <c r="C405" s="1" t="n">
        <v>45749</v>
      </c>
      <c r="D405" t="inlineStr">
        <is>
          <t>UPPSALA LÄN</t>
        </is>
      </c>
      <c r="E405" t="inlineStr">
        <is>
          <t>HEBY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9794-2022</t>
        </is>
      </c>
      <c r="B406" s="1" t="n">
        <v>44620</v>
      </c>
      <c r="C406" s="1" t="n">
        <v>45749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9824-2022</t>
        </is>
      </c>
      <c r="B407" s="1" t="n">
        <v>44620</v>
      </c>
      <c r="C407" s="1" t="n">
        <v>45749</v>
      </c>
      <c r="D407" t="inlineStr">
        <is>
          <t>UPPSALA LÄN</t>
        </is>
      </c>
      <c r="E407" t="inlineStr">
        <is>
          <t>HEBY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9815-2022</t>
        </is>
      </c>
      <c r="B408" s="1" t="n">
        <v>44620</v>
      </c>
      <c r="C408" s="1" t="n">
        <v>45749</v>
      </c>
      <c r="D408" t="inlineStr">
        <is>
          <t>UPPSALA LÄN</t>
        </is>
      </c>
      <c r="E408" t="inlineStr">
        <is>
          <t>HEBY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10414-2022</t>
        </is>
      </c>
      <c r="B409" s="1" t="n">
        <v>44623</v>
      </c>
      <c r="C409" s="1" t="n">
        <v>45749</v>
      </c>
      <c r="D409" t="inlineStr">
        <is>
          <t>UPPSALA LÄN</t>
        </is>
      </c>
      <c r="E409" t="inlineStr">
        <is>
          <t>HEBY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10447-2022</t>
        </is>
      </c>
      <c r="B410" s="1" t="n">
        <v>44623</v>
      </c>
      <c r="C410" s="1" t="n">
        <v>45749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10645-2022</t>
        </is>
      </c>
      <c r="B411" s="1" t="n">
        <v>44624</v>
      </c>
      <c r="C411" s="1" t="n">
        <v>45749</v>
      </c>
      <c r="D411" t="inlineStr">
        <is>
          <t>UPPSALA LÄN</t>
        </is>
      </c>
      <c r="E411" t="inlineStr">
        <is>
          <t>HEBY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10646-2022</t>
        </is>
      </c>
      <c r="B412" s="1" t="n">
        <v>44624</v>
      </c>
      <c r="C412" s="1" t="n">
        <v>45749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13213-2022</t>
        </is>
      </c>
      <c r="B413" s="1" t="n">
        <v>44644</v>
      </c>
      <c r="C413" s="1" t="n">
        <v>45749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13243-2022</t>
        </is>
      </c>
      <c r="B414" s="1" t="n">
        <v>44644</v>
      </c>
      <c r="C414" s="1" t="n">
        <v>45749</v>
      </c>
      <c r="D414" t="inlineStr">
        <is>
          <t>UPPSALA LÄN</t>
        </is>
      </c>
      <c r="E414" t="inlineStr">
        <is>
          <t>HEBY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13988-2022</t>
        </is>
      </c>
      <c r="B415" s="1" t="n">
        <v>44650</v>
      </c>
      <c r="C415" s="1" t="n">
        <v>45749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14008-2022</t>
        </is>
      </c>
      <c r="B416" s="1" t="n">
        <v>44650</v>
      </c>
      <c r="C416" s="1" t="n">
        <v>45749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14603-2022</t>
        </is>
      </c>
      <c r="B417" s="1" t="n">
        <v>44655</v>
      </c>
      <c r="C417" s="1" t="n">
        <v>45749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14602-2022</t>
        </is>
      </c>
      <c r="B418" s="1" t="n">
        <v>44655</v>
      </c>
      <c r="C418" s="1" t="n">
        <v>45749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15326-2022</t>
        </is>
      </c>
      <c r="B419" s="1" t="n">
        <v>44659</v>
      </c>
      <c r="C419" s="1" t="n">
        <v>45749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15619-2022</t>
        </is>
      </c>
      <c r="B420" s="1" t="n">
        <v>44662</v>
      </c>
      <c r="C420" s="1" t="n">
        <v>45749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15614-2022</t>
        </is>
      </c>
      <c r="B421" s="1" t="n">
        <v>44662</v>
      </c>
      <c r="C421" s="1" t="n">
        <v>45749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16798-2022</t>
        </is>
      </c>
      <c r="B422" s="1" t="n">
        <v>44673</v>
      </c>
      <c r="C422" s="1" t="n">
        <v>45749</v>
      </c>
      <c r="D422" t="inlineStr">
        <is>
          <t>UPPSALA LÄN</t>
        </is>
      </c>
      <c r="E422" t="inlineStr">
        <is>
          <t>HEBY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17332-2022</t>
        </is>
      </c>
      <c r="B423" s="1" t="n">
        <v>44678</v>
      </c>
      <c r="C423" s="1" t="n">
        <v>45749</v>
      </c>
      <c r="D423" t="inlineStr">
        <is>
          <t>UPPSALA LÄN</t>
        </is>
      </c>
      <c r="E423" t="inlineStr">
        <is>
          <t>HEBY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18144-2022</t>
        </is>
      </c>
      <c r="B424" s="1" t="n">
        <v>44684</v>
      </c>
      <c r="C424" s="1" t="n">
        <v>45749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18336-2022</t>
        </is>
      </c>
      <c r="B425" s="1" t="n">
        <v>44685</v>
      </c>
      <c r="C425" s="1" t="n">
        <v>45749</v>
      </c>
      <c r="D425" t="inlineStr">
        <is>
          <t>UPPSALA LÄN</t>
        </is>
      </c>
      <c r="E425" t="inlineStr">
        <is>
          <t>HEBY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19184-2022</t>
        </is>
      </c>
      <c r="B426" s="1" t="n">
        <v>44691</v>
      </c>
      <c r="C426" s="1" t="n">
        <v>45749</v>
      </c>
      <c r="D426" t="inlineStr">
        <is>
          <t>UPPSALA LÄN</t>
        </is>
      </c>
      <c r="E426" t="inlineStr">
        <is>
          <t>HEBY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19654-2022</t>
        </is>
      </c>
      <c r="B427" s="1" t="n">
        <v>44694</v>
      </c>
      <c r="C427" s="1" t="n">
        <v>45749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19735-2022</t>
        </is>
      </c>
      <c r="B428" s="1" t="n">
        <v>44694</v>
      </c>
      <c r="C428" s="1" t="n">
        <v>45749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19683-2022</t>
        </is>
      </c>
      <c r="B429" s="1" t="n">
        <v>44694</v>
      </c>
      <c r="C429" s="1" t="n">
        <v>45749</v>
      </c>
      <c r="D429" t="inlineStr">
        <is>
          <t>UPPSALA LÄN</t>
        </is>
      </c>
      <c r="E429" t="inlineStr">
        <is>
          <t>HEBY</t>
        </is>
      </c>
      <c r="G429" t="n">
        <v>22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19721-2022</t>
        </is>
      </c>
      <c r="B430" s="1" t="n">
        <v>44694</v>
      </c>
      <c r="C430" s="1" t="n">
        <v>45749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19990-2022</t>
        </is>
      </c>
      <c r="B431" s="1" t="n">
        <v>44697</v>
      </c>
      <c r="C431" s="1" t="n">
        <v>45749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19896-2022</t>
        </is>
      </c>
      <c r="B432" s="1" t="n">
        <v>44697</v>
      </c>
      <c r="C432" s="1" t="n">
        <v>45749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20627-2022</t>
        </is>
      </c>
      <c r="B433" s="1" t="n">
        <v>44700</v>
      </c>
      <c r="C433" s="1" t="n">
        <v>45749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20882-2022</t>
        </is>
      </c>
      <c r="B434" s="1" t="n">
        <v>44701</v>
      </c>
      <c r="C434" s="1" t="n">
        <v>45749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21000-2022</t>
        </is>
      </c>
      <c r="B435" s="1" t="n">
        <v>44701</v>
      </c>
      <c r="C435" s="1" t="n">
        <v>45749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21749-2022</t>
        </is>
      </c>
      <c r="B436" s="1" t="n">
        <v>44708</v>
      </c>
      <c r="C436" s="1" t="n">
        <v>45749</v>
      </c>
      <c r="D436" t="inlineStr">
        <is>
          <t>UPPSALA LÄN</t>
        </is>
      </c>
      <c r="E436" t="inlineStr">
        <is>
          <t>HEBY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21863-2022</t>
        </is>
      </c>
      <c r="B437" s="1" t="n">
        <v>44711</v>
      </c>
      <c r="C437" s="1" t="n">
        <v>45749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22031-2022</t>
        </is>
      </c>
      <c r="B438" s="1" t="n">
        <v>44711</v>
      </c>
      <c r="C438" s="1" t="n">
        <v>45749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22216-2022</t>
        </is>
      </c>
      <c r="B439" s="1" t="n">
        <v>44712</v>
      </c>
      <c r="C439" s="1" t="n">
        <v>45749</v>
      </c>
      <c r="D439" t="inlineStr">
        <is>
          <t>UPPSALA LÄN</t>
        </is>
      </c>
      <c r="E439" t="inlineStr">
        <is>
          <t>HEBY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22580-2022</t>
        </is>
      </c>
      <c r="B440" s="1" t="n">
        <v>44713</v>
      </c>
      <c r="C440" s="1" t="n">
        <v>45749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22873-2022</t>
        </is>
      </c>
      <c r="B441" s="1" t="n">
        <v>44715</v>
      </c>
      <c r="C441" s="1" t="n">
        <v>45749</v>
      </c>
      <c r="D441" t="inlineStr">
        <is>
          <t>UPPSALA LÄN</t>
        </is>
      </c>
      <c r="E441" t="inlineStr">
        <is>
          <t>HEBY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23979-2022</t>
        </is>
      </c>
      <c r="B442" s="1" t="n">
        <v>44722</v>
      </c>
      <c r="C442" s="1" t="n">
        <v>45749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24026-2022</t>
        </is>
      </c>
      <c r="B443" s="1" t="n">
        <v>44723</v>
      </c>
      <c r="C443" s="1" t="n">
        <v>45749</v>
      </c>
      <c r="D443" t="inlineStr">
        <is>
          <t>UPPSALA LÄN</t>
        </is>
      </c>
      <c r="E443" t="inlineStr">
        <is>
          <t>HEBY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24091-2022</t>
        </is>
      </c>
      <c r="B444" s="1" t="n">
        <v>44725</v>
      </c>
      <c r="C444" s="1" t="n">
        <v>45749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25419-2022</t>
        </is>
      </c>
      <c r="B445" s="1" t="n">
        <v>44732</v>
      </c>
      <c r="C445" s="1" t="n">
        <v>45749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25917-2022</t>
        </is>
      </c>
      <c r="B446" s="1" t="n">
        <v>44733</v>
      </c>
      <c r="C446" s="1" t="n">
        <v>45749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25998-2022</t>
        </is>
      </c>
      <c r="B447" s="1" t="n">
        <v>44734</v>
      </c>
      <c r="C447" s="1" t="n">
        <v>45749</v>
      </c>
      <c r="D447" t="inlineStr">
        <is>
          <t>UPPSALA LÄN</t>
        </is>
      </c>
      <c r="E447" t="inlineStr">
        <is>
          <t>HEBY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25995-2022</t>
        </is>
      </c>
      <c r="B448" s="1" t="n">
        <v>44734</v>
      </c>
      <c r="C448" s="1" t="n">
        <v>45749</v>
      </c>
      <c r="D448" t="inlineStr">
        <is>
          <t>UPPSALA LÄN</t>
        </is>
      </c>
      <c r="E448" t="inlineStr">
        <is>
          <t>HEBY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25975-2022</t>
        </is>
      </c>
      <c r="B449" s="1" t="n">
        <v>44734</v>
      </c>
      <c r="C449" s="1" t="n">
        <v>45749</v>
      </c>
      <c r="D449" t="inlineStr">
        <is>
          <t>UPPSALA LÄN</t>
        </is>
      </c>
      <c r="E449" t="inlineStr">
        <is>
          <t>HEBY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25997-2022</t>
        </is>
      </c>
      <c r="B450" s="1" t="n">
        <v>44734</v>
      </c>
      <c r="C450" s="1" t="n">
        <v>45749</v>
      </c>
      <c r="D450" t="inlineStr">
        <is>
          <t>UPPSALA LÄN</t>
        </is>
      </c>
      <c r="E450" t="inlineStr">
        <is>
          <t>HEBY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26085-2022</t>
        </is>
      </c>
      <c r="B451" s="1" t="n">
        <v>44734</v>
      </c>
      <c r="C451" s="1" t="n">
        <v>45749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26315-2022</t>
        </is>
      </c>
      <c r="B452" s="1" t="n">
        <v>44735</v>
      </c>
      <c r="C452" s="1" t="n">
        <v>45749</v>
      </c>
      <c r="D452" t="inlineStr">
        <is>
          <t>UPPSALA LÄN</t>
        </is>
      </c>
      <c r="E452" t="inlineStr">
        <is>
          <t>HEBY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26316-2022</t>
        </is>
      </c>
      <c r="B453" s="1" t="n">
        <v>44735</v>
      </c>
      <c r="C453" s="1" t="n">
        <v>45749</v>
      </c>
      <c r="D453" t="inlineStr">
        <is>
          <t>UPPSALA LÄN</t>
        </is>
      </c>
      <c r="E453" t="inlineStr">
        <is>
          <t>HEBY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26567-2022</t>
        </is>
      </c>
      <c r="B454" s="1" t="n">
        <v>44739</v>
      </c>
      <c r="C454" s="1" t="n">
        <v>45749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27858-2022</t>
        </is>
      </c>
      <c r="B455" s="1" t="n">
        <v>44743</v>
      </c>
      <c r="C455" s="1" t="n">
        <v>45749</v>
      </c>
      <c r="D455" t="inlineStr">
        <is>
          <t>UPPSALA LÄN</t>
        </is>
      </c>
      <c r="E455" t="inlineStr">
        <is>
          <t>HEBY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28620-2022</t>
        </is>
      </c>
      <c r="B456" s="1" t="n">
        <v>44748</v>
      </c>
      <c r="C456" s="1" t="n">
        <v>45749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29340-2022</t>
        </is>
      </c>
      <c r="B457" s="1" t="n">
        <v>44752</v>
      </c>
      <c r="C457" s="1" t="n">
        <v>45749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29387-2022</t>
        </is>
      </c>
      <c r="B458" s="1" t="n">
        <v>44753</v>
      </c>
      <c r="C458" s="1" t="n">
        <v>45749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29391-2022</t>
        </is>
      </c>
      <c r="B459" s="1" t="n">
        <v>44753</v>
      </c>
      <c r="C459" s="1" t="n">
        <v>45749</v>
      </c>
      <c r="D459" t="inlineStr">
        <is>
          <t>UPPSALA LÄN</t>
        </is>
      </c>
      <c r="E459" t="inlineStr">
        <is>
          <t>HEBY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29396-2022</t>
        </is>
      </c>
      <c r="B460" s="1" t="n">
        <v>44753</v>
      </c>
      <c r="C460" s="1" t="n">
        <v>45749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29570-2022</t>
        </is>
      </c>
      <c r="B461" s="1" t="n">
        <v>44754</v>
      </c>
      <c r="C461" s="1" t="n">
        <v>45749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29644-2022</t>
        </is>
      </c>
      <c r="B462" s="1" t="n">
        <v>44754</v>
      </c>
      <c r="C462" s="1" t="n">
        <v>45749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29935-2022</t>
        </is>
      </c>
      <c r="B463" s="1" t="n">
        <v>44756</v>
      </c>
      <c r="C463" s="1" t="n">
        <v>45749</v>
      </c>
      <c r="D463" t="inlineStr">
        <is>
          <t>UPPSALA LÄN</t>
        </is>
      </c>
      <c r="E463" t="inlineStr">
        <is>
          <t>HEBY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30182-2022</t>
        </is>
      </c>
      <c r="B464" s="1" t="n">
        <v>44757</v>
      </c>
      <c r="C464" s="1" t="n">
        <v>45749</v>
      </c>
      <c r="D464" t="inlineStr">
        <is>
          <t>UPPSALA LÄN</t>
        </is>
      </c>
      <c r="E464" t="inlineStr">
        <is>
          <t>HEBY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31049-2022</t>
        </is>
      </c>
      <c r="B465" s="1" t="n">
        <v>44769</v>
      </c>
      <c r="C465" s="1" t="n">
        <v>45749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32245-2022</t>
        </is>
      </c>
      <c r="B466" s="1" t="n">
        <v>44781</v>
      </c>
      <c r="C466" s="1" t="n">
        <v>45749</v>
      </c>
      <c r="D466" t="inlineStr">
        <is>
          <t>UPPSALA LÄN</t>
        </is>
      </c>
      <c r="E466" t="inlineStr">
        <is>
          <t>HEBY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33284-2022</t>
        </is>
      </c>
      <c r="B467" s="1" t="n">
        <v>44788</v>
      </c>
      <c r="C467" s="1" t="n">
        <v>45749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33379-2022</t>
        </is>
      </c>
      <c r="B468" s="1" t="n">
        <v>44788</v>
      </c>
      <c r="C468" s="1" t="n">
        <v>45749</v>
      </c>
      <c r="D468" t="inlineStr">
        <is>
          <t>UPPSALA LÄN</t>
        </is>
      </c>
      <c r="E468" t="inlineStr">
        <is>
          <t>HEBY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33849-2022</t>
        </is>
      </c>
      <c r="B469" s="1" t="n">
        <v>44790</v>
      </c>
      <c r="C469" s="1" t="n">
        <v>45749</v>
      </c>
      <c r="D469" t="inlineStr">
        <is>
          <t>UPPSALA LÄN</t>
        </is>
      </c>
      <c r="E469" t="inlineStr">
        <is>
          <t>HEBY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34146-2022</t>
        </is>
      </c>
      <c r="B470" s="1" t="n">
        <v>44791</v>
      </c>
      <c r="C470" s="1" t="n">
        <v>45749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34386-2022</t>
        </is>
      </c>
      <c r="B471" s="1" t="n">
        <v>44792</v>
      </c>
      <c r="C471" s="1" t="n">
        <v>45749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35868-2022</t>
        </is>
      </c>
      <c r="B472" s="1" t="n">
        <v>44802</v>
      </c>
      <c r="C472" s="1" t="n">
        <v>45749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35875-2022</t>
        </is>
      </c>
      <c r="B473" s="1" t="n">
        <v>44802</v>
      </c>
      <c r="C473" s="1" t="n">
        <v>45749</v>
      </c>
      <c r="D473" t="inlineStr">
        <is>
          <t>UPPSALA LÄN</t>
        </is>
      </c>
      <c r="E473" t="inlineStr">
        <is>
          <t>HEBY</t>
        </is>
      </c>
      <c r="G473" t="n">
        <v>12.1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35865-2022</t>
        </is>
      </c>
      <c r="B474" s="1" t="n">
        <v>44802</v>
      </c>
      <c r="C474" s="1" t="n">
        <v>45749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37766-2022</t>
        </is>
      </c>
      <c r="B475" s="1" t="n">
        <v>44810</v>
      </c>
      <c r="C475" s="1" t="n">
        <v>45749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37782-2022</t>
        </is>
      </c>
      <c r="B476" s="1" t="n">
        <v>44810</v>
      </c>
      <c r="C476" s="1" t="n">
        <v>45749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37781-2022</t>
        </is>
      </c>
      <c r="B477" s="1" t="n">
        <v>44810</v>
      </c>
      <c r="C477" s="1" t="n">
        <v>45749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38085-2022</t>
        </is>
      </c>
      <c r="B478" s="1" t="n">
        <v>44811</v>
      </c>
      <c r="C478" s="1" t="n">
        <v>45749</v>
      </c>
      <c r="D478" t="inlineStr">
        <is>
          <t>UPPSALA LÄN</t>
        </is>
      </c>
      <c r="E478" t="inlineStr">
        <is>
          <t>HEBY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40038-2022</t>
        </is>
      </c>
      <c r="B479" s="1" t="n">
        <v>44820</v>
      </c>
      <c r="C479" s="1" t="n">
        <v>45749</v>
      </c>
      <c r="D479" t="inlineStr">
        <is>
          <t>UPPSALA LÄN</t>
        </is>
      </c>
      <c r="E479" t="inlineStr">
        <is>
          <t>HEBY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40086-2022</t>
        </is>
      </c>
      <c r="B480" s="1" t="n">
        <v>44820</v>
      </c>
      <c r="C480" s="1" t="n">
        <v>45749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40079-2022</t>
        </is>
      </c>
      <c r="B481" s="1" t="n">
        <v>44820</v>
      </c>
      <c r="C481" s="1" t="n">
        <v>45749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40387-2022</t>
        </is>
      </c>
      <c r="B482" s="1" t="n">
        <v>44823</v>
      </c>
      <c r="C482" s="1" t="n">
        <v>45749</v>
      </c>
      <c r="D482" t="inlineStr">
        <is>
          <t>UPPSALA LÄN</t>
        </is>
      </c>
      <c r="E482" t="inlineStr">
        <is>
          <t>HEBY</t>
        </is>
      </c>
      <c r="G482" t="n">
        <v>25.2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40533-2022</t>
        </is>
      </c>
      <c r="B483" s="1" t="n">
        <v>44823</v>
      </c>
      <c r="C483" s="1" t="n">
        <v>45749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41029-2022</t>
        </is>
      </c>
      <c r="B484" s="1" t="n">
        <v>44824</v>
      </c>
      <c r="C484" s="1" t="n">
        <v>45749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41382-2022</t>
        </is>
      </c>
      <c r="B485" s="1" t="n">
        <v>44826</v>
      </c>
      <c r="C485" s="1" t="n">
        <v>45749</v>
      </c>
      <c r="D485" t="inlineStr">
        <is>
          <t>UPPSALA LÄN</t>
        </is>
      </c>
      <c r="E485" t="inlineStr">
        <is>
          <t>HEBY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41321-2022</t>
        </is>
      </c>
      <c r="B486" s="1" t="n">
        <v>44826</v>
      </c>
      <c r="C486" s="1" t="n">
        <v>45749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41413-2022</t>
        </is>
      </c>
      <c r="B487" s="1" t="n">
        <v>44826</v>
      </c>
      <c r="C487" s="1" t="n">
        <v>45749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41700-2022</t>
        </is>
      </c>
      <c r="B488" s="1" t="n">
        <v>44827</v>
      </c>
      <c r="C488" s="1" t="n">
        <v>45749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42543-2022</t>
        </is>
      </c>
      <c r="B489" s="1" t="n">
        <v>44831</v>
      </c>
      <c r="C489" s="1" t="n">
        <v>45749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42855-2022</t>
        </is>
      </c>
      <c r="B490" s="1" t="n">
        <v>44832</v>
      </c>
      <c r="C490" s="1" t="n">
        <v>45749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42859-2022</t>
        </is>
      </c>
      <c r="B491" s="1" t="n">
        <v>44832</v>
      </c>
      <c r="C491" s="1" t="n">
        <v>45749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42938-2022</t>
        </is>
      </c>
      <c r="B492" s="1" t="n">
        <v>44833</v>
      </c>
      <c r="C492" s="1" t="n">
        <v>45749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43820-2022</t>
        </is>
      </c>
      <c r="B493" s="1" t="n">
        <v>44838</v>
      </c>
      <c r="C493" s="1" t="n">
        <v>45749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44239-2022</t>
        </is>
      </c>
      <c r="B494" s="1" t="n">
        <v>44839</v>
      </c>
      <c r="C494" s="1" t="n">
        <v>45749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44243-2022</t>
        </is>
      </c>
      <c r="B495" s="1" t="n">
        <v>44839</v>
      </c>
      <c r="C495" s="1" t="n">
        <v>45749</v>
      </c>
      <c r="D495" t="inlineStr">
        <is>
          <t>UPPSALA LÄN</t>
        </is>
      </c>
      <c r="E495" t="inlineStr">
        <is>
          <t>HEBY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44525-2022</t>
        </is>
      </c>
      <c r="B496" s="1" t="n">
        <v>44840</v>
      </c>
      <c r="C496" s="1" t="n">
        <v>45749</v>
      </c>
      <c r="D496" t="inlineStr">
        <is>
          <t>UPPSALA LÄN</t>
        </is>
      </c>
      <c r="E496" t="inlineStr">
        <is>
          <t>HEBY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HYPERLINK("https://klasma.github.io/Logging_0331/knärot/A 44525-2022 karta knärot.png", "A 44525-2022")</f>
        <v/>
      </c>
      <c r="V496">
        <f>HYPERLINK("https://klasma.github.io/Logging_0331/klagomål/A 44525-2022 FSC-klagomål.docx", "A 44525-2022")</f>
        <v/>
      </c>
      <c r="W496">
        <f>HYPERLINK("https://klasma.github.io/Logging_0331/klagomålsmail/A 44525-2022 FSC-klagomål mail.docx", "A 44525-2022")</f>
        <v/>
      </c>
      <c r="X496">
        <f>HYPERLINK("https://klasma.github.io/Logging_0331/tillsyn/A 44525-2022 tillsynsbegäran.docx", "A 44525-2022")</f>
        <v/>
      </c>
      <c r="Y496">
        <f>HYPERLINK("https://klasma.github.io/Logging_0331/tillsynsmail/A 44525-2022 tillsynsbegäran mail.docx", "A 44525-2022")</f>
        <v/>
      </c>
    </row>
    <row r="497" ht="15" customHeight="1">
      <c r="A497" t="inlineStr">
        <is>
          <t>A 45275-2022</t>
        </is>
      </c>
      <c r="B497" s="1" t="n">
        <v>44840</v>
      </c>
      <c r="C497" s="1" t="n">
        <v>45749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45009-2022</t>
        </is>
      </c>
      <c r="B498" s="1" t="n">
        <v>44841</v>
      </c>
      <c r="C498" s="1" t="n">
        <v>45749</v>
      </c>
      <c r="D498" t="inlineStr">
        <is>
          <t>UPPSALA LÄN</t>
        </is>
      </c>
      <c r="E498" t="inlineStr">
        <is>
          <t>HEBY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45185-2022</t>
        </is>
      </c>
      <c r="B499" s="1" t="n">
        <v>44844</v>
      </c>
      <c r="C499" s="1" t="n">
        <v>45749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45313-2022</t>
        </is>
      </c>
      <c r="B500" s="1" t="n">
        <v>44844</v>
      </c>
      <c r="C500" s="1" t="n">
        <v>45749</v>
      </c>
      <c r="D500" t="inlineStr">
        <is>
          <t>UPPSALA LÄN</t>
        </is>
      </c>
      <c r="E500" t="inlineStr">
        <is>
          <t>HEBY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45921-2022</t>
        </is>
      </c>
      <c r="B501" s="1" t="n">
        <v>44846</v>
      </c>
      <c r="C501" s="1" t="n">
        <v>45749</v>
      </c>
      <c r="D501" t="inlineStr">
        <is>
          <t>UPPSALA LÄN</t>
        </is>
      </c>
      <c r="E501" t="inlineStr">
        <is>
          <t>HEBY</t>
        </is>
      </c>
      <c r="F501" t="inlineStr">
        <is>
          <t>Allmännings- och besparingsskogar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46094-2022</t>
        </is>
      </c>
      <c r="B502" s="1" t="n">
        <v>44847</v>
      </c>
      <c r="C502" s="1" t="n">
        <v>45749</v>
      </c>
      <c r="D502" t="inlineStr">
        <is>
          <t>UPPSALA LÄN</t>
        </is>
      </c>
      <c r="E502" t="inlineStr">
        <is>
          <t>HEBY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46447-2022</t>
        </is>
      </c>
      <c r="B503" s="1" t="n">
        <v>44847</v>
      </c>
      <c r="C503" s="1" t="n">
        <v>45749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46651-2022</t>
        </is>
      </c>
      <c r="B504" s="1" t="n">
        <v>44850</v>
      </c>
      <c r="C504" s="1" t="n">
        <v>45749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47199-2022</t>
        </is>
      </c>
      <c r="B505" s="1" t="n">
        <v>44852</v>
      </c>
      <c r="C505" s="1" t="n">
        <v>45749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47428-2022</t>
        </is>
      </c>
      <c r="B506" s="1" t="n">
        <v>44853</v>
      </c>
      <c r="C506" s="1" t="n">
        <v>45749</v>
      </c>
      <c r="D506" t="inlineStr">
        <is>
          <t>UPPSALA LÄN</t>
        </is>
      </c>
      <c r="E506" t="inlineStr">
        <is>
          <t>HEBY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45749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45749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45749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45749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45749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45749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45749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45749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45749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45749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45749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45749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45749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45749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45749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45749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45749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45749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45749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45749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45749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45749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45749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45749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45749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45749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45749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45749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45749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45749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45749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45749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45749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45749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45749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45749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45749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45749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45749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45749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45749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45749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45749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45749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45749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45749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45749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45749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45749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45749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45749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45749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45749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45749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45749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45749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45749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45749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45749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45749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45749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45749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45749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45749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45749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45749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45749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45749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45749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45749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45749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45749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45749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45749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45749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45749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45749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45749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45749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45749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45749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45749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45749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45749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45749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45749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45749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45749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45749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45749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45749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45749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45749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45749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45749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45749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45749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45749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45749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45749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45749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45749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45749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45749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45749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45749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45749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45749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45749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45749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45749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45749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45749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45749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45749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45749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45749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45749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45749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45749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45749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45749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45749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45749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45749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45749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45749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45749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45749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45749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45749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45749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45749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45749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45749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45749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45749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45749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45749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45749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45749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45749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45749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45749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45749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45749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45749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45749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45749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45749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45749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45749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45749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45749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45749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45749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45749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45749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45749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45749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45749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45749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45749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45749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45749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45749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45749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45749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45749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45749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45749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45749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45749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45749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45749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45749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45749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45749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45749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45749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45749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45749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45749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45749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45749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45749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45749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45749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45749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45749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45749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45749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45749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45749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45749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45749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45749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45749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45749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45749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45749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45749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45749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45749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45749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45749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45749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45749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45749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45749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45749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45749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45749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45749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45749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45749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45749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45749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45749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45749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45749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45749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45749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45749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45749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45749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45749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45749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45749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45749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45749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45749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45749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45749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45749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45749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45749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45749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45749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45749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45749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45749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45749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45749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45749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45749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45749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45749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45749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45749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45749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45749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45749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45749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45749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45749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45749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45749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45749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45749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45749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45749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45749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45749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45749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45749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45749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45749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45749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45749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45749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45749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45749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45749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45749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45749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45749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45749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45749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45749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45749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45749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45749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45749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45749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45749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45749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45749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45749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45749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45749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45749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45749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45749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45749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45749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45749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45749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45749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45749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45749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45749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45749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45749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45749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45749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45749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45749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45749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45749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45749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45749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45749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45749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45749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45749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45749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45749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45749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45749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45749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45749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45749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45749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45749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45749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45749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45749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45749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45749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45749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45749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45749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45749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45749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45749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45749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45749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45749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45749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45749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45749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45749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45749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45749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45749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45749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45749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45749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45749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45749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45749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45749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45749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45749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45749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45749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45749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45749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45749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45749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45749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45749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45749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45749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45749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45749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45749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45749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45749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45749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45749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45749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45749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45749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45749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45749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45749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45749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45749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45749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45749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45749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45749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45749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45749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45749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45749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45749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45749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45749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45749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45749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45749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45749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45749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45749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45749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45749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45749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45749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45749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45749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45749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45749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45749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45749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45749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45749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45749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45749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45749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45749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45749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45749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45749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45749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45749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45749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45749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45749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45749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45749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45749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45749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45749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45749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45749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45749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45749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45749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45749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45749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45749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45749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45749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45749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45749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45749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45749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45749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45749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45749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45749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45749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45749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45749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45749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45749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45749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45749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45749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45749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45749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45749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45749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45749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45749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45749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45749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45749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45749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45749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45749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45749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45749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45749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45749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45749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45749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45749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45749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45749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45749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45749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45749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45749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45749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45749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45749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45749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45749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45749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45749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45749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45749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45749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45749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45749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45749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45749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45749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45749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45749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45749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45749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45749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45749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45749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45749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45749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45749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45749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45749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45749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45749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45749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45749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45749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45749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45749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45749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45749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45749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45749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45749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45749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45749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45749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45749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45749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45749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45749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45749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45749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45749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45749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45749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45749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45749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45749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45749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45749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45749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45749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45749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45749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45749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45749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45749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45749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45749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45749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45749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45749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45749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45749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11011-2025</t>
        </is>
      </c>
      <c r="B1119" s="1" t="n">
        <v>45723</v>
      </c>
      <c r="C1119" s="1" t="n">
        <v>45749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11059-2025</t>
        </is>
      </c>
      <c r="B1120" s="1" t="n">
        <v>45723</v>
      </c>
      <c r="C1120" s="1" t="n">
        <v>45749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11075-2025</t>
        </is>
      </c>
      <c r="B1121" s="1" t="n">
        <v>45723</v>
      </c>
      <c r="C1121" s="1" t="n">
        <v>45749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45749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45749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45749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45749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45749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45749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45749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45749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45749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45749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45749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45749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45749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45749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45749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15424-2025</t>
        </is>
      </c>
      <c r="B1137" s="1" t="n">
        <v>45747</v>
      </c>
      <c r="C1137" s="1" t="n">
        <v>45749</v>
      </c>
      <c r="D1137" t="inlineStr">
        <is>
          <t>UPPSALA LÄN</t>
        </is>
      </c>
      <c r="E1137" t="inlineStr">
        <is>
          <t>HEBY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15787-2025</t>
        </is>
      </c>
      <c r="B1138" s="1" t="n">
        <v>45748</v>
      </c>
      <c r="C1138" s="1" t="n">
        <v>45749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2025-04-02T17:09:42Z</dcterms:created>
  <dcterms:modified xmlns:dcterms="http://purl.org/dc/terms/" xmlns:xsi="http://www.w3.org/2001/XMLSchema-instance" xsi:type="dcterms:W3CDTF">2025-04-02T17:09:43Z</dcterms:modified>
</cp:coreProperties>
</file>
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46319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46319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46319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46319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46319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46319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46319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46319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20980-2025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46319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20980-2025 artfynd.xlsx", "A 20980-2025")</f>
        <v/>
      </c>
      <c r="X10">
        <f>HYPERLINK("https://klasma.github.io/Logging_0331/kartor/A 20980-2025 karta.png", "A 20980-2025")</f>
        <v/>
      </c>
      <c r="Y10">
        <f>HYPERLINK("https://klasma.github.io/Logging_0331/kartor_geotiff/A 20980-2025 georefererad karta.tif", "A 20980-2025")</f>
        <v/>
      </c>
      <c r="Z10">
        <f>HYPERLINK("https://klasma.github.io/Logging_0331/knärot/A 20980-2025 karta knärot.png", "A 20980-2025")</f>
        <v/>
      </c>
      <c r="AA10">
        <f>HYPERLINK("https://klasma.github.io/Logging_0331/klagomål/A 20980-2025 FSC-klagomål.docx", "A 20980-2025")</f>
        <v/>
      </c>
      <c r="AB10">
        <f>HYPERLINK("https://klasma.github.io/Logging_0331/klagomålsmail/A 20980-2025 FSC-klagomål mail.docx", "A 20980-2025")</f>
        <v/>
      </c>
      <c r="AC10">
        <f>HYPERLINK("https://klasma.github.io/Logging_0331/tillsyn/A 20980-2025 tillsynsbegäran.docx", "A 20980-2025")</f>
        <v/>
      </c>
      <c r="AD10">
        <f>HYPERLINK("https://klasma.github.io/Logging_0331/tillsynsmail/A 20980-2025 tillsynsbegäran mail.docx", "A 20980-2025")</f>
        <v/>
      </c>
      <c r="AE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46319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46319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41767-2026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46302</v>
      </c>
      <c r="E13" s="1" t="n">
        <v>46319</v>
      </c>
      <c r="F13" t="inlineStr">
        <is>
          <t>UPPSALA LÄN</t>
        </is>
      </c>
      <c r="G13" t="inlineStr">
        <is>
          <t>HEBY</t>
        </is>
      </c>
      <c r="I13" t="n">
        <v>11.9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34</v>
      </c>
      <c r="U13" t="n">
        <v>34</v>
      </c>
      <c r="V13" s="2" t="inlineStr">
        <is>
          <t>Knärot
Rynkskinn
Ullticka
Bronshjon
Flagellkvastmossa
Granbarkgnagare
Vedticka
Spillkråka</t>
        </is>
      </c>
      <c r="W13">
        <f>HYPERLINK("https://klasma.github.io/Logging_0331/artfynd/A 41767-2026 artfynd.xlsx", "A 41767-2026")</f>
        <v/>
      </c>
      <c r="X13">
        <f>HYPERLINK("https://klasma.github.io/Logging_0331/kartor/A 41767-2026 karta.png", "A 41767-2026")</f>
        <v/>
      </c>
      <c r="Y13">
        <f>HYPERLINK("https://klasma.github.io/Logging_0331/kartor_geotiff/A 41767-2026 georefererad karta.tif", "A 41767-2026")</f>
        <v/>
      </c>
      <c r="Z13">
        <f>HYPERLINK("https://klasma.github.io/Logging_0331/knärot/A 41767-2026 karta knärot.png", "A 41767-2026")</f>
        <v/>
      </c>
      <c r="AA13">
        <f>HYPERLINK("https://klasma.github.io/Logging_0331/klagomål/A 41767-2026 FSC-klagomål.docx", "A 41767-2026")</f>
        <v/>
      </c>
      <c r="AB13">
        <f>HYPERLINK("https://klasma.github.io/Logging_0331/klagomålsmail/A 41767-2026 FSC-klagomål mail.docx", "A 41767-2026")</f>
        <v/>
      </c>
      <c r="AC13">
        <f>HYPERLINK("https://klasma.github.io/Logging_0331/tillsyn/A 41767-2026 tillsynsbegäran.docx", "A 41767-2026")</f>
        <v/>
      </c>
      <c r="AD13">
        <f>HYPERLINK("https://klasma.github.io/Logging_0331/tillsynsmail/A 41767-2026 tillsynsbegäran mail.docx", "A 41767-2026")</f>
        <v/>
      </c>
      <c r="AE13">
        <f>HYPERLINK("https://klasma.github.io/Logging_0331/fåglar/A 41767-2026 prioriterade fågelarter.docx", "A 41767-2026")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46319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46319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46319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46319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56075-2023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46319</v>
      </c>
      <c r="F18" t="inlineStr">
        <is>
          <t>UPPSALA LÄN</t>
        </is>
      </c>
      <c r="G18" t="inlineStr">
        <is>
          <t>HEBY</t>
        </is>
      </c>
      <c r="I18" t="n">
        <v>3.8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9</v>
      </c>
      <c r="U18" t="n">
        <v>0</v>
      </c>
      <c r="V18" s="2" t="inlineStr">
        <is>
          <t>Grönhjon
Ullticka
Vedtrappmossa
Jättesvampmal
Rostfläck
Blåsippa</t>
        </is>
      </c>
      <c r="W18">
        <f>HYPERLINK("https://klasma.github.io/Logging_0331/artfynd/A 56075-2023 artfynd.xlsx", "A 56075-2023")</f>
        <v/>
      </c>
      <c r="X18">
        <f>HYPERLINK("https://klasma.github.io/Logging_0331/kartor/A 56075-2023 karta.png", "A 56075-2023")</f>
        <v/>
      </c>
      <c r="Y18">
        <f>HYPERLINK("https://klasma.github.io/Logging_0331/kartor_geotiff/A 56075-2023 georefererad karta.tif", "A 56075-2023")</f>
        <v/>
      </c>
      <c r="AA18">
        <f>HYPERLINK("https://klasma.github.io/Logging_0331/klagomål/A 56075-2023 FSC-klagomål.docx", "A 56075-2023")</f>
        <v/>
      </c>
      <c r="AB18">
        <f>HYPERLINK("https://klasma.github.io/Logging_0331/klagomålsmail/A 56075-2023 FSC-klagomål mail.docx", "A 56075-2023")</f>
        <v/>
      </c>
      <c r="AC18">
        <f>HYPERLINK("https://klasma.github.io/Logging_0331/tillsyn/A 56075-2023 tillsynsbegäran.docx", "A 56075-2023")</f>
        <v/>
      </c>
      <c r="AD18">
        <f>HYPERLINK("https://klasma.github.io/Logging_0331/tillsynsmail/A 56075-2023 tillsynsbegäran mail.docx", "A 56075-2023")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46319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46319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46319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46319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46319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46319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46319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46319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46319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46319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46319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44525-2022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46319</v>
      </c>
      <c r="F30" t="inlineStr">
        <is>
          <t>UPPSALA LÄN</t>
        </is>
      </c>
      <c r="G30" t="inlineStr">
        <is>
          <t>HEBY</t>
        </is>
      </c>
      <c r="I30" t="n">
        <v>1.8</v>
      </c>
      <c r="J30" t="n">
        <v>1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Knärot
Bronshjon
Thomsons trägnagare
Vedticka</t>
        </is>
      </c>
      <c r="W30">
        <f>HYPERLINK("https://klasma.github.io/Logging_0331/artfynd/A 44525-2022 artfynd.xlsx", "A 44525-2022")</f>
        <v/>
      </c>
      <c r="X30">
        <f>HYPERLINK("https://klasma.github.io/Logging_0331/kartor/A 44525-2022 karta.png", "A 44525-2022")</f>
        <v/>
      </c>
      <c r="Y30">
        <f>HYPERLINK("https://klasma.github.io/Logging_0331/kartor_geotiff/A 44525-2022 georefererad karta.tif", "A 44525-2022")</f>
        <v/>
      </c>
      <c r="Z30">
        <f>HYPERLINK("https://klasma.github.io/Logging_0331/knärot/A 44525-2022 karta knärot.png", "A 44525-2022")</f>
        <v/>
      </c>
      <c r="AA30">
        <f>HYPERLINK("https://klasma.github.io/Logging_0331/klagomål/A 44525-2022 FSC-klagomål.docx", "A 44525-2022")</f>
        <v/>
      </c>
      <c r="AB30">
        <f>HYPERLINK("https://klasma.github.io/Logging_0331/klagomålsmail/A 44525-2022 FSC-klagomål mail.docx", "A 44525-2022")</f>
        <v/>
      </c>
      <c r="AC30">
        <f>HYPERLINK("https://klasma.github.io/Logging_0331/tillsyn/A 44525-2022 tillsynsbegäran.docx", "A 44525-2022")</f>
        <v/>
      </c>
      <c r="AD30">
        <f>HYPERLINK("https://klasma.github.io/Logging_0331/tillsynsmail/A 44525-2022 tillsynsbegäran mail.docx", "A 44525-2022")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46319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46319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46319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46319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46319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46319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46319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46319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38448-2026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46319</v>
      </c>
      <c r="F39" t="inlineStr">
        <is>
          <t>UPPSALA LÄN</t>
        </is>
      </c>
      <c r="G39" t="inlineStr">
        <is>
          <t>HEBY</t>
        </is>
      </c>
      <c r="H39" t="inlineStr">
        <is>
          <t>Sveaskog</t>
        </is>
      </c>
      <c r="I39" t="n">
        <v>10.1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3</v>
      </c>
      <c r="V39" s="2" t="inlineStr">
        <is>
          <t>Ullticka
Grönpyrola
Vedticka</t>
        </is>
      </c>
      <c r="W39">
        <f>HYPERLINK("https://klasma.github.io/Logging_0331/artfynd/A 38448-2026 artfynd.xlsx", "A 38448-2026")</f>
        <v/>
      </c>
      <c r="X39">
        <f>HYPERLINK("https://klasma.github.io/Logging_0331/kartor/A 38448-2026 karta.png", "A 38448-2026")</f>
        <v/>
      </c>
      <c r="Y39">
        <f>HYPERLINK("https://klasma.github.io/Logging_0331/kartor_geotiff/A 38448-2026 georefererad karta.tif", "A 38448-2026")</f>
        <v/>
      </c>
      <c r="AA39">
        <f>HYPERLINK("https://klasma.github.io/Logging_0331/klagomål/A 38448-2026 FSC-klagomål.docx", "A 38448-2026")</f>
        <v/>
      </c>
      <c r="AB39">
        <f>HYPERLINK("https://klasma.github.io/Logging_0331/klagomålsmail/A 38448-2026 FSC-klagomål mail.docx", "A 38448-2026")</f>
        <v/>
      </c>
      <c r="AC39">
        <f>HYPERLINK("https://klasma.github.io/Logging_0331/tillsyn/A 38448-2026 tillsynsbegäran.docx", "A 38448-2026")</f>
        <v/>
      </c>
      <c r="AD39">
        <f>HYPERLINK("https://klasma.github.io/Logging_0331/tillsynsmail/A 38448-2026 tillsynsbegäran mail.docx", "A 38448-2026")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46319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46319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46319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46319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25632-2026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46177</v>
      </c>
      <c r="E44" s="1" t="n">
        <v>46319</v>
      </c>
      <c r="F44" t="inlineStr">
        <is>
          <t>UPPSALA LÄN</t>
        </is>
      </c>
      <c r="G44" t="inlineStr">
        <is>
          <t>HEBY</t>
        </is>
      </c>
      <c r="I44" t="n">
        <v>10.2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Tjäder
Havsörn</t>
        </is>
      </c>
      <c r="W44">
        <f>HYPERLINK("https://klasma.github.io/Logging_0331/artfynd/A 25632-2026 artfynd.xlsx", "A 25632-2026")</f>
        <v/>
      </c>
      <c r="X44">
        <f>HYPERLINK("https://klasma.github.io/Logging_0331/kartor/A 25632-2026 karta.png", "A 25632-2026")</f>
        <v/>
      </c>
      <c r="Y44">
        <f>HYPERLINK("https://klasma.github.io/Logging_0331/kartor_geotiff/A 25632-2026 georefererad karta.tif", "A 25632-2026")</f>
        <v/>
      </c>
      <c r="AA44">
        <f>HYPERLINK("https://klasma.github.io/Logging_0331/klagomål/A 25632-2026 FSC-klagomål.docx", "A 25632-2026")</f>
        <v/>
      </c>
      <c r="AB44">
        <f>HYPERLINK("https://klasma.github.io/Logging_0331/klagomålsmail/A 25632-2026 FSC-klagomål mail.docx", "A 25632-2026")</f>
        <v/>
      </c>
      <c r="AC44">
        <f>HYPERLINK("https://klasma.github.io/Logging_0331/tillsyn/A 25632-2026 tillsynsbegäran.docx", "A 25632-2026")</f>
        <v/>
      </c>
      <c r="AD44">
        <f>HYPERLINK("https://klasma.github.io/Logging_0331/tillsynsmail/A 25632-2026 tillsynsbegäran mail.docx", "A 25632-2026")</f>
        <v/>
      </c>
      <c r="AE44">
        <f>HYPERLINK("https://klasma.github.io/Logging_0331/fåglar/A 25632-2026 prioriterade fågelarter.docx", "A 25632-2026")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46319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1</v>
      </c>
      <c r="V45" s="2" t="inlineStr">
        <is>
          <t>Knärot
Motaggsvamp</t>
        </is>
      </c>
      <c r="W45">
        <f>HYPERLINK("https://klasma.github.io/Logging_0331/artfynd/A 2554-2024 artfynd.xlsx", "A 2554-2024")</f>
        <v/>
      </c>
      <c r="X45">
        <f>HYPERLINK("https://klasma.github.io/Logging_0331/kartor/A 2554-2024 karta.png", "A 2554-2024")</f>
        <v/>
      </c>
      <c r="Y45">
        <f>HYPERLINK("https://klasma.github.io/Logging_0331/kartor_geotiff/A 2554-2024 georefererad karta.tif", "A 2554-2024")</f>
        <v/>
      </c>
      <c r="Z45">
        <f>HYPERLINK("https://klasma.github.io/Logging_0331/knärot/A 2554-2024 karta knärot.png", "A 2554-2024")</f>
        <v/>
      </c>
      <c r="AA45">
        <f>HYPERLINK("https://klasma.github.io/Logging_0331/klagomål/A 2554-2024 FSC-klagomål.docx", "A 2554-2024")</f>
        <v/>
      </c>
      <c r="AB45">
        <f>HYPERLINK("https://klasma.github.io/Logging_0331/klagomålsmail/A 2554-2024 FSC-klagomål mail.docx", "A 2554-2024")</f>
        <v/>
      </c>
      <c r="AC45">
        <f>HYPERLINK("https://klasma.github.io/Logging_0331/tillsyn/A 2554-2024 tillsynsbegäran.docx", "A 2554-2024")</f>
        <v/>
      </c>
      <c r="AD45">
        <f>HYPERLINK("https://klasma.github.io/Logging_0331/tillsynsmail/A 2554-2024 tillsynsbegäran mail.docx", "A 2554-2024")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46319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46319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2</v>
      </c>
      <c r="V47" s="2" t="inlineStr">
        <is>
          <t>Spädstarr
Repestarr</t>
        </is>
      </c>
      <c r="W47">
        <f>HYPERLINK("https://klasma.github.io/Logging_0331/artfynd/A 17972-2024 artfynd.xlsx", "A 17972-2024")</f>
        <v/>
      </c>
      <c r="X47">
        <f>HYPERLINK("https://klasma.github.io/Logging_0331/kartor/A 17972-2024 karta.png", "A 17972-2024")</f>
        <v/>
      </c>
      <c r="Y47">
        <f>HYPERLINK("https://klasma.github.io/Logging_0331/kartor_geotiff/A 17972-2024 georefererad karta.tif", "A 17972-2024")</f>
        <v/>
      </c>
      <c r="AA47">
        <f>HYPERLINK("https://klasma.github.io/Logging_0331/klagomål/A 17972-2024 FSC-klagomål.docx", "A 17972-2024")</f>
        <v/>
      </c>
      <c r="AB47">
        <f>HYPERLINK("https://klasma.github.io/Logging_0331/klagomålsmail/A 17972-2024 FSC-klagomål mail.docx", "A 17972-2024")</f>
        <v/>
      </c>
      <c r="AC47">
        <f>HYPERLINK("https://klasma.github.io/Logging_0331/tillsyn/A 17972-2024 tillsynsbegäran.docx", "A 17972-2024")</f>
        <v/>
      </c>
      <c r="AD47">
        <f>HYPERLINK("https://klasma.github.io/Logging_0331/tillsynsmail/A 17972-2024 tillsynsbegäran mail.docx", "A 17972-2024")</f>
        <v/>
      </c>
    </row>
    <row r="48" ht="15" customHeight="1">
      <c r="A48" t="inlineStr">
        <is>
          <t>A 43293-2026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46314</v>
      </c>
      <c r="E48" s="1" t="n">
        <v>46319</v>
      </c>
      <c r="F48" t="inlineStr">
        <is>
          <t>UPPSALA LÄN</t>
        </is>
      </c>
      <c r="G48" t="inlineStr">
        <is>
          <t>HEBY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Mosippa
Motaggsvamp</t>
        </is>
      </c>
      <c r="W48">
        <f>HYPERLINK("https://klasma.github.io/Logging_0331/artfynd/A 43293-2026 artfynd.xlsx", "A 43293-2026")</f>
        <v/>
      </c>
      <c r="X48">
        <f>HYPERLINK("https://klasma.github.io/Logging_0331/kartor/A 43293-2026 karta.png", "A 43293-2026")</f>
        <v/>
      </c>
      <c r="Y48">
        <f>HYPERLINK("https://klasma.github.io/Logging_0331/kartor_geotiff/A 43293-2026 georefererad karta.tif", "A 43293-2026")</f>
        <v/>
      </c>
      <c r="AA48">
        <f>HYPERLINK("https://klasma.github.io/Logging_0331/klagomål/A 43293-2026 FSC-klagomål.docx", "A 43293-2026")</f>
        <v/>
      </c>
      <c r="AB48">
        <f>HYPERLINK("https://klasma.github.io/Logging_0331/klagomålsmail/A 43293-2026 FSC-klagomål mail.docx", "A 43293-2026")</f>
        <v/>
      </c>
      <c r="AC48">
        <f>HYPERLINK("https://klasma.github.io/Logging_0331/tillsyn/A 43293-2026 tillsynsbegäran.docx", "A 43293-2026")</f>
        <v/>
      </c>
      <c r="AD48">
        <f>HYPERLINK("https://klasma.github.io/Logging_0331/tillsynsmail/A 43293-2026 tillsynsbegäran mail.docx", "A 43293-2026")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46319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40662-2023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46319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5.7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Knärot
Fläcknycklar</t>
        </is>
      </c>
      <c r="W50">
        <f>HYPERLINK("https://klasma.github.io/Logging_0331/artfynd/A 40662-2023 artfynd.xlsx", "A 40662-2023")</f>
        <v/>
      </c>
      <c r="X50">
        <f>HYPERLINK("https://klasma.github.io/Logging_0331/kartor/A 40662-2023 karta.png", "A 40662-2023")</f>
        <v/>
      </c>
      <c r="Y50">
        <f>HYPERLINK("https://klasma.github.io/Logging_0331/kartor_geotiff/A 40662-2023 georefererad karta.tif", "A 40662-2023")</f>
        <v/>
      </c>
      <c r="Z50">
        <f>HYPERLINK("https://klasma.github.io/Logging_0331/knärot/A 40662-2023 karta knärot.png", "A 40662-2023")</f>
        <v/>
      </c>
      <c r="AA50">
        <f>HYPERLINK("https://klasma.github.io/Logging_0331/klagomål/A 40662-2023 FSC-klagomål.docx", "A 40662-2023")</f>
        <v/>
      </c>
      <c r="AB50">
        <f>HYPERLINK("https://klasma.github.io/Logging_0331/klagomålsmail/A 40662-2023 FSC-klagomål mail.docx", "A 40662-2023")</f>
        <v/>
      </c>
      <c r="AC50">
        <f>HYPERLINK("https://klasma.github.io/Logging_0331/tillsyn/A 40662-2023 tillsynsbegäran.docx", "A 40662-2023")</f>
        <v/>
      </c>
      <c r="AD50">
        <f>HYPERLINK("https://klasma.github.io/Logging_0331/tillsynsmail/A 40662-2023 tillsynsbegäran mail.docx", "A 40662-2023")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46319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46319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46319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46319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46319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46319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46319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46319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55763-2025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45972</v>
      </c>
      <c r="E59" s="1" t="n">
        <v>46319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Kandelabersvamp</t>
        </is>
      </c>
      <c r="W59">
        <f>HYPERLINK("https://klasma.github.io/Logging_0331/artfynd/A 55763-2025 artfynd.xlsx", "A 55763-2025")</f>
        <v/>
      </c>
      <c r="X59">
        <f>HYPERLINK("https://klasma.github.io/Logging_0331/kartor/A 55763-2025 karta.png", "A 55763-2025")</f>
        <v/>
      </c>
      <c r="Y59">
        <f>HYPERLINK("https://klasma.github.io/Logging_0331/kartor_geotiff/A 55763-2025 georefererad karta.tif", "A 55763-2025")</f>
        <v/>
      </c>
      <c r="AA59">
        <f>HYPERLINK("https://klasma.github.io/Logging_0331/klagomål/A 55763-2025 FSC-klagomål.docx", "A 55763-2025")</f>
        <v/>
      </c>
      <c r="AB59">
        <f>HYPERLINK("https://klasma.github.io/Logging_0331/klagomålsmail/A 55763-2025 FSC-klagomål mail.docx", "A 55763-2025")</f>
        <v/>
      </c>
      <c r="AC59">
        <f>HYPERLINK("https://klasma.github.io/Logging_0331/tillsyn/A 55763-2025 tillsynsbegäran.docx", "A 55763-2025")</f>
        <v/>
      </c>
      <c r="AD59">
        <f>HYPERLINK("https://klasma.github.io/Logging_0331/tillsynsmail/A 55763-2025 tillsynsbegäran mail.docx", "A 55763-2025")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46319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31885-2026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46319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 spretmossa</t>
        </is>
      </c>
      <c r="W61">
        <f>HYPERLINK("https://klasma.github.io/Logging_0331/artfynd/A 31885-2026 artfynd.xlsx", "A 31885-2026")</f>
        <v/>
      </c>
      <c r="X61">
        <f>HYPERLINK("https://klasma.github.io/Logging_0331/kartor/A 31885-2026 karta.png", "A 31885-2026")</f>
        <v/>
      </c>
      <c r="Y61">
        <f>HYPERLINK("https://klasma.github.io/Logging_0331/kartor_geotiff/A 31885-2026 georefererad karta.tif", "A 31885-2026")</f>
        <v/>
      </c>
      <c r="AA61">
        <f>HYPERLINK("https://klasma.github.io/Logging_0331/klagomål/A 31885-2026 FSC-klagomål.docx", "A 31885-2026")</f>
        <v/>
      </c>
      <c r="AB61">
        <f>HYPERLINK("https://klasma.github.io/Logging_0331/klagomålsmail/A 31885-2026 FSC-klagomål mail.docx", "A 31885-2026")</f>
        <v/>
      </c>
      <c r="AC61">
        <f>HYPERLINK("https://klasma.github.io/Logging_0331/tillsyn/A 31885-2026 tillsynsbegäran.docx", "A 31885-2026")</f>
        <v/>
      </c>
      <c r="AD61">
        <f>HYPERLINK("https://klasma.github.io/Logging_0331/tillsynsmail/A 31885-2026 tillsynsbegäran mail.docx", "A 31885-2026")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46319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9358-2026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46319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9358-2026 artfynd.xlsx", "A 9358-2026")</f>
        <v/>
      </c>
      <c r="X63">
        <f>HYPERLINK("https://klasma.github.io/Logging_0331/kartor/A 9358-2026 karta.png", "A 9358-2026")</f>
        <v/>
      </c>
      <c r="Y63">
        <f>HYPERLINK("https://klasma.github.io/Logging_0331/kartor_geotiff/A 9358-2026 georefererad karta.tif", "A 9358-2026")</f>
        <v/>
      </c>
      <c r="AA63">
        <f>HYPERLINK("https://klasma.github.io/Logging_0331/klagomål/A 9358-2026 FSC-klagomål.docx", "A 9358-2026")</f>
        <v/>
      </c>
      <c r="AB63">
        <f>HYPERLINK("https://klasma.github.io/Logging_0331/klagomålsmail/A 9358-2026 FSC-klagomål mail.docx", "A 9358-2026")</f>
        <v/>
      </c>
      <c r="AC63">
        <f>HYPERLINK("https://klasma.github.io/Logging_0331/tillsyn/A 9358-2026 tillsynsbegäran.docx", "A 9358-2026")</f>
        <v/>
      </c>
      <c r="AD63">
        <f>HYPERLINK("https://klasma.github.io/Logging_0331/tillsynsmail/A 9358-2026 tillsynsbegäran mail.docx", "A 9358-2026")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46319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Kungsspindling</t>
        </is>
      </c>
      <c r="W64">
        <f>HYPERLINK("https://klasma.github.io/Logging_0331/artfynd/A 9455-2026 artfynd.xlsx", "A 9455-2026")</f>
        <v/>
      </c>
      <c r="X64">
        <f>HYPERLINK("https://klasma.github.io/Logging_0331/kartor/A 9455-2026 karta.png", "A 9455-2026")</f>
        <v/>
      </c>
      <c r="Y64">
        <f>HYPERLINK("https://klasma.github.io/Logging_0331/kartor_geotiff/A 9455-2026 georefererad karta.tif", "A 9455-2026")</f>
        <v/>
      </c>
      <c r="AA64">
        <f>HYPERLINK("https://klasma.github.io/Logging_0331/klagomål/A 9455-2026 FSC-klagomål.docx", "A 9455-2026")</f>
        <v/>
      </c>
      <c r="AB64">
        <f>HYPERLINK("https://klasma.github.io/Logging_0331/klagomålsmail/A 9455-2026 FSC-klagomål mail.docx", "A 9455-2026")</f>
        <v/>
      </c>
      <c r="AC64">
        <f>HYPERLINK("https://klasma.github.io/Logging_0331/tillsyn/A 9455-2026 tillsynsbegäran.docx", "A 9455-2026")</f>
        <v/>
      </c>
      <c r="AD64">
        <f>HYPERLINK("https://klasma.github.io/Logging_0331/tillsynsmail/A 9455-2026 tillsynsbegäran mail.docx", "A 9455-2026")</f>
        <v/>
      </c>
    </row>
    <row r="65" ht="15" customHeight="1">
      <c r="A65" t="inlineStr">
        <is>
          <t>A 40506-2026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46295</v>
      </c>
      <c r="E65" s="1" t="n">
        <v>46319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7.1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HYPERLINK("https://klasma.github.io/Logging_0331/artfynd/A 40506-2026 artfynd.xlsx", "A 40506-2026")</f>
        <v/>
      </c>
      <c r="X65">
        <f>HYPERLINK("https://klasma.github.io/Logging_0331/kartor/A 40506-2026 karta.png", "A 40506-2026")</f>
        <v/>
      </c>
      <c r="Y65">
        <f>HYPERLINK("https://klasma.github.io/Logging_0331/kartor_geotiff/A 40506-2026 georefererad karta.tif", "A 40506-2026")</f>
        <v/>
      </c>
      <c r="AA65">
        <f>HYPERLINK("https://klasma.github.io/Logging_0331/klagomål/A 40506-2026 FSC-klagomål.docx", "A 40506-2026")</f>
        <v/>
      </c>
      <c r="AB65">
        <f>HYPERLINK("https://klasma.github.io/Logging_0331/klagomålsmail/A 40506-2026 FSC-klagomål mail.docx", "A 40506-2026")</f>
        <v/>
      </c>
      <c r="AC65">
        <f>HYPERLINK("https://klasma.github.io/Logging_0331/tillsyn/A 40506-2026 tillsynsbegäran.docx", "A 40506-2026")</f>
        <v/>
      </c>
      <c r="AD65">
        <f>HYPERLINK("https://klasma.github.io/Logging_0331/tillsynsmail/A 40506-2026 tillsynsbegäran mail.docx", "A 40506-2026")</f>
        <v/>
      </c>
      <c r="AE65">
        <f>HYPERLINK("https://klasma.github.io/Logging_0331/fåglar/A 40506-2026 prioriterade fågelarter.docx", "A 40506-2026")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46319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46319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38417-2025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46319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8.300000000000001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HYPERLINK("https://klasma.github.io/Logging_0331/artfynd/A 38417-2025 artfynd.xlsx", "A 38417-2025")</f>
        <v/>
      </c>
      <c r="X68">
        <f>HYPERLINK("https://klasma.github.io/Logging_0331/kartor/A 38417-2025 karta.png", "A 38417-2025")</f>
        <v/>
      </c>
      <c r="Y68">
        <f>HYPERLINK("https://klasma.github.io/Logging_0331/kartor_geotiff/A 38417-2025 georefererad karta.tif", "A 38417-2025")</f>
        <v/>
      </c>
      <c r="Z68">
        <f>HYPERLINK("https://klasma.github.io/Logging_0331/knärot/A 38417-2025 karta knärot.png", "A 38417-2025")</f>
        <v/>
      </c>
      <c r="AA68">
        <f>HYPERLINK("https://klasma.github.io/Logging_0331/klagomål/A 38417-2025 FSC-klagomål.docx", "A 38417-2025")</f>
        <v/>
      </c>
      <c r="AB68">
        <f>HYPERLINK("https://klasma.github.io/Logging_0331/klagomålsmail/A 38417-2025 FSC-klagomål mail.docx", "A 38417-2025")</f>
        <v/>
      </c>
      <c r="AC68">
        <f>HYPERLINK("https://klasma.github.io/Logging_0331/tillsyn/A 38417-2025 tillsynsbegäran.docx", "A 38417-2025")</f>
        <v/>
      </c>
      <c r="AD68">
        <f>HYPERLINK("https://klasma.github.io/Logging_0331/tillsynsmail/A 38417-2025 tillsynsbegäran mail.docx", "A 38417-2025")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46319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46319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42736-2026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46309</v>
      </c>
      <c r="E71" s="1" t="n">
        <v>46319</v>
      </c>
      <c r="F71" t="inlineStr">
        <is>
          <t>UPPSALA LÄN</t>
        </is>
      </c>
      <c r="G71" t="inlineStr">
        <is>
          <t>HEBY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Ask</t>
        </is>
      </c>
      <c r="W71">
        <f>HYPERLINK("https://klasma.github.io/Logging_0331/artfynd/A 42736-2026 artfynd.xlsx", "A 42736-2026")</f>
        <v/>
      </c>
      <c r="X71">
        <f>HYPERLINK("https://klasma.github.io/Logging_0331/kartor/A 42736-2026 karta.png", "A 42736-2026")</f>
        <v/>
      </c>
      <c r="Y71">
        <f>HYPERLINK("https://klasma.github.io/Logging_0331/kartor_geotiff/A 42736-2026 georefererad karta.tif", "A 42736-2026")</f>
        <v/>
      </c>
      <c r="AA71">
        <f>HYPERLINK("https://klasma.github.io/Logging_0331/klagomål/A 42736-2026 FSC-klagomål.docx", "A 42736-2026")</f>
        <v/>
      </c>
      <c r="AB71">
        <f>HYPERLINK("https://klasma.github.io/Logging_0331/klagomålsmail/A 42736-2026 FSC-klagomål mail.docx", "A 42736-2026")</f>
        <v/>
      </c>
      <c r="AC71">
        <f>HYPERLINK("https://klasma.github.io/Logging_0331/tillsyn/A 42736-2026 tillsynsbegäran.docx", "A 42736-2026")</f>
        <v/>
      </c>
      <c r="AD71">
        <f>HYPERLINK("https://klasma.github.io/Logging_0331/tillsynsmail/A 42736-2026 tillsynsbegäran mail.docx", "A 42736-2026")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46319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46319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46319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46319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31569-2023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46319</v>
      </c>
      <c r="F76" t="inlineStr">
        <is>
          <t>UPPSALA LÄN</t>
        </is>
      </c>
      <c r="G76" t="inlineStr">
        <is>
          <t>HEBY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HYPERLINK("https://klasma.github.io/Logging_0331/artfynd/A 31569-2023 artfynd.xlsx", "A 31569-2023")</f>
        <v/>
      </c>
      <c r="X76">
        <f>HYPERLINK("https://klasma.github.io/Logging_0331/kartor/A 31569-2023 karta.png", "A 31569-2023")</f>
        <v/>
      </c>
      <c r="Y76">
        <f>HYPERLINK("https://klasma.github.io/Logging_0331/kartor_geotiff/A 31569-2023 georefererad karta.tif", "A 31569-2023")</f>
        <v/>
      </c>
      <c r="Z76">
        <f>HYPERLINK("https://klasma.github.io/Logging_0331/knärot/A 31569-2023 karta knärot.png", "A 31569-2023")</f>
        <v/>
      </c>
      <c r="AA76">
        <f>HYPERLINK("https://klasma.github.io/Logging_0331/klagomål/A 31569-2023 FSC-klagomål.docx", "A 31569-2023")</f>
        <v/>
      </c>
      <c r="AB76">
        <f>HYPERLINK("https://klasma.github.io/Logging_0331/klagomålsmail/A 31569-2023 FSC-klagomål mail.docx", "A 31569-2023")</f>
        <v/>
      </c>
      <c r="AC76">
        <f>HYPERLINK("https://klasma.github.io/Logging_0331/tillsyn/A 31569-2023 tillsynsbegäran.docx", "A 31569-2023")</f>
        <v/>
      </c>
      <c r="AD76">
        <f>HYPERLINK("https://klasma.github.io/Logging_0331/tillsynsmail/A 31569-2023 tillsynsbegäran mail.docx", "A 31569-2023")</f>
        <v/>
      </c>
    </row>
    <row r="77" ht="15" customHeight="1">
      <c r="A77" t="inlineStr">
        <is>
          <t>A 26596-2024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45469</v>
      </c>
      <c r="E77" s="1" t="n">
        <v>46319</v>
      </c>
      <c r="F77" t="inlineStr">
        <is>
          <t>UPPSALA LÄN</t>
        </is>
      </c>
      <c r="G77" t="inlineStr">
        <is>
          <t>HEBY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Stenichnus poweri</t>
        </is>
      </c>
      <c r="W77">
        <f>HYPERLINK("https://klasma.github.io/Logging_0331/artfynd/A 26596-2024 artfynd.xlsx", "A 26596-2024")</f>
        <v/>
      </c>
      <c r="X77">
        <f>HYPERLINK("https://klasma.github.io/Logging_0331/kartor/A 26596-2024 karta.png", "A 26596-2024")</f>
        <v/>
      </c>
      <c r="Y77">
        <f>HYPERLINK("https://klasma.github.io/Logging_0331/kartor_geotiff/A 26596-2024 georefererad karta.tif", "A 26596-2024")</f>
        <v/>
      </c>
      <c r="AA77">
        <f>HYPERLINK("https://klasma.github.io/Logging_0331/klagomål/A 26596-2024 FSC-klagomål.docx", "A 26596-2024")</f>
        <v/>
      </c>
      <c r="AB77">
        <f>HYPERLINK("https://klasma.github.io/Logging_0331/klagomålsmail/A 26596-2024 FSC-klagomål mail.docx", "A 26596-2024")</f>
        <v/>
      </c>
      <c r="AC77">
        <f>HYPERLINK("https://klasma.github.io/Logging_0331/tillsyn/A 26596-2024 tillsynsbegäran.docx", "A 26596-2024")</f>
        <v/>
      </c>
      <c r="AD77">
        <f>HYPERLINK("https://klasma.github.io/Logging_0331/tillsynsmail/A 26596-2024 tillsynsbegäran mail.docx", "A 26596-2024")</f>
        <v/>
      </c>
    </row>
    <row r="78" ht="15" customHeight="1">
      <c r="A78" t="inlineStr">
        <is>
          <t>A 53992-2023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46319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HYPERLINK("https://klasma.github.io/Logging_0331/artfynd/A 53992-2023 artfynd.xlsx", "A 53992-2023")</f>
        <v/>
      </c>
      <c r="X78">
        <f>HYPERLINK("https://klasma.github.io/Logging_0331/kartor/A 53992-2023 karta.png", "A 53992-2023")</f>
        <v/>
      </c>
      <c r="Y78">
        <f>HYPERLINK("https://klasma.github.io/Logging_0331/kartor_geotiff/A 53992-2023 georefererad karta.tif", "A 53992-2023")</f>
        <v/>
      </c>
      <c r="AA78">
        <f>HYPERLINK("https://klasma.github.io/Logging_0331/klagomål/A 53992-2023 FSC-klagomål.docx", "A 53992-2023")</f>
        <v/>
      </c>
      <c r="AB78">
        <f>HYPERLINK("https://klasma.github.io/Logging_0331/klagomålsmail/A 53992-2023 FSC-klagomål mail.docx", "A 53992-2023")</f>
        <v/>
      </c>
      <c r="AC78">
        <f>HYPERLINK("https://klasma.github.io/Logging_0331/tillsyn/A 53992-2023 tillsynsbegäran.docx", "A 53992-2023")</f>
        <v/>
      </c>
      <c r="AD78">
        <f>HYPERLINK("https://klasma.github.io/Logging_0331/tillsynsmail/A 53992-2023 tillsynsbegäran mail.docx", "A 53992-2023")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46319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19751-2023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46319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HYPERLINK("https://klasma.github.io/Logging_0331/artfynd/A 19751-2023 artfynd.xlsx", "A 19751-2023")</f>
        <v/>
      </c>
      <c r="X80">
        <f>HYPERLINK("https://klasma.github.io/Logging_0331/kartor/A 19751-2023 karta.png", "A 19751-2023")</f>
        <v/>
      </c>
      <c r="Y80">
        <f>HYPERLINK("https://klasma.github.io/Logging_0331/kartor_geotiff/A 19751-2023 georefererad karta.tif", "A 19751-2023")</f>
        <v/>
      </c>
      <c r="Z80">
        <f>HYPERLINK("https://klasma.github.io/Logging_0331/knärot/A 19751-2023 karta knärot.png", "A 19751-2023")</f>
        <v/>
      </c>
      <c r="AA80">
        <f>HYPERLINK("https://klasma.github.io/Logging_0331/klagomål/A 19751-2023 FSC-klagomål.docx", "A 19751-2023")</f>
        <v/>
      </c>
      <c r="AB80">
        <f>HYPERLINK("https://klasma.github.io/Logging_0331/klagomålsmail/A 19751-2023 FSC-klagomål mail.docx", "A 19751-2023")</f>
        <v/>
      </c>
      <c r="AC80">
        <f>HYPERLINK("https://klasma.github.io/Logging_0331/tillsyn/A 19751-2023 tillsynsbegäran.docx", "A 19751-2023")</f>
        <v/>
      </c>
      <c r="AD80">
        <f>HYPERLINK("https://klasma.github.io/Logging_0331/tillsynsmail/A 19751-2023 tillsynsbegäran mail.docx", "A 19751-2023")</f>
        <v/>
      </c>
    </row>
    <row r="81" ht="15" customHeight="1">
      <c r="A81" t="inlineStr">
        <is>
          <t>A 54368-2024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46319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13.9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Talltita</t>
        </is>
      </c>
      <c r="W81">
        <f>HYPERLINK("https://klasma.github.io/Logging_0331/artfynd/A 54368-2024 artfynd.xlsx", "A 54368-2024")</f>
        <v/>
      </c>
      <c r="X81">
        <f>HYPERLINK("https://klasma.github.io/Logging_0331/kartor/A 54368-2024 karta.png", "A 54368-2024")</f>
        <v/>
      </c>
      <c r="Y81">
        <f>HYPERLINK("https://klasma.github.io/Logging_0331/kartor_geotiff/A 54368-2024 georefererad karta.tif", "A 54368-2024")</f>
        <v/>
      </c>
      <c r="AA81">
        <f>HYPERLINK("https://klasma.github.io/Logging_0331/klagomål/A 54368-2024 FSC-klagomål.docx", "A 54368-2024")</f>
        <v/>
      </c>
      <c r="AB81">
        <f>HYPERLINK("https://klasma.github.io/Logging_0331/klagomålsmail/A 54368-2024 FSC-klagomål mail.docx", "A 54368-2024")</f>
        <v/>
      </c>
      <c r="AC81">
        <f>HYPERLINK("https://klasma.github.io/Logging_0331/tillsyn/A 54368-2024 tillsynsbegäran.docx", "A 54368-2024")</f>
        <v/>
      </c>
      <c r="AD81">
        <f>HYPERLINK("https://klasma.github.io/Logging_0331/tillsynsmail/A 54368-2024 tillsynsbegäran mail.docx", "A 54368-2024")</f>
        <v/>
      </c>
      <c r="AE81">
        <f>HYPERLINK("https://klasma.github.io/Logging_0331/fåglar/A 54368-2024 prioriterade fågelarter.docx", "A 54368-2024")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46319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19555-2025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45770</v>
      </c>
      <c r="E83" s="1" t="n">
        <v>46319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HYPERLINK("https://klasma.github.io/Logging_0331/artfynd/A 19555-2025 artfynd.xlsx", "A 19555-2025")</f>
        <v/>
      </c>
      <c r="X83">
        <f>HYPERLINK("https://klasma.github.io/Logging_0331/kartor/A 19555-2025 karta.png", "A 19555-2025")</f>
        <v/>
      </c>
      <c r="Y83">
        <f>HYPERLINK("https://klasma.github.io/Logging_0331/kartor_geotiff/A 19555-2025 georefererad karta.tif", "A 19555-2025")</f>
        <v/>
      </c>
      <c r="AA83">
        <f>HYPERLINK("https://klasma.github.io/Logging_0331/klagomål/A 19555-2025 FSC-klagomål.docx", "A 19555-2025")</f>
        <v/>
      </c>
      <c r="AB83">
        <f>HYPERLINK("https://klasma.github.io/Logging_0331/klagomålsmail/A 19555-2025 FSC-klagomål mail.docx", "A 19555-2025")</f>
        <v/>
      </c>
      <c r="AC83">
        <f>HYPERLINK("https://klasma.github.io/Logging_0331/tillsyn/A 19555-2025 tillsynsbegäran.docx", "A 19555-2025")</f>
        <v/>
      </c>
      <c r="AD83">
        <f>HYPERLINK("https://klasma.github.io/Logging_0331/tillsynsmail/A 19555-2025 tillsynsbegäran mail.docx", "A 19555-2025")</f>
        <v/>
      </c>
      <c r="AE83">
        <f>HYPERLINK("https://klasma.github.io/Logging_0331/fåglar/A 19555-2025 prioriterade fågelarter.docx", "A 19555-2025")</f>
        <v/>
      </c>
    </row>
    <row r="84" ht="15" customHeight="1">
      <c r="A84" t="inlineStr">
        <is>
          <t>A 61598-2021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46319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Trana</t>
        </is>
      </c>
      <c r="W84">
        <f>HYPERLINK("https://klasma.github.io/Logging_0331/artfynd/A 61598-2021 artfynd.xlsx", "A 61598-2021")</f>
        <v/>
      </c>
      <c r="X84">
        <f>HYPERLINK("https://klasma.github.io/Logging_0331/kartor/A 61598-2021 karta.png", "A 61598-2021")</f>
        <v/>
      </c>
      <c r="Y84">
        <f>HYPERLINK("https://klasma.github.io/Logging_0331/kartor_geotiff/A 61598-2021 georefererad karta.tif", "A 61598-2021")</f>
        <v/>
      </c>
      <c r="AA84">
        <f>HYPERLINK("https://klasma.github.io/Logging_0331/klagomål/A 61598-2021 FSC-klagomål.docx", "A 61598-2021")</f>
        <v/>
      </c>
      <c r="AB84">
        <f>HYPERLINK("https://klasma.github.io/Logging_0331/klagomålsmail/A 61598-2021 FSC-klagomål mail.docx", "A 61598-2021")</f>
        <v/>
      </c>
      <c r="AC84">
        <f>HYPERLINK("https://klasma.github.io/Logging_0331/tillsyn/A 61598-2021 tillsynsbegäran.docx", "A 61598-2021")</f>
        <v/>
      </c>
      <c r="AD84">
        <f>HYPERLINK("https://klasma.github.io/Logging_0331/tillsynsmail/A 61598-2021 tillsynsbegäran mail.docx", "A 61598-2021")</f>
        <v/>
      </c>
      <c r="AE84">
        <f>HYPERLINK("https://klasma.github.io/Logging_0331/fåglar/A 61598-2021 prioriterade fågelarter.docx", "A 61598-2021")</f>
        <v/>
      </c>
    </row>
    <row r="85" ht="15" customHeight="1">
      <c r="A85" t="inlineStr">
        <is>
          <t>A 55663-2024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46319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4.5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HYPERLINK("https://klasma.github.io/Logging_0331/artfynd/A 55663-2024 artfynd.xlsx", "A 55663-2024")</f>
        <v/>
      </c>
      <c r="X85">
        <f>HYPERLINK("https://klasma.github.io/Logging_0331/kartor/A 55663-2024 karta.png", "A 55663-2024")</f>
        <v/>
      </c>
      <c r="Y85">
        <f>HYPERLINK("https://klasma.github.io/Logging_0331/kartor_geotiff/A 55663-2024 georefererad karta.tif", "A 55663-2024")</f>
        <v/>
      </c>
      <c r="AA85">
        <f>HYPERLINK("https://klasma.github.io/Logging_0331/klagomål/A 55663-2024 FSC-klagomål.docx", "A 55663-2024")</f>
        <v/>
      </c>
      <c r="AB85">
        <f>HYPERLINK("https://klasma.github.io/Logging_0331/klagomålsmail/A 55663-2024 FSC-klagomål mail.docx", "A 55663-2024")</f>
        <v/>
      </c>
      <c r="AC85">
        <f>HYPERLINK("https://klasma.github.io/Logging_0331/tillsyn/A 55663-2024 tillsynsbegäran.docx", "A 55663-2024")</f>
        <v/>
      </c>
      <c r="AD85">
        <f>HYPERLINK("https://klasma.github.io/Logging_0331/tillsynsmail/A 55663-2024 tillsynsbegäran mail.docx", "A 55663-2024")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46319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3624-2024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45548</v>
      </c>
      <c r="E87" s="1" t="n">
        <v>46319</v>
      </c>
      <c r="F87" t="inlineStr">
        <is>
          <t>UPPSALA LÄN</t>
        </is>
      </c>
      <c r="G87" t="inlineStr">
        <is>
          <t>HEBY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Gränsticka</t>
        </is>
      </c>
      <c r="W87">
        <f>HYPERLINK("https://klasma.github.io/Logging_0331/artfynd/S 3624-2024 artfynd.xlsx", "S 3624-2024")</f>
        <v/>
      </c>
      <c r="X87">
        <f>HYPERLINK("https://klasma.github.io/Logging_0331/kartor/S 3624-2024 karta.png", "S 3624-2024")</f>
        <v/>
      </c>
      <c r="Y87">
        <f>HYPERLINK("https://klasma.github.io/Logging_0331/kartor_geotiff/S 3624-2024 georefererad karta.tif", "S 3624-2024")</f>
        <v/>
      </c>
      <c r="AA87">
        <f>HYPERLINK("https://klasma.github.io/Logging_0331/klagomål/S 3624-2024 FSC-klagomål.docx", "S 3624-2024")</f>
        <v/>
      </c>
      <c r="AB87">
        <f>HYPERLINK("https://klasma.github.io/Logging_0331/klagomålsmail/S 3624-2024 FSC-klagomål mail.docx", "S 3624-2024")</f>
        <v/>
      </c>
      <c r="AC87">
        <f>HYPERLINK("https://klasma.github.io/Logging_0331/tillsyn/S 3624-2024 tillsynsbegäran.docx", "S 3624-2024")</f>
        <v/>
      </c>
      <c r="AD87">
        <f>HYPERLINK("https://klasma.github.io/Logging_0331/tillsynsmail/S 3624-2024 tillsynsbegäran mail.docx", "S 3624-2024")</f>
        <v/>
      </c>
    </row>
    <row r="88" ht="15" customHeight="1">
      <c r="A88" t="inlineStr">
        <is>
          <t>S 883-2026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46107</v>
      </c>
      <c r="E88" s="1" t="n">
        <v>46319</v>
      </c>
      <c r="F88" t="inlineStr">
        <is>
          <t>UPPSALA LÄN</t>
        </is>
      </c>
      <c r="G88" t="inlineStr">
        <is>
          <t>HEBY</t>
        </is>
      </c>
      <c r="H88" t="inlineStr">
        <is>
          <t>Bergvik skog väst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HYPERLINK("https://klasma.github.io/Logging_0331/artfynd/S 883-2026 artfynd.xlsx", "S 883-2026")</f>
        <v/>
      </c>
      <c r="X88">
        <f>HYPERLINK("https://klasma.github.io/Logging_0331/kartor/S 883-2026 karta.png", "S 883-2026")</f>
        <v/>
      </c>
      <c r="Y88">
        <f>HYPERLINK("https://klasma.github.io/Logging_0331/kartor_geotiff/S 883-2026 georefererad karta.tif", "S 883-2026")</f>
        <v/>
      </c>
      <c r="AA88">
        <f>HYPERLINK("https://klasma.github.io/Logging_0331/klagomål/S 883-2026 FSC-klagomål.docx", "S 883-2026")</f>
        <v/>
      </c>
      <c r="AB88">
        <f>HYPERLINK("https://klasma.github.io/Logging_0331/klagomålsmail/S 883-2026 FSC-klagomål mail.docx", "S 883-2026")</f>
        <v/>
      </c>
      <c r="AC88">
        <f>HYPERLINK("https://klasma.github.io/Logging_0331/tillsyn/S 883-2026 tillsynsbegäran.docx", "S 883-2026")</f>
        <v/>
      </c>
      <c r="AD88">
        <f>HYPERLINK("https://klasma.github.io/Logging_0331/tillsynsmail/S 883-2026 tillsynsbegäran mail.docx", "S 883-2026")</f>
        <v/>
      </c>
      <c r="AE88">
        <f>HYPERLINK("https://klasma.github.io/Logging_0331/fåglar/S 883-2026 prioriterade fågelarter.docx", "S 883-2026")</f>
        <v/>
      </c>
    </row>
    <row r="89" ht="15" customHeight="1">
      <c r="A89" t="inlineStr">
        <is>
          <t>A 29841-2022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46319</v>
      </c>
      <c r="F89" t="inlineStr">
        <is>
          <t>UPPSALA LÄN</t>
        </is>
      </c>
      <c r="G89" t="inlineStr">
        <is>
          <t>HEBY</t>
        </is>
      </c>
      <c r="H89" t="inlineStr">
        <is>
          <t>Bergvik skog öst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55191-2022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46319</v>
      </c>
      <c r="F90" t="inlineStr">
        <is>
          <t>UPPSALA LÄN</t>
        </is>
      </c>
      <c r="G90" t="inlineStr">
        <is>
          <t>HEBY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46319</v>
      </c>
      <c r="F91" t="inlineStr">
        <is>
          <t>UPPSALA LÄN</t>
        </is>
      </c>
      <c r="G91" t="inlineStr">
        <is>
          <t>HEBY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46319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46319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46319</v>
      </c>
      <c r="F94" t="inlineStr">
        <is>
          <t>UPPSALA LÄN</t>
        </is>
      </c>
      <c r="G94" t="inlineStr">
        <is>
          <t>HEBY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46319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46319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46319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46319</v>
      </c>
      <c r="F98" t="inlineStr">
        <is>
          <t>UPPSALA LÄN</t>
        </is>
      </c>
      <c r="G98" t="inlineStr">
        <is>
          <t>HEBY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46319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46319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46319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46319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46319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46319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46319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46319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46319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46319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46319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46319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46319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46319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46319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46319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46319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46319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46319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46319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46319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46319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46319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46319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46319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46319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46319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46319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46319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46319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46319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46319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46319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46319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46319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46319</v>
      </c>
      <c r="F134" t="inlineStr">
        <is>
          <t>UPPSALA LÄN</t>
        </is>
      </c>
      <c r="G134" t="inlineStr">
        <is>
          <t>HEBY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46319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46319</v>
      </c>
      <c r="F136" t="inlineStr">
        <is>
          <t>UPPSALA LÄN</t>
        </is>
      </c>
      <c r="G136" t="inlineStr">
        <is>
          <t>HEBY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46319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46319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väst AB</t>
        </is>
      </c>
      <c r="I138" t="n">
        <v>16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46319</v>
      </c>
      <c r="F139" t="inlineStr">
        <is>
          <t>UPPSALA LÄN</t>
        </is>
      </c>
      <c r="G139" t="inlineStr">
        <is>
          <t>HEBY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46319</v>
      </c>
      <c r="F140" t="inlineStr">
        <is>
          <t>UPPSALA LÄN</t>
        </is>
      </c>
      <c r="G140" t="inlineStr">
        <is>
          <t>HEBY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46319</v>
      </c>
      <c r="F141" t="inlineStr">
        <is>
          <t>UPPSALA LÄN</t>
        </is>
      </c>
      <c r="G141" t="inlineStr">
        <is>
          <t>HEBY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46319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46319</v>
      </c>
      <c r="F143" t="inlineStr">
        <is>
          <t>UPPSALA LÄN</t>
        </is>
      </c>
      <c r="G143" t="inlineStr">
        <is>
          <t>HEBY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46319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45331</v>
      </c>
      <c r="E145" s="1" t="n">
        <v>46319</v>
      </c>
      <c r="F145" t="inlineStr">
        <is>
          <t>UPPSALA LÄN</t>
        </is>
      </c>
      <c r="G145" t="inlineStr">
        <is>
          <t>HEBY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46319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46319</v>
      </c>
      <c r="F147" t="inlineStr">
        <is>
          <t>UPPSALA LÄN</t>
        </is>
      </c>
      <c r="G147" t="inlineStr">
        <is>
          <t>HEBY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46319</v>
      </c>
      <c r="F148" t="inlineStr">
        <is>
          <t>UPPSALA LÄN</t>
        </is>
      </c>
      <c r="G148" t="inlineStr">
        <is>
          <t>HEBY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46319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46319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41.8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46319</v>
      </c>
      <c r="F151" t="inlineStr">
        <is>
          <t>UPPSALA LÄN</t>
        </is>
      </c>
      <c r="G151" t="inlineStr">
        <is>
          <t>HEBY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46319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46319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46319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46319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46319</v>
      </c>
      <c r="F156" t="inlineStr">
        <is>
          <t>UPPSALA LÄN</t>
        </is>
      </c>
      <c r="G156" t="inlineStr">
        <is>
          <t>HEBY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45083</v>
      </c>
      <c r="E157" s="1" t="n">
        <v>46319</v>
      </c>
      <c r="F157" t="inlineStr">
        <is>
          <t>UPPSALA LÄN</t>
        </is>
      </c>
      <c r="G157" t="inlineStr">
        <is>
          <t>HEBY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46319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20882-2022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46319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45013</v>
      </c>
      <c r="E160" s="1" t="n">
        <v>46319</v>
      </c>
      <c r="F160" t="inlineStr">
        <is>
          <t>UPPSALA LÄN</t>
        </is>
      </c>
      <c r="G160" t="inlineStr">
        <is>
          <t>HEBY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46319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46319</v>
      </c>
      <c r="F162" t="inlineStr">
        <is>
          <t>UPPSALA LÄN</t>
        </is>
      </c>
      <c r="G162" t="inlineStr">
        <is>
          <t>HEBY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46319</v>
      </c>
      <c r="F163" t="inlineStr">
        <is>
          <t>UPPSALA LÄN</t>
        </is>
      </c>
      <c r="G163" t="inlineStr">
        <is>
          <t>HEBY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46319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46319</v>
      </c>
      <c r="F165" t="inlineStr">
        <is>
          <t>UPPSALA LÄN</t>
        </is>
      </c>
      <c r="G165" t="inlineStr">
        <is>
          <t>HEBY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46319</v>
      </c>
      <c r="F166" t="inlineStr">
        <is>
          <t>UPPSALA LÄN</t>
        </is>
      </c>
      <c r="G166" t="inlineStr">
        <is>
          <t>HEBY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45092</v>
      </c>
      <c r="E167" s="1" t="n">
        <v>46319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46319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46319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35.2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44644</v>
      </c>
      <c r="E170" s="1" t="n">
        <v>46319</v>
      </c>
      <c r="F170" t="inlineStr">
        <is>
          <t>UPPSALA LÄN</t>
        </is>
      </c>
      <c r="G170" t="inlineStr">
        <is>
          <t>HEBY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46319</v>
      </c>
      <c r="F171" t="inlineStr">
        <is>
          <t>UPPSALA LÄN</t>
        </is>
      </c>
      <c r="G171" t="inlineStr">
        <is>
          <t>HEBY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46319</v>
      </c>
      <c r="F172" t="inlineStr">
        <is>
          <t>UPPSALA LÄN</t>
        </is>
      </c>
      <c r="G172" t="inlineStr">
        <is>
          <t>HEBY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46319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46319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46319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46319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46319</v>
      </c>
      <c r="F177" t="inlineStr">
        <is>
          <t>UPPSALA LÄN</t>
        </is>
      </c>
      <c r="G177" t="inlineStr">
        <is>
          <t>HEBY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46319</v>
      </c>
      <c r="F178" t="inlineStr">
        <is>
          <t>UPPSALA LÄN</t>
        </is>
      </c>
      <c r="G178" t="inlineStr">
        <is>
          <t>HEBY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46319</v>
      </c>
      <c r="F179" t="inlineStr">
        <is>
          <t>UPPSALA LÄN</t>
        </is>
      </c>
      <c r="G179" t="inlineStr">
        <is>
          <t>HEBY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46319</v>
      </c>
      <c r="F180" t="inlineStr">
        <is>
          <t>UPPSALA LÄN</t>
        </is>
      </c>
      <c r="G180" t="inlineStr">
        <is>
          <t>HEBY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46319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46319</v>
      </c>
      <c r="F182" t="inlineStr">
        <is>
          <t>UPPSALA LÄN</t>
        </is>
      </c>
      <c r="G182" t="inlineStr">
        <is>
          <t>HEBY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46319</v>
      </c>
      <c r="F183" t="inlineStr">
        <is>
          <t>UPPSALA LÄN</t>
        </is>
      </c>
      <c r="G183" t="inlineStr">
        <is>
          <t>HEBY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46319</v>
      </c>
      <c r="F184" t="inlineStr">
        <is>
          <t>UPPSALA LÄN</t>
        </is>
      </c>
      <c r="G184" t="inlineStr">
        <is>
          <t>HEBY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46319</v>
      </c>
      <c r="F185" t="inlineStr">
        <is>
          <t>UPPSALA LÄN</t>
        </is>
      </c>
      <c r="G185" t="inlineStr">
        <is>
          <t>HEBY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46319</v>
      </c>
      <c r="F186" t="inlineStr">
        <is>
          <t>UPPSALA LÄN</t>
        </is>
      </c>
      <c r="G186" t="inlineStr">
        <is>
          <t>HEBY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46319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46319</v>
      </c>
      <c r="F188" t="inlineStr">
        <is>
          <t>UPPSALA LÄN</t>
        </is>
      </c>
      <c r="G188" t="inlineStr">
        <is>
          <t>HEBY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46319</v>
      </c>
      <c r="F189" t="inlineStr">
        <is>
          <t>UPPSALA LÄN</t>
        </is>
      </c>
      <c r="G189" t="inlineStr">
        <is>
          <t>HEBY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45135</v>
      </c>
      <c r="E190" s="1" t="n">
        <v>46319</v>
      </c>
      <c r="F190" t="inlineStr">
        <is>
          <t>UPPSALA LÄN</t>
        </is>
      </c>
      <c r="G190" t="inlineStr">
        <is>
          <t>HEBY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45250</v>
      </c>
      <c r="E191" s="1" t="n">
        <v>46319</v>
      </c>
      <c r="F191" t="inlineStr">
        <is>
          <t>UPPSALA LÄN</t>
        </is>
      </c>
      <c r="G191" t="inlineStr">
        <is>
          <t>HEBY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46319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45132</v>
      </c>
      <c r="E193" s="1" t="n">
        <v>46319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46319</v>
      </c>
      <c r="F194" t="inlineStr">
        <is>
          <t>UPPSALA LÄN</t>
        </is>
      </c>
      <c r="G194" t="inlineStr">
        <is>
          <t>HEBY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46319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46319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46319</v>
      </c>
      <c r="F197" t="inlineStr">
        <is>
          <t>UPPSALA LÄN</t>
        </is>
      </c>
      <c r="G197" t="inlineStr">
        <is>
          <t>HEBY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46319</v>
      </c>
      <c r="F198" t="inlineStr">
        <is>
          <t>UPPSALA LÄN</t>
        </is>
      </c>
      <c r="G198" t="inlineStr">
        <is>
          <t>HEBY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44849</v>
      </c>
      <c r="E199" s="1" t="n">
        <v>46319</v>
      </c>
      <c r="F199" t="inlineStr">
        <is>
          <t>UPPSALA LÄN</t>
        </is>
      </c>
      <c r="G199" t="inlineStr">
        <is>
          <t>HEBY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44823</v>
      </c>
      <c r="E200" s="1" t="n">
        <v>46319</v>
      </c>
      <c r="F200" t="inlineStr">
        <is>
          <t>UPPSALA LÄN</t>
        </is>
      </c>
      <c r="G200" t="inlineStr">
        <is>
          <t>HEBY</t>
        </is>
      </c>
      <c r="H200" t="inlineStr">
        <is>
          <t>Övriga Aktiebolag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58332-2023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45250</v>
      </c>
      <c r="E201" s="1" t="n">
        <v>46319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46319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46319</v>
      </c>
      <c r="F203" t="inlineStr">
        <is>
          <t>UPPSALA LÄN</t>
        </is>
      </c>
      <c r="G203" t="inlineStr">
        <is>
          <t>HEBY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46319</v>
      </c>
      <c r="F204" t="inlineStr">
        <is>
          <t>UPPSALA LÄN</t>
        </is>
      </c>
      <c r="G204" t="inlineStr">
        <is>
          <t>HEBY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46319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46319</v>
      </c>
      <c r="F206" t="inlineStr">
        <is>
          <t>UPPSALA LÄN</t>
        </is>
      </c>
      <c r="G206" t="inlineStr">
        <is>
          <t>HEBY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46319</v>
      </c>
      <c r="F207" t="inlineStr">
        <is>
          <t>UPPSALA LÄN</t>
        </is>
      </c>
      <c r="G207" t="inlineStr">
        <is>
          <t>HEBY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45599</v>
      </c>
      <c r="E208" s="1" t="n">
        <v>46319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46319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46319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46319</v>
      </c>
      <c r="F211" t="inlineStr">
        <is>
          <t>UPPSALA LÄN</t>
        </is>
      </c>
      <c r="G211" t="inlineStr">
        <is>
          <t>HEBY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46319</v>
      </c>
      <c r="F212" t="inlineStr">
        <is>
          <t>UPPSALA LÄN</t>
        </is>
      </c>
      <c r="G212" t="inlineStr">
        <is>
          <t>HEBY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46319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46319</v>
      </c>
      <c r="F214" t="inlineStr">
        <is>
          <t>UPPSALA LÄN</t>
        </is>
      </c>
      <c r="G214" t="inlineStr">
        <is>
          <t>HEBY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46319</v>
      </c>
      <c r="F215" t="inlineStr">
        <is>
          <t>UPPSALA LÄN</t>
        </is>
      </c>
      <c r="G215" t="inlineStr">
        <is>
          <t>HEBY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46319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46319</v>
      </c>
      <c r="F217" t="inlineStr">
        <is>
          <t>UPPSALA LÄN</t>
        </is>
      </c>
      <c r="G217" t="inlineStr">
        <is>
          <t>HEBY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46319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46319</v>
      </c>
      <c r="F219" t="inlineStr">
        <is>
          <t>UPPSALA LÄN</t>
        </is>
      </c>
      <c r="G219" t="inlineStr">
        <is>
          <t>HEBY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46319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46319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46319</v>
      </c>
      <c r="F222" t="inlineStr">
        <is>
          <t>UPPSALA LÄN</t>
        </is>
      </c>
      <c r="G222" t="inlineStr">
        <is>
          <t>HEBY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46319</v>
      </c>
      <c r="F223" t="inlineStr">
        <is>
          <t>UPPSALA LÄN</t>
        </is>
      </c>
      <c r="G223" t="inlineStr">
        <is>
          <t>HEBY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55488-2025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45971</v>
      </c>
      <c r="E224" s="1" t="n">
        <v>46319</v>
      </c>
      <c r="F224" t="inlineStr">
        <is>
          <t>UPPSALA LÄN</t>
        </is>
      </c>
      <c r="G224" t="inlineStr">
        <is>
          <t>HEBY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55496-2025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45971</v>
      </c>
      <c r="E225" s="1" t="n">
        <v>46319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46319</v>
      </c>
      <c r="F226" t="inlineStr">
        <is>
          <t>UPPSALA LÄN</t>
        </is>
      </c>
      <c r="G226" t="inlineStr">
        <is>
          <t>HEBY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46319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46319</v>
      </c>
      <c r="F228" t="inlineStr">
        <is>
          <t>UPPSALA LÄN</t>
        </is>
      </c>
      <c r="G228" t="inlineStr">
        <is>
          <t>HEBY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46319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46319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46319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46319</v>
      </c>
      <c r="F232" t="inlineStr">
        <is>
          <t>UPPSALA LÄN</t>
        </is>
      </c>
      <c r="G232" t="inlineStr">
        <is>
          <t>HEBY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46319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44875</v>
      </c>
      <c r="E234" s="1" t="n">
        <v>46319</v>
      </c>
      <c r="F234" t="inlineStr">
        <is>
          <t>UPPSALA LÄN</t>
        </is>
      </c>
      <c r="G234" t="inlineStr">
        <is>
          <t>HEBY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46319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46319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46319</v>
      </c>
      <c r="F237" t="inlineStr">
        <is>
          <t>UPPSALA LÄN</t>
        </is>
      </c>
      <c r="G237" t="inlineStr">
        <is>
          <t>HEBY</t>
        </is>
      </c>
      <c r="H237" t="inlineStr">
        <is>
          <t>Kyrkan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46319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46319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öst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46319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öst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46319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46319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46319</v>
      </c>
      <c r="F243" t="inlineStr">
        <is>
          <t>UPPSALA LÄN</t>
        </is>
      </c>
      <c r="G243" t="inlineStr">
        <is>
          <t>HEBY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46319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46319</v>
      </c>
      <c r="F245" t="inlineStr">
        <is>
          <t>UPPSALA LÄN</t>
        </is>
      </c>
      <c r="G245" t="inlineStr">
        <is>
          <t>HEBY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46319</v>
      </c>
      <c r="F246" t="inlineStr">
        <is>
          <t>UPPSALA LÄN</t>
        </is>
      </c>
      <c r="G246" t="inlineStr">
        <is>
          <t>HEBY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46319</v>
      </c>
      <c r="F247" t="inlineStr">
        <is>
          <t>UPPSALA LÄN</t>
        </is>
      </c>
      <c r="G247" t="inlineStr">
        <is>
          <t>HEBY</t>
        </is>
      </c>
      <c r="H247" t="inlineStr">
        <is>
          <t>Allmännings- och besparingsskogar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45617</v>
      </c>
      <c r="E248" s="1" t="n">
        <v>46319</v>
      </c>
      <c r="F248" t="inlineStr">
        <is>
          <t>UPPSALA LÄN</t>
        </is>
      </c>
      <c r="G248" t="inlineStr">
        <is>
          <t>HEBY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46319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55.9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46319</v>
      </c>
      <c r="F250" t="inlineStr">
        <is>
          <t>UPPSALA LÄN</t>
        </is>
      </c>
      <c r="G250" t="inlineStr">
        <is>
          <t>HEBY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46223</v>
      </c>
      <c r="E251" s="1" t="n">
        <v>46319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44925</v>
      </c>
      <c r="E252" s="1" t="n">
        <v>46319</v>
      </c>
      <c r="F252" t="inlineStr">
        <is>
          <t>UPPSALA LÄN</t>
        </is>
      </c>
      <c r="G252" t="inlineStr">
        <is>
          <t>HEBY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46224</v>
      </c>
      <c r="E253" s="1" t="n">
        <v>46319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46319</v>
      </c>
      <c r="F254" t="inlineStr">
        <is>
          <t>UPPSALA LÄN</t>
        </is>
      </c>
      <c r="G254" t="inlineStr">
        <is>
          <t>HEBY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46319</v>
      </c>
      <c r="F255" t="inlineStr">
        <is>
          <t>UPPSALA LÄN</t>
        </is>
      </c>
      <c r="G255" t="inlineStr">
        <is>
          <t>HEBY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46005</v>
      </c>
      <c r="E256" s="1" t="n">
        <v>46319</v>
      </c>
      <c r="F256" t="inlineStr">
        <is>
          <t>UPPSALA LÄN</t>
        </is>
      </c>
      <c r="G256" t="inlineStr">
        <is>
          <t>HEBY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46319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46231</v>
      </c>
      <c r="E258" s="1" t="n">
        <v>46319</v>
      </c>
      <c r="F258" t="inlineStr">
        <is>
          <t>UPPSALA LÄN</t>
        </is>
      </c>
      <c r="G258" t="inlineStr">
        <is>
          <t>HEBY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46231</v>
      </c>
      <c r="E259" s="1" t="n">
        <v>46319</v>
      </c>
      <c r="F259" t="inlineStr">
        <is>
          <t>UPPSALA LÄN</t>
        </is>
      </c>
      <c r="G259" t="inlineStr">
        <is>
          <t>HEBY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46319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46319</v>
      </c>
      <c r="F261" t="inlineStr">
        <is>
          <t>UPPSALA LÄN</t>
        </is>
      </c>
      <c r="G261" t="inlineStr">
        <is>
          <t>HEBY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46237</v>
      </c>
      <c r="E262" s="1" t="n">
        <v>46319</v>
      </c>
      <c r="F262" t="inlineStr">
        <is>
          <t>UPPSALA LÄN</t>
        </is>
      </c>
      <c r="G262" t="inlineStr">
        <is>
          <t>HEBY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46319</v>
      </c>
      <c r="F263" t="inlineStr">
        <is>
          <t>UPPSALA LÄN</t>
        </is>
      </c>
      <c r="G263" t="inlineStr">
        <is>
          <t>HEBY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46319</v>
      </c>
      <c r="F264" t="inlineStr">
        <is>
          <t>UPPSALA LÄN</t>
        </is>
      </c>
      <c r="G264" t="inlineStr">
        <is>
          <t>HEBY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46319</v>
      </c>
      <c r="F265" t="inlineStr">
        <is>
          <t>UPPSALA LÄN</t>
        </is>
      </c>
      <c r="G265" t="inlineStr">
        <is>
          <t>HEBY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46237</v>
      </c>
      <c r="E266" s="1" t="n">
        <v>46319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46237</v>
      </c>
      <c r="E267" s="1" t="n">
        <v>46319</v>
      </c>
      <c r="F267" t="inlineStr">
        <is>
          <t>UPPSALA LÄN</t>
        </is>
      </c>
      <c r="G267" t="inlineStr">
        <is>
          <t>HEBY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46319</v>
      </c>
      <c r="F268" t="inlineStr">
        <is>
          <t>UPPSALA LÄN</t>
        </is>
      </c>
      <c r="G268" t="inlineStr">
        <is>
          <t>HEBY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46278</v>
      </c>
      <c r="E269" s="1" t="n">
        <v>46319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46279</v>
      </c>
      <c r="E270" s="1" t="n">
        <v>46319</v>
      </c>
      <c r="F270" t="inlineStr">
        <is>
          <t>UPPSALA LÄN</t>
        </is>
      </c>
      <c r="G270" t="inlineStr">
        <is>
          <t>HEBY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45355</v>
      </c>
      <c r="E271" s="1" t="n">
        <v>46319</v>
      </c>
      <c r="F271" t="inlineStr">
        <is>
          <t>UPPSALA LÄN</t>
        </is>
      </c>
      <c r="G271" t="inlineStr">
        <is>
          <t>HEBY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46319</v>
      </c>
      <c r="F272" t="inlineStr">
        <is>
          <t>UPPSALA LÄN</t>
        </is>
      </c>
      <c r="G272" t="inlineStr">
        <is>
          <t>HEBY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44644</v>
      </c>
      <c r="E273" s="1" t="n">
        <v>46319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46319</v>
      </c>
      <c r="F274" t="inlineStr">
        <is>
          <t>UPPSALA LÄN</t>
        </is>
      </c>
      <c r="G274" t="inlineStr">
        <is>
          <t>HEBY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46023</v>
      </c>
      <c r="E275" s="1" t="n">
        <v>46319</v>
      </c>
      <c r="F275" t="inlineStr">
        <is>
          <t>UPPSALA LÄN</t>
        </is>
      </c>
      <c r="G275" t="inlineStr">
        <is>
          <t>HEBY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46319</v>
      </c>
      <c r="F276" t="inlineStr">
        <is>
          <t>UPPSALA LÄN</t>
        </is>
      </c>
      <c r="G276" t="inlineStr">
        <is>
          <t>HEBY</t>
        </is>
      </c>
      <c r="H276" t="inlineStr">
        <is>
          <t>Kyrkan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46238</v>
      </c>
      <c r="E277" s="1" t="n">
        <v>46319</v>
      </c>
      <c r="F277" t="inlineStr">
        <is>
          <t>UPPSALA LÄN</t>
        </is>
      </c>
      <c r="G277" t="inlineStr">
        <is>
          <t>HEBY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46319</v>
      </c>
      <c r="F278" t="inlineStr">
        <is>
          <t>UPPSALA LÄN</t>
        </is>
      </c>
      <c r="G278" t="inlineStr">
        <is>
          <t>HEBY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46319</v>
      </c>
      <c r="F279" t="inlineStr">
        <is>
          <t>UPPSALA LÄN</t>
        </is>
      </c>
      <c r="G279" t="inlineStr">
        <is>
          <t>HEBY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46319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46319</v>
      </c>
      <c r="F281" t="inlineStr">
        <is>
          <t>UPPSALA LÄN</t>
        </is>
      </c>
      <c r="G281" t="inlineStr">
        <is>
          <t>HEBY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46319</v>
      </c>
      <c r="F282" t="inlineStr">
        <is>
          <t>UPPSALA LÄN</t>
        </is>
      </c>
      <c r="G282" t="inlineStr">
        <is>
          <t>HEBY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46319</v>
      </c>
      <c r="F283" t="inlineStr">
        <is>
          <t>UPPSALA LÄN</t>
        </is>
      </c>
      <c r="G283" t="inlineStr">
        <is>
          <t>HEBY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46319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46319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46319</v>
      </c>
      <c r="F286" t="inlineStr">
        <is>
          <t>UPPSALA LÄN</t>
        </is>
      </c>
      <c r="G286" t="inlineStr">
        <is>
          <t>HEBY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46319</v>
      </c>
      <c r="F287" t="inlineStr">
        <is>
          <t>UPPSALA LÄN</t>
        </is>
      </c>
      <c r="G287" t="inlineStr">
        <is>
          <t>HEBY</t>
        </is>
      </c>
      <c r="H287" t="inlineStr">
        <is>
          <t>Kyrkan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46319</v>
      </c>
      <c r="F288" t="inlineStr">
        <is>
          <t>UPPSALA LÄN</t>
        </is>
      </c>
      <c r="G288" t="inlineStr">
        <is>
          <t>HEBY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46281</v>
      </c>
      <c r="E289" s="1" t="n">
        <v>46319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46319</v>
      </c>
      <c r="F290" t="inlineStr">
        <is>
          <t>UPPSALA LÄN</t>
        </is>
      </c>
      <c r="G290" t="inlineStr">
        <is>
          <t>HEBY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46319</v>
      </c>
      <c r="F291" t="inlineStr">
        <is>
          <t>UPPSALA LÄN</t>
        </is>
      </c>
      <c r="G291" t="inlineStr">
        <is>
          <t>HEBY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46319</v>
      </c>
      <c r="F292" t="inlineStr">
        <is>
          <t>UPPSALA LÄN</t>
        </is>
      </c>
      <c r="G292" t="inlineStr">
        <is>
          <t>HEBY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45547</v>
      </c>
      <c r="E293" s="1" t="n">
        <v>46319</v>
      </c>
      <c r="F293" t="inlineStr">
        <is>
          <t>UPPSALA LÄN</t>
        </is>
      </c>
      <c r="G293" t="inlineStr">
        <is>
          <t>HEBY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46319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46319</v>
      </c>
      <c r="F295" t="inlineStr">
        <is>
          <t>UPPSALA LÄN</t>
        </is>
      </c>
      <c r="G295" t="inlineStr">
        <is>
          <t>HEBY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46319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46319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46319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46319</v>
      </c>
      <c r="F299" t="inlineStr">
        <is>
          <t>UPPSALA LÄN</t>
        </is>
      </c>
      <c r="G299" t="inlineStr">
        <is>
          <t>HEBY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46319</v>
      </c>
      <c r="F300" t="inlineStr">
        <is>
          <t>UPPSALA LÄN</t>
        </is>
      </c>
      <c r="G300" t="inlineStr">
        <is>
          <t>HEBY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46319</v>
      </c>
      <c r="F301" t="inlineStr">
        <is>
          <t>UPPSALA LÄN</t>
        </is>
      </c>
      <c r="G301" t="inlineStr">
        <is>
          <t>HEBY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46319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46319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46319</v>
      </c>
      <c r="F304" t="inlineStr">
        <is>
          <t>UPPSALA LÄN</t>
        </is>
      </c>
      <c r="G304" t="inlineStr">
        <is>
          <t>HEBY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11555-2026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46084</v>
      </c>
      <c r="E305" s="1" t="n">
        <v>46319</v>
      </c>
      <c r="F305" t="inlineStr">
        <is>
          <t>UPPSALA LÄN</t>
        </is>
      </c>
      <c r="G305" t="inlineStr">
        <is>
          <t>HEBY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46319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46319</v>
      </c>
      <c r="F307" t="inlineStr">
        <is>
          <t>UPPSALA LÄN</t>
        </is>
      </c>
      <c r="G307" t="inlineStr">
        <is>
          <t>HEBY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46319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46319</v>
      </c>
      <c r="F309" t="inlineStr">
        <is>
          <t>UPPSALA LÄN</t>
        </is>
      </c>
      <c r="G309" t="inlineStr">
        <is>
          <t>HEBY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46319</v>
      </c>
      <c r="F310" t="inlineStr">
        <is>
          <t>UPPSALA LÄN</t>
        </is>
      </c>
      <c r="G310" t="inlineStr">
        <is>
          <t>HEBY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46319</v>
      </c>
      <c r="F311" t="inlineStr">
        <is>
          <t>UPPSALA LÄN</t>
        </is>
      </c>
      <c r="G311" t="inlineStr">
        <is>
          <t>HEBY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46319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45680</v>
      </c>
      <c r="E313" s="1" t="n">
        <v>46319</v>
      </c>
      <c r="F313" t="inlineStr">
        <is>
          <t>UPPSALA LÄN</t>
        </is>
      </c>
      <c r="G313" t="inlineStr">
        <is>
          <t>HEBY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46319</v>
      </c>
      <c r="F314" t="inlineStr">
        <is>
          <t>UPPSALA LÄN</t>
        </is>
      </c>
      <c r="G314" t="inlineStr">
        <is>
          <t>HEBY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46319</v>
      </c>
      <c r="F315" t="inlineStr">
        <is>
          <t>UPPSALA LÄN</t>
        </is>
      </c>
      <c r="G315" t="inlineStr">
        <is>
          <t>HEBY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46319</v>
      </c>
      <c r="F316" t="inlineStr">
        <is>
          <t>UPPSALA LÄN</t>
        </is>
      </c>
      <c r="G316" t="inlineStr">
        <is>
          <t>HEBY</t>
        </is>
      </c>
      <c r="H316" t="inlineStr">
        <is>
          <t>Kommuner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45519</v>
      </c>
      <c r="E317" s="1" t="n">
        <v>46319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46319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öst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46319</v>
      </c>
      <c r="F319" t="inlineStr">
        <is>
          <t>UPPSALA LÄN</t>
        </is>
      </c>
      <c r="G319" t="inlineStr">
        <is>
          <t>HEBY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46319</v>
      </c>
      <c r="F320" t="inlineStr">
        <is>
          <t>UPPSALA LÄN</t>
        </is>
      </c>
      <c r="G320" t="inlineStr">
        <is>
          <t>HEBY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46319</v>
      </c>
      <c r="F321" t="inlineStr">
        <is>
          <t>UPPSALA LÄN</t>
        </is>
      </c>
      <c r="G321" t="inlineStr">
        <is>
          <t>HEBY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46319</v>
      </c>
      <c r="F322" t="inlineStr">
        <is>
          <t>UPPSALA LÄN</t>
        </is>
      </c>
      <c r="G322" t="inlineStr">
        <is>
          <t>HEBY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46319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46319</v>
      </c>
      <c r="F324" t="inlineStr">
        <is>
          <t>UPPSALA LÄN</t>
        </is>
      </c>
      <c r="G324" t="inlineStr">
        <is>
          <t>HEBY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46319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46319</v>
      </c>
      <c r="F326" t="inlineStr">
        <is>
          <t>UPPSALA LÄN</t>
        </is>
      </c>
      <c r="G326" t="inlineStr">
        <is>
          <t>HEBY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69377-2021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44531</v>
      </c>
      <c r="E327" s="1" t="n">
        <v>46319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45339</v>
      </c>
      <c r="E328" s="1" t="n">
        <v>46319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46319</v>
      </c>
      <c r="F329" t="inlineStr">
        <is>
          <t>UPPSALA LÄN</t>
        </is>
      </c>
      <c r="G329" t="inlineStr">
        <is>
          <t>HEBY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46293</v>
      </c>
      <c r="E330" s="1" t="n">
        <v>46319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46319</v>
      </c>
      <c r="F331" t="inlineStr">
        <is>
          <t>UPPSALA LÄN</t>
        </is>
      </c>
      <c r="G331" t="inlineStr">
        <is>
          <t>HEBY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46319</v>
      </c>
      <c r="F332" t="inlineStr">
        <is>
          <t>UPPSALA LÄN</t>
        </is>
      </c>
      <c r="G332" t="inlineStr">
        <is>
          <t>HEBY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46319</v>
      </c>
      <c r="F333" t="inlineStr">
        <is>
          <t>UPPSALA LÄN</t>
        </is>
      </c>
      <c r="G333" t="inlineStr">
        <is>
          <t>HEBY</t>
        </is>
      </c>
      <c r="H333" t="inlineStr">
        <is>
          <t>Kyrkan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46319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46319</v>
      </c>
      <c r="F335" t="inlineStr">
        <is>
          <t>UPPSALA LÄN</t>
        </is>
      </c>
      <c r="G335" t="inlineStr">
        <is>
          <t>HEBY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46319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46319</v>
      </c>
      <c r="F337" t="inlineStr">
        <is>
          <t>UPPSALA LÄN</t>
        </is>
      </c>
      <c r="G337" t="inlineStr">
        <is>
          <t>HEBY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46319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46319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46296</v>
      </c>
      <c r="E340" s="1" t="n">
        <v>46319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46296</v>
      </c>
      <c r="E341" s="1" t="n">
        <v>46319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46319</v>
      </c>
      <c r="F342" t="inlineStr">
        <is>
          <t>UPPSALA LÄN</t>
        </is>
      </c>
      <c r="G342" t="inlineStr">
        <is>
          <t>HEBY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46319</v>
      </c>
      <c r="F343" t="inlineStr">
        <is>
          <t>UPPSALA LÄN</t>
        </is>
      </c>
      <c r="G343" t="inlineStr">
        <is>
          <t>HEBY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46319</v>
      </c>
      <c r="F344" t="inlineStr">
        <is>
          <t>UPPSALA LÄN</t>
        </is>
      </c>
      <c r="G344" t="inlineStr">
        <is>
          <t>HEBY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46296</v>
      </c>
      <c r="E345" s="1" t="n">
        <v>46319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öst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46319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46319</v>
      </c>
      <c r="F347" t="inlineStr">
        <is>
          <t>UPPSALA LÄN</t>
        </is>
      </c>
      <c r="G347" t="inlineStr">
        <is>
          <t>HEBY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46319</v>
      </c>
      <c r="F348" t="inlineStr">
        <is>
          <t>UPPSALA LÄN</t>
        </is>
      </c>
      <c r="G348" t="inlineStr">
        <is>
          <t>HEBY</t>
        </is>
      </c>
      <c r="I348" t="n">
        <v>11.5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46319</v>
      </c>
      <c r="F349" t="inlineStr">
        <is>
          <t>UPPSALA LÄN</t>
        </is>
      </c>
      <c r="G349" t="inlineStr">
        <is>
          <t>HEBY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46295</v>
      </c>
      <c r="E350" s="1" t="n">
        <v>46319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öst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46296</v>
      </c>
      <c r="E351" s="1" t="n">
        <v>46319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46296</v>
      </c>
      <c r="E352" s="1" t="n">
        <v>46319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46319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46319</v>
      </c>
      <c r="F354" t="inlineStr">
        <is>
          <t>UPPSALA LÄN</t>
        </is>
      </c>
      <c r="G354" t="inlineStr">
        <is>
          <t>HEBY</t>
        </is>
      </c>
      <c r="H354" t="inlineStr">
        <is>
          <t>Allmännings- och besparingsskogar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46319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46319</v>
      </c>
      <c r="F356" t="inlineStr">
        <is>
          <t>UPPSALA LÄN</t>
        </is>
      </c>
      <c r="G356" t="inlineStr">
        <is>
          <t>HEBY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46319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46319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46255</v>
      </c>
      <c r="E359" s="1" t="n">
        <v>46319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46319</v>
      </c>
      <c r="F360" t="inlineStr">
        <is>
          <t>UPPSALA LÄN</t>
        </is>
      </c>
      <c r="G360" t="inlineStr">
        <is>
          <t>HEBY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46319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46319</v>
      </c>
      <c r="F362" t="inlineStr">
        <is>
          <t>UPPSALA LÄN</t>
        </is>
      </c>
      <c r="G362" t="inlineStr">
        <is>
          <t>HEBY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45764</v>
      </c>
      <c r="E363" s="1" t="n">
        <v>46319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46319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43.4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46255</v>
      </c>
      <c r="E365" s="1" t="n">
        <v>46319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46255</v>
      </c>
      <c r="E366" s="1" t="n">
        <v>46319</v>
      </c>
      <c r="F366" t="inlineStr">
        <is>
          <t>UPPSALA LÄN</t>
        </is>
      </c>
      <c r="G366" t="inlineStr">
        <is>
          <t>HEBY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46319</v>
      </c>
      <c r="F367" t="inlineStr">
        <is>
          <t>UPPSALA LÄN</t>
        </is>
      </c>
      <c r="G367" t="inlineStr">
        <is>
          <t>HEBY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46319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46319</v>
      </c>
      <c r="F369" t="inlineStr">
        <is>
          <t>UPPSALA LÄN</t>
        </is>
      </c>
      <c r="G369" t="inlineStr">
        <is>
          <t>HEBY</t>
        </is>
      </c>
      <c r="I369" t="n">
        <v>17.5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46319</v>
      </c>
      <c r="F370" t="inlineStr">
        <is>
          <t>UPPSALA LÄN</t>
        </is>
      </c>
      <c r="G370" t="inlineStr">
        <is>
          <t>HEBY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46319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46319</v>
      </c>
      <c r="F372" t="inlineStr">
        <is>
          <t>UPPSALA LÄN</t>
        </is>
      </c>
      <c r="G372" t="inlineStr">
        <is>
          <t>HEBY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46319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46319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46319</v>
      </c>
      <c r="F375" t="inlineStr">
        <is>
          <t>UPPSALA LÄN</t>
        </is>
      </c>
      <c r="G375" t="inlineStr">
        <is>
          <t>HEBY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46254</v>
      </c>
      <c r="E376" s="1" t="n">
        <v>46319</v>
      </c>
      <c r="F376" t="inlineStr">
        <is>
          <t>UPPSALA LÄN</t>
        </is>
      </c>
      <c r="G376" t="inlineStr">
        <is>
          <t>HEBY</t>
        </is>
      </c>
      <c r="H376" t="inlineStr">
        <is>
          <t>Kyrkan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46319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46319</v>
      </c>
      <c r="F378" t="inlineStr">
        <is>
          <t>UPPSALA LÄN</t>
        </is>
      </c>
      <c r="G378" t="inlineStr">
        <is>
          <t>HEBY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46255</v>
      </c>
      <c r="E379" s="1" t="n">
        <v>46319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46319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46319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46319</v>
      </c>
      <c r="F382" t="inlineStr">
        <is>
          <t>UPPSALA LÄN</t>
        </is>
      </c>
      <c r="G382" t="inlineStr">
        <is>
          <t>HEBY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46319</v>
      </c>
      <c r="F383" t="inlineStr">
        <is>
          <t>UPPSALA LÄN</t>
        </is>
      </c>
      <c r="G383" t="inlineStr">
        <is>
          <t>HEBY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46301</v>
      </c>
      <c r="E384" s="1" t="n">
        <v>46319</v>
      </c>
      <c r="F384" t="inlineStr">
        <is>
          <t>UPPSALA LÄN</t>
        </is>
      </c>
      <c r="G384" t="inlineStr">
        <is>
          <t>HEBY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46301</v>
      </c>
      <c r="E385" s="1" t="n">
        <v>46319</v>
      </c>
      <c r="F385" t="inlineStr">
        <is>
          <t>UPPSALA LÄN</t>
        </is>
      </c>
      <c r="G385" t="inlineStr">
        <is>
          <t>HEBY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46319</v>
      </c>
      <c r="F386" t="inlineStr">
        <is>
          <t>UPPSALA LÄN</t>
        </is>
      </c>
      <c r="G386" t="inlineStr">
        <is>
          <t>HEBY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46319</v>
      </c>
      <c r="F387" t="inlineStr">
        <is>
          <t>UPPSALA LÄN</t>
        </is>
      </c>
      <c r="G387" t="inlineStr">
        <is>
          <t>HEBY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45313-2022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44844</v>
      </c>
      <c r="E388" s="1" t="n">
        <v>46319</v>
      </c>
      <c r="F388" t="inlineStr">
        <is>
          <t>UPPSALA LÄN</t>
        </is>
      </c>
      <c r="G388" t="inlineStr">
        <is>
          <t>HEBY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46301</v>
      </c>
      <c r="E389" s="1" t="n">
        <v>46319</v>
      </c>
      <c r="F389" t="inlineStr">
        <is>
          <t>UPPSALA LÄN</t>
        </is>
      </c>
      <c r="G389" t="inlineStr">
        <is>
          <t>HEBY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46319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45852</v>
      </c>
      <c r="E391" s="1" t="n">
        <v>46319</v>
      </c>
      <c r="F391" t="inlineStr">
        <is>
          <t>UPPSALA LÄN</t>
        </is>
      </c>
      <c r="G391" t="inlineStr">
        <is>
          <t>HEBY</t>
        </is>
      </c>
      <c r="H391" t="inlineStr">
        <is>
          <t>Kyrkan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46319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44978</v>
      </c>
      <c r="E393" s="1" t="n">
        <v>46319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46319</v>
      </c>
      <c r="F394" t="inlineStr">
        <is>
          <t>UPPSALA LÄN</t>
        </is>
      </c>
      <c r="G394" t="inlineStr">
        <is>
          <t>HEBY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46302</v>
      </c>
      <c r="E395" s="1" t="n">
        <v>46319</v>
      </c>
      <c r="F395" t="inlineStr">
        <is>
          <t>UPPSALA LÄN</t>
        </is>
      </c>
      <c r="G395" t="inlineStr">
        <is>
          <t>HEBY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46319</v>
      </c>
      <c r="F396" t="inlineStr">
        <is>
          <t>UPPSALA LÄN</t>
        </is>
      </c>
      <c r="G396" t="inlineStr">
        <is>
          <t>HEBY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46301</v>
      </c>
      <c r="E397" s="1" t="n">
        <v>46319</v>
      </c>
      <c r="F397" t="inlineStr">
        <is>
          <t>UPPSALA LÄN</t>
        </is>
      </c>
      <c r="G397" t="inlineStr">
        <is>
          <t>HEBY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46110</v>
      </c>
      <c r="E398" s="1" t="n">
        <v>46319</v>
      </c>
      <c r="F398" t="inlineStr">
        <is>
          <t>UPPSALA LÄN</t>
        </is>
      </c>
      <c r="G398" t="inlineStr">
        <is>
          <t>HEBY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46302</v>
      </c>
      <c r="E399" s="1" t="n">
        <v>46319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46112</v>
      </c>
      <c r="E400" s="1" t="n">
        <v>46319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46319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46319</v>
      </c>
      <c r="F402" t="inlineStr">
        <is>
          <t>UPPSALA LÄN</t>
        </is>
      </c>
      <c r="G402" t="inlineStr">
        <is>
          <t>HEBY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46319</v>
      </c>
      <c r="F403" t="inlineStr">
        <is>
          <t>UPPSALA LÄN</t>
        </is>
      </c>
      <c r="G403" t="inlineStr">
        <is>
          <t>HEBY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46319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46319</v>
      </c>
      <c r="F405" t="inlineStr">
        <is>
          <t>UPPSALA LÄN</t>
        </is>
      </c>
      <c r="G405" t="inlineStr">
        <is>
          <t>HEBY</t>
        </is>
      </c>
      <c r="H405" t="inlineStr">
        <is>
          <t>Övriga Aktiebolag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46114</v>
      </c>
      <c r="E406" s="1" t="n">
        <v>46319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46319</v>
      </c>
      <c r="F407" t="inlineStr">
        <is>
          <t>UPPSALA LÄN</t>
        </is>
      </c>
      <c r="G407" t="inlineStr">
        <is>
          <t>HEBY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46303</v>
      </c>
      <c r="E408" s="1" t="n">
        <v>46319</v>
      </c>
      <c r="F408" t="inlineStr">
        <is>
          <t>UPPSALA LÄN</t>
        </is>
      </c>
      <c r="G408" t="inlineStr">
        <is>
          <t>HEBY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45786</v>
      </c>
      <c r="E409" s="1" t="n">
        <v>46319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44574</v>
      </c>
      <c r="E410" s="1" t="n">
        <v>46319</v>
      </c>
      <c r="F410" t="inlineStr">
        <is>
          <t>UPPSALA LÄN</t>
        </is>
      </c>
      <c r="G410" t="inlineStr">
        <is>
          <t>HEBY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45439</v>
      </c>
      <c r="E411" s="1" t="n">
        <v>46319</v>
      </c>
      <c r="F411" t="inlineStr">
        <is>
          <t>UPPSALA LÄN</t>
        </is>
      </c>
      <c r="G411" t="inlineStr">
        <is>
          <t>HEBY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46319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46319</v>
      </c>
      <c r="F413" t="inlineStr">
        <is>
          <t>UPPSALA LÄN</t>
        </is>
      </c>
      <c r="G413" t="inlineStr">
        <is>
          <t>HEBY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46319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41216-2025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45898</v>
      </c>
      <c r="E415" s="1" t="n">
        <v>46319</v>
      </c>
      <c r="F415" t="inlineStr">
        <is>
          <t>UPPSALA LÄN</t>
        </is>
      </c>
      <c r="G415" t="inlineStr">
        <is>
          <t>HEBY</t>
        </is>
      </c>
      <c r="I415" t="n">
        <v>14.8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46319</v>
      </c>
      <c r="F416" t="inlineStr">
        <is>
          <t>UPPSALA LÄN</t>
        </is>
      </c>
      <c r="G416" t="inlineStr">
        <is>
          <t>HEBY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46319</v>
      </c>
      <c r="F417" t="inlineStr">
        <is>
          <t>UPPSALA LÄN</t>
        </is>
      </c>
      <c r="G417" t="inlineStr">
        <is>
          <t>HEBY</t>
        </is>
      </c>
      <c r="H417" t="inlineStr">
        <is>
          <t>Kyrkan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42334-2026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46307</v>
      </c>
      <c r="E418" s="1" t="n">
        <v>46319</v>
      </c>
      <c r="F418" t="inlineStr">
        <is>
          <t>UPPSALA LÄN</t>
        </is>
      </c>
      <c r="G418" t="inlineStr">
        <is>
          <t>HEBY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45777</v>
      </c>
      <c r="E419" s="1" t="n">
        <v>46319</v>
      </c>
      <c r="F419" t="inlineStr">
        <is>
          <t>UPPSALA LÄN</t>
        </is>
      </c>
      <c r="G419" t="inlineStr">
        <is>
          <t>HEBY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64899-2021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44512</v>
      </c>
      <c r="E420" s="1" t="n">
        <v>46319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öst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46319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46319</v>
      </c>
      <c r="F422" t="inlineStr">
        <is>
          <t>UPPSALA LÄN</t>
        </is>
      </c>
      <c r="G422" t="inlineStr">
        <is>
          <t>HEBY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60722-2022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44913</v>
      </c>
      <c r="E423" s="1" t="n">
        <v>46319</v>
      </c>
      <c r="F423" t="inlineStr">
        <is>
          <t>UPPSALA LÄN</t>
        </is>
      </c>
      <c r="G423" t="inlineStr">
        <is>
          <t>HEBY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46319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46319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46319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46319</v>
      </c>
      <c r="F427" t="inlineStr">
        <is>
          <t>UPPSALA LÄN</t>
        </is>
      </c>
      <c r="G427" t="inlineStr">
        <is>
          <t>HEBY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46307</v>
      </c>
      <c r="E428" s="1" t="n">
        <v>46319</v>
      </c>
      <c r="F428" t="inlineStr">
        <is>
          <t>UPPSALA LÄN</t>
        </is>
      </c>
      <c r="G428" t="inlineStr">
        <is>
          <t>HEBY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46319</v>
      </c>
      <c r="F429" t="inlineStr">
        <is>
          <t>UPPSALA LÄN</t>
        </is>
      </c>
      <c r="G429" t="inlineStr">
        <is>
          <t>HEBY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46319</v>
      </c>
      <c r="F430" t="inlineStr">
        <is>
          <t>UPPSALA LÄN</t>
        </is>
      </c>
      <c r="G430" t="inlineStr">
        <is>
          <t>HEBY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46319</v>
      </c>
      <c r="F431" t="inlineStr">
        <is>
          <t>UPPSALA LÄN</t>
        </is>
      </c>
      <c r="G431" t="inlineStr">
        <is>
          <t>HEBY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38818-2026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46286</v>
      </c>
      <c r="E432" s="1" t="n">
        <v>46319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45895</v>
      </c>
      <c r="E433" s="1" t="n">
        <v>46319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44574</v>
      </c>
      <c r="E434" s="1" t="n">
        <v>46319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46311</v>
      </c>
      <c r="E435" s="1" t="n">
        <v>46319</v>
      </c>
      <c r="F435" t="inlineStr">
        <is>
          <t>UPPSALA LÄN</t>
        </is>
      </c>
      <c r="G435" t="inlineStr">
        <is>
          <t>HEBY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46311</v>
      </c>
      <c r="E436" s="1" t="n">
        <v>46319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43184-2026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46312</v>
      </c>
      <c r="E437" s="1" t="n">
        <v>46319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46319</v>
      </c>
      <c r="F438" t="inlineStr">
        <is>
          <t>UPPSALA LÄN</t>
        </is>
      </c>
      <c r="G438" t="inlineStr">
        <is>
          <t>HEBY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46314</v>
      </c>
      <c r="E439" s="1" t="n">
        <v>46319</v>
      </c>
      <c r="F439" t="inlineStr">
        <is>
          <t>UPPSALA LÄN</t>
        </is>
      </c>
      <c r="G439" t="inlineStr">
        <is>
          <t>HEBY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46311</v>
      </c>
      <c r="E440" s="1" t="n">
        <v>46319</v>
      </c>
      <c r="F440" t="inlineStr">
        <is>
          <t>UPPSALA LÄN</t>
        </is>
      </c>
      <c r="G440" t="inlineStr">
        <is>
          <t>HEBY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46319</v>
      </c>
      <c r="F441" t="inlineStr">
        <is>
          <t>UPPSALA LÄN</t>
        </is>
      </c>
      <c r="G441" t="inlineStr">
        <is>
          <t>HEBY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46319</v>
      </c>
      <c r="F442" t="inlineStr">
        <is>
          <t>UPPSALA LÄN</t>
        </is>
      </c>
      <c r="G442" t="inlineStr">
        <is>
          <t>HEBY</t>
        </is>
      </c>
      <c r="H442" t="inlineStr">
        <is>
          <t>Kyrkan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46314</v>
      </c>
      <c r="E443" s="1" t="n">
        <v>46319</v>
      </c>
      <c r="F443" t="inlineStr">
        <is>
          <t>UPPSALA LÄN</t>
        </is>
      </c>
      <c r="G443" t="inlineStr">
        <is>
          <t>HEBY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46319</v>
      </c>
      <c r="F444" t="inlineStr">
        <is>
          <t>UPPSALA LÄN</t>
        </is>
      </c>
      <c r="G444" t="inlineStr">
        <is>
          <t>HEBY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46319</v>
      </c>
      <c r="F445" t="inlineStr">
        <is>
          <t>UPPSALA LÄN</t>
        </is>
      </c>
      <c r="G445" t="inlineStr">
        <is>
          <t>HEBY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46319</v>
      </c>
      <c r="F446" t="inlineStr">
        <is>
          <t>UPPSALA LÄN</t>
        </is>
      </c>
      <c r="G446" t="inlineStr">
        <is>
          <t>HEBY</t>
        </is>
      </c>
      <c r="H446" t="inlineStr">
        <is>
          <t>Allmännings- och besparingsskogar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46319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46319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46319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46319</v>
      </c>
      <c r="F450" t="inlineStr">
        <is>
          <t>UPPSALA LÄN</t>
        </is>
      </c>
      <c r="G450" t="inlineStr">
        <is>
          <t>HEBY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46312</v>
      </c>
      <c r="E451" s="1" t="n">
        <v>46319</v>
      </c>
      <c r="F451" t="inlineStr">
        <is>
          <t>UPPSALA LÄN</t>
        </is>
      </c>
      <c r="G451" t="inlineStr">
        <is>
          <t>HEBY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46314</v>
      </c>
      <c r="E452" s="1" t="n">
        <v>46319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öst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46314</v>
      </c>
      <c r="E453" s="1" t="n">
        <v>46319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öst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46319</v>
      </c>
      <c r="F454" t="inlineStr">
        <is>
          <t>UPPSALA LÄN</t>
        </is>
      </c>
      <c r="G454" t="inlineStr">
        <is>
          <t>HEBY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46314</v>
      </c>
      <c r="E455" s="1" t="n">
        <v>46319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öst AB</t>
        </is>
      </c>
      <c r="I455" t="n">
        <v>8.800000000000001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45411</v>
      </c>
      <c r="E456" s="1" t="n">
        <v>46319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46314</v>
      </c>
      <c r="E457" s="1" t="n">
        <v>46319</v>
      </c>
      <c r="F457" t="inlineStr">
        <is>
          <t>UPPSALA LÄN</t>
        </is>
      </c>
      <c r="G457" t="inlineStr">
        <is>
          <t>HEBY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46319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46319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66.90000000000001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46314</v>
      </c>
      <c r="E460" s="1" t="n">
        <v>46319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46319</v>
      </c>
      <c r="F461" t="inlineStr">
        <is>
          <t>UPPSALA LÄN</t>
        </is>
      </c>
      <c r="G461" t="inlineStr">
        <is>
          <t>HEBY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46319</v>
      </c>
      <c r="F462" t="inlineStr">
        <is>
          <t>UPPSALA LÄN</t>
        </is>
      </c>
      <c r="G462" t="inlineStr">
        <is>
          <t>HEBY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46319</v>
      </c>
      <c r="F463" t="inlineStr">
        <is>
          <t>UPPSALA LÄN</t>
        </is>
      </c>
      <c r="G463" t="inlineStr">
        <is>
          <t>HEBY</t>
        </is>
      </c>
      <c r="H463" t="inlineStr">
        <is>
          <t>Övriga Aktiebolag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46319</v>
      </c>
      <c r="F464" t="inlineStr">
        <is>
          <t>UPPSALA LÄN</t>
        </is>
      </c>
      <c r="G464" t="inlineStr">
        <is>
          <t>HEBY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45932</v>
      </c>
      <c r="E465" s="1" t="n">
        <v>46319</v>
      </c>
      <c r="F465" t="inlineStr">
        <is>
          <t>UPPSALA LÄN</t>
        </is>
      </c>
      <c r="G465" t="inlineStr">
        <is>
          <t>HEBY</t>
        </is>
      </c>
      <c r="H465" t="inlineStr">
        <is>
          <t>Allmännings- och besparingsskogar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46319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46319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46319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46319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46319</v>
      </c>
      <c r="F470" t="inlineStr">
        <is>
          <t>UPPSALA LÄN</t>
        </is>
      </c>
      <c r="G470" t="inlineStr">
        <is>
          <t>HEBY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46315</v>
      </c>
      <c r="E471" s="1" t="n">
        <v>46319</v>
      </c>
      <c r="F471" t="inlineStr">
        <is>
          <t>UPPSALA LÄN</t>
        </is>
      </c>
      <c r="G471" t="inlineStr">
        <is>
          <t>HEBY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46319</v>
      </c>
      <c r="F472" t="inlineStr">
        <is>
          <t>UPPSALA LÄN</t>
        </is>
      </c>
      <c r="G472" t="inlineStr">
        <is>
          <t>HEBY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46315</v>
      </c>
      <c r="E473" s="1" t="n">
        <v>46319</v>
      </c>
      <c r="F473" t="inlineStr">
        <is>
          <t>UPPSALA LÄN</t>
        </is>
      </c>
      <c r="G473" t="inlineStr">
        <is>
          <t>HEBY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46319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46319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45567</v>
      </c>
      <c r="E476" s="1" t="n">
        <v>46319</v>
      </c>
      <c r="F476" t="inlineStr">
        <is>
          <t>UPPSALA LÄN</t>
        </is>
      </c>
      <c r="G476" t="inlineStr">
        <is>
          <t>HEBY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46315</v>
      </c>
      <c r="E477" s="1" t="n">
        <v>46319</v>
      </c>
      <c r="F477" t="inlineStr">
        <is>
          <t>UPPSALA LÄN</t>
        </is>
      </c>
      <c r="G477" t="inlineStr">
        <is>
          <t>HEBY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45891</v>
      </c>
      <c r="E478" s="1" t="n">
        <v>46319</v>
      </c>
      <c r="F478" t="inlineStr">
        <is>
          <t>UPPSALA LÄN</t>
        </is>
      </c>
      <c r="G478" t="inlineStr">
        <is>
          <t>HEBY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46319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45904</v>
      </c>
      <c r="E480" s="1" t="n">
        <v>46319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öst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46315</v>
      </c>
      <c r="E481" s="1" t="n">
        <v>46319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45331</v>
      </c>
      <c r="E482" s="1" t="n">
        <v>46319</v>
      </c>
      <c r="F482" t="inlineStr">
        <is>
          <t>UPPSALA LÄN</t>
        </is>
      </c>
      <c r="G482" t="inlineStr">
        <is>
          <t>HEBY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46319</v>
      </c>
      <c r="F483" t="inlineStr">
        <is>
          <t>UPPSALA LÄN</t>
        </is>
      </c>
      <c r="G483" t="inlineStr">
        <is>
          <t>HEBY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46319</v>
      </c>
      <c r="F484" t="inlineStr">
        <is>
          <t>UPPSALA LÄN</t>
        </is>
      </c>
      <c r="G484" t="inlineStr">
        <is>
          <t>HEBY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45050</v>
      </c>
      <c r="E485" s="1" t="n">
        <v>46319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46319</v>
      </c>
      <c r="F486" t="inlineStr">
        <is>
          <t>UPPSALA LÄN</t>
        </is>
      </c>
      <c r="G486" t="inlineStr">
        <is>
          <t>HEBY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46319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44944</v>
      </c>
      <c r="E488" s="1" t="n">
        <v>46319</v>
      </c>
      <c r="F488" t="inlineStr">
        <is>
          <t>UPPSALA LÄN</t>
        </is>
      </c>
      <c r="G488" t="inlineStr">
        <is>
          <t>HEBY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46319</v>
      </c>
      <c r="F489" t="inlineStr">
        <is>
          <t>UPPSALA LÄN</t>
        </is>
      </c>
      <c r="G489" t="inlineStr">
        <is>
          <t>HEBY</t>
        </is>
      </c>
      <c r="H489" t="inlineStr">
        <is>
          <t>Övriga Aktiebolag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46318</v>
      </c>
      <c r="E490" s="1" t="n">
        <v>46319</v>
      </c>
      <c r="F490" t="inlineStr">
        <is>
          <t>UPPSALA LÄN</t>
        </is>
      </c>
      <c r="G490" t="inlineStr">
        <is>
          <t>HEBY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44153-2026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46318</v>
      </c>
      <c r="E491" s="1" t="n">
        <v>46319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46319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46319</v>
      </c>
      <c r="F493" t="inlineStr">
        <is>
          <t>UPPSALA LÄN</t>
        </is>
      </c>
      <c r="G493" t="inlineStr">
        <is>
          <t>HEBY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45805</v>
      </c>
      <c r="E494" s="1" t="n">
        <v>46319</v>
      </c>
      <c r="F494" t="inlineStr">
        <is>
          <t>UPPSALA LÄN</t>
        </is>
      </c>
      <c r="G494" t="inlineStr">
        <is>
          <t>HEBY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46295</v>
      </c>
      <c r="E495" s="1" t="n">
        <v>46319</v>
      </c>
      <c r="F495" t="inlineStr">
        <is>
          <t>UPPSALA LÄN</t>
        </is>
      </c>
      <c r="G495" t="inlineStr">
        <is>
          <t>HEBY</t>
        </is>
      </c>
      <c r="H495" t="inlineStr">
        <is>
          <t>Allmännings- och besparingsskogar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44268-2026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46318</v>
      </c>
      <c r="E496" s="1" t="n">
        <v>46319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46319</v>
      </c>
      <c r="F497" t="inlineStr">
        <is>
          <t>UPPSALA LÄN</t>
        </is>
      </c>
      <c r="G497" t="inlineStr">
        <is>
          <t>HEBY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46319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44275-2026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46319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46319</v>
      </c>
      <c r="F500" t="inlineStr">
        <is>
          <t>UPPSALA LÄN</t>
        </is>
      </c>
      <c r="G500" t="inlineStr">
        <is>
          <t>HEBY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45364</v>
      </c>
      <c r="E501" s="1" t="n">
        <v>46319</v>
      </c>
      <c r="F501" t="inlineStr">
        <is>
          <t>UPPSALA LÄN</t>
        </is>
      </c>
      <c r="G501" t="inlineStr">
        <is>
          <t>HEBY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45364</v>
      </c>
      <c r="E502" s="1" t="n">
        <v>46319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46319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45006</v>
      </c>
      <c r="E504" s="1" t="n">
        <v>46319</v>
      </c>
      <c r="F504" t="inlineStr">
        <is>
          <t>UPPSALA LÄN</t>
        </is>
      </c>
      <c r="G504" t="inlineStr">
        <is>
          <t>HEBY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46319</v>
      </c>
      <c r="F505" t="inlineStr">
        <is>
          <t>UPPSALA LÄN</t>
        </is>
      </c>
      <c r="G505" t="inlineStr">
        <is>
          <t>HEBY</t>
        </is>
      </c>
      <c r="H505" t="inlineStr">
        <is>
          <t>Allmännings- och besparingsskogar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45058</v>
      </c>
      <c r="E506" s="1" t="n">
        <v>46319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46319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26099-2025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46319</v>
      </c>
      <c r="F508" t="inlineStr">
        <is>
          <t>UPPSALA LÄN</t>
        </is>
      </c>
      <c r="G508" t="inlineStr">
        <is>
          <t>HEBY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44601</v>
      </c>
      <c r="E509" s="1" t="n">
        <v>46319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46319</v>
      </c>
      <c r="F510" t="inlineStr">
        <is>
          <t>UPPSALA LÄN</t>
        </is>
      </c>
      <c r="G510" t="inlineStr">
        <is>
          <t>HEBY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45422</v>
      </c>
      <c r="E511" s="1" t="n">
        <v>46319</v>
      </c>
      <c r="F511" t="inlineStr">
        <is>
          <t>UPPSALA LÄN</t>
        </is>
      </c>
      <c r="G511" t="inlineStr">
        <is>
          <t>HEBY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19990-2022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44697</v>
      </c>
      <c r="E512" s="1" t="n">
        <v>46319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46319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46319</v>
      </c>
      <c r="F514" t="inlineStr">
        <is>
          <t>UPPSALA LÄN</t>
        </is>
      </c>
      <c r="G514" t="inlineStr">
        <is>
          <t>HEBY</t>
        </is>
      </c>
      <c r="H514" t="inlineStr">
        <is>
          <t>Övriga Aktiebolag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46319</v>
      </c>
      <c r="F515" t="inlineStr">
        <is>
          <t>UPPSALA LÄN</t>
        </is>
      </c>
      <c r="G515" t="inlineStr">
        <is>
          <t>HEBY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46319</v>
      </c>
      <c r="F516" t="inlineStr">
        <is>
          <t>UPPSALA LÄN</t>
        </is>
      </c>
      <c r="G516" t="inlineStr">
        <is>
          <t>HEBY</t>
        </is>
      </c>
      <c r="H516" t="inlineStr">
        <is>
          <t>Kyrkan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44960</v>
      </c>
      <c r="E517" s="1" t="n">
        <v>46319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44984</v>
      </c>
      <c r="E518" s="1" t="n">
        <v>46319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70158-2021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44533</v>
      </c>
      <c r="E519" s="1" t="n">
        <v>46319</v>
      </c>
      <c r="F519" t="inlineStr">
        <is>
          <t>UPPSALA LÄN</t>
        </is>
      </c>
      <c r="G519" t="inlineStr">
        <is>
          <t>HEBY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46319</v>
      </c>
      <c r="F520" t="inlineStr">
        <is>
          <t>UPPSALA LÄN</t>
        </is>
      </c>
      <c r="G520" t="inlineStr">
        <is>
          <t>HEBY</t>
        </is>
      </c>
      <c r="H520" t="inlineStr">
        <is>
          <t>Kommuner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35868-2022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46319</v>
      </c>
      <c r="F521" t="inlineStr">
        <is>
          <t>UPPSALA LÄN</t>
        </is>
      </c>
      <c r="G521" t="inlineStr">
        <is>
          <t>HEBY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46319</v>
      </c>
      <c r="F522" t="inlineStr">
        <is>
          <t>UPPSALA LÄN</t>
        </is>
      </c>
      <c r="G522" t="inlineStr">
        <is>
          <t>HEBY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46319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45030</v>
      </c>
      <c r="E524" s="1" t="n">
        <v>46319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44810</v>
      </c>
      <c r="E525" s="1" t="n">
        <v>46319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46319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46319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44754</v>
      </c>
      <c r="E528" s="1" t="n">
        <v>46319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46319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46319</v>
      </c>
      <c r="F530" t="inlineStr">
        <is>
          <t>UPPSALA LÄN</t>
        </is>
      </c>
      <c r="G530" t="inlineStr">
        <is>
          <t>HEBY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44694</v>
      </c>
      <c r="E531" s="1" t="n">
        <v>46319</v>
      </c>
      <c r="F531" t="inlineStr">
        <is>
          <t>UPPSALA LÄN</t>
        </is>
      </c>
      <c r="G531" t="inlineStr">
        <is>
          <t>HEBY</t>
        </is>
      </c>
      <c r="I531" t="n">
        <v>22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46319</v>
      </c>
      <c r="F532" t="inlineStr">
        <is>
          <t>UPPSALA LÄN</t>
        </is>
      </c>
      <c r="G532" t="inlineStr">
        <is>
          <t>HEBY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44609</v>
      </c>
      <c r="E533" s="1" t="n">
        <v>46319</v>
      </c>
      <c r="F533" t="inlineStr">
        <is>
          <t>UPPSALA LÄN</t>
        </is>
      </c>
      <c r="G533" t="inlineStr">
        <is>
          <t>HEBY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46319</v>
      </c>
      <c r="F534" t="inlineStr">
        <is>
          <t>UPPSALA LÄN</t>
        </is>
      </c>
      <c r="G534" t="inlineStr">
        <is>
          <t>HEBY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45743</v>
      </c>
      <c r="E535" s="1" t="n">
        <v>46319</v>
      </c>
      <c r="F535" t="inlineStr">
        <is>
          <t>UPPSALA LÄN</t>
        </is>
      </c>
      <c r="G535" t="inlineStr">
        <is>
          <t>HEBY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45351</v>
      </c>
      <c r="E536" s="1" t="n">
        <v>46319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46319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51091-2023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45218</v>
      </c>
      <c r="E538" s="1" t="n">
        <v>46319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46319</v>
      </c>
      <c r="F539" t="inlineStr">
        <is>
          <t>UPPSALA LÄN</t>
        </is>
      </c>
      <c r="G539" t="inlineStr">
        <is>
          <t>HEBY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44684</v>
      </c>
      <c r="E540" s="1" t="n">
        <v>46319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44939</v>
      </c>
      <c r="E541" s="1" t="n">
        <v>46319</v>
      </c>
      <c r="F541" t="inlineStr">
        <is>
          <t>UPPSALA LÄN</t>
        </is>
      </c>
      <c r="G541" t="inlineStr">
        <is>
          <t>HEBY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70976-2021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44538</v>
      </c>
      <c r="E542" s="1" t="n">
        <v>46319</v>
      </c>
      <c r="F542" t="inlineStr">
        <is>
          <t>UPPSALA LÄN</t>
        </is>
      </c>
      <c r="G542" t="inlineStr">
        <is>
          <t>HEBY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45099</v>
      </c>
      <c r="E543" s="1" t="n">
        <v>46319</v>
      </c>
      <c r="F543" t="inlineStr">
        <is>
          <t>UPPSALA LÄN</t>
        </is>
      </c>
      <c r="G543" t="inlineStr">
        <is>
          <t>HEBY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45670</v>
      </c>
      <c r="E544" s="1" t="n">
        <v>46319</v>
      </c>
      <c r="F544" t="inlineStr">
        <is>
          <t>UPPSALA LÄN</t>
        </is>
      </c>
      <c r="G544" t="inlineStr">
        <is>
          <t>HEBY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44944</v>
      </c>
      <c r="E545" s="1" t="n">
        <v>46319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61807-2022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46319</v>
      </c>
      <c r="F546" t="inlineStr">
        <is>
          <t>UPPSALA LÄN</t>
        </is>
      </c>
      <c r="G546" t="inlineStr">
        <is>
          <t>HEBY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50859-2022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44862</v>
      </c>
      <c r="E547" s="1" t="n">
        <v>46319</v>
      </c>
      <c r="F547" t="inlineStr">
        <is>
          <t>UPPSALA LÄN</t>
        </is>
      </c>
      <c r="G547" t="inlineStr">
        <is>
          <t>HEBY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44568</v>
      </c>
      <c r="E548" s="1" t="n">
        <v>46319</v>
      </c>
      <c r="F548" t="inlineStr">
        <is>
          <t>UPPSALA LÄN</t>
        </is>
      </c>
      <c r="G548" t="inlineStr">
        <is>
          <t>HEBY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64191-2023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46319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46319</v>
      </c>
      <c r="F550" t="inlineStr">
        <is>
          <t>UPPSALA LÄN</t>
        </is>
      </c>
      <c r="G550" t="inlineStr">
        <is>
          <t>HEBY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46319</v>
      </c>
      <c r="F551" t="inlineStr">
        <is>
          <t>UPPSALA LÄN</t>
        </is>
      </c>
      <c r="G551" t="inlineStr">
        <is>
          <t>HEBY</t>
        </is>
      </c>
      <c r="H551" t="inlineStr">
        <is>
          <t>Övriga Aktiebolag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66055-2021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44517</v>
      </c>
      <c r="E552" s="1" t="n">
        <v>46319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46319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46319</v>
      </c>
      <c r="F554" t="inlineStr">
        <is>
          <t>UPPSALA LÄN</t>
        </is>
      </c>
      <c r="G554" t="inlineStr">
        <is>
          <t>HEBY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72180-2021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44543</v>
      </c>
      <c r="E555" s="1" t="n">
        <v>46319</v>
      </c>
      <c r="F555" t="inlineStr">
        <is>
          <t>UPPSALA LÄN</t>
        </is>
      </c>
      <c r="G555" t="inlineStr">
        <is>
          <t>HEBY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62145-2022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44914</v>
      </c>
      <c r="E556" s="1" t="n">
        <v>46319</v>
      </c>
      <c r="F556" t="inlineStr">
        <is>
          <t>UPPSALA LÄN</t>
        </is>
      </c>
      <c r="G556" t="inlineStr">
        <is>
          <t>HEBY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31566-2023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45117</v>
      </c>
      <c r="E557" s="1" t="n">
        <v>46319</v>
      </c>
      <c r="F557" t="inlineStr">
        <is>
          <t>UPPSALA LÄN</t>
        </is>
      </c>
      <c r="G557" t="inlineStr">
        <is>
          <t>HEBY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46319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46319</v>
      </c>
      <c r="F559" t="inlineStr">
        <is>
          <t>UPPSALA LÄN</t>
        </is>
      </c>
      <c r="G559" t="inlineStr">
        <is>
          <t>HEBY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73622-2021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46319</v>
      </c>
      <c r="F560" t="inlineStr">
        <is>
          <t>UPPSALA LÄN</t>
        </is>
      </c>
      <c r="G560" t="inlineStr">
        <is>
          <t>HEBY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13593-2023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45006</v>
      </c>
      <c r="E561" s="1" t="n">
        <v>46319</v>
      </c>
      <c r="F561" t="inlineStr">
        <is>
          <t>UPPSALA LÄN</t>
        </is>
      </c>
      <c r="G561" t="inlineStr">
        <is>
          <t>HEBY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45029</v>
      </c>
      <c r="E562" s="1" t="n">
        <v>46319</v>
      </c>
      <c r="F562" t="inlineStr">
        <is>
          <t>UPPSALA LÄN</t>
        </is>
      </c>
      <c r="G562" t="inlineStr">
        <is>
          <t>HEBY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44568</v>
      </c>
      <c r="E563" s="1" t="n">
        <v>46319</v>
      </c>
      <c r="F563" t="inlineStr">
        <is>
          <t>UPPSALA LÄN</t>
        </is>
      </c>
      <c r="G563" t="inlineStr">
        <is>
          <t>HEBY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46319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44974</v>
      </c>
      <c r="E565" s="1" t="n">
        <v>46319</v>
      </c>
      <c r="F565" t="inlineStr">
        <is>
          <t>UPPSALA LÄN</t>
        </is>
      </c>
      <c r="G565" t="inlineStr">
        <is>
          <t>HEBY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45532</v>
      </c>
      <c r="E566" s="1" t="n">
        <v>46319</v>
      </c>
      <c r="F566" t="inlineStr">
        <is>
          <t>UPPSALA LÄN</t>
        </is>
      </c>
      <c r="G566" t="inlineStr">
        <is>
          <t>HEBY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46319</v>
      </c>
      <c r="F567" t="inlineStr">
        <is>
          <t>UPPSALA LÄN</t>
        </is>
      </c>
      <c r="G567" t="inlineStr">
        <is>
          <t>HEBY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46319</v>
      </c>
      <c r="F568" t="inlineStr">
        <is>
          <t>UPPSALA LÄN</t>
        </is>
      </c>
      <c r="G568" t="inlineStr">
        <is>
          <t>HEBY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46319</v>
      </c>
      <c r="F569" t="inlineStr">
        <is>
          <t>UPPSALA LÄN</t>
        </is>
      </c>
      <c r="G569" t="inlineStr">
        <is>
          <t>HEBY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44993</v>
      </c>
      <c r="E570" s="1" t="n">
        <v>46319</v>
      </c>
      <c r="F570" t="inlineStr">
        <is>
          <t>UPPSALA LÄN</t>
        </is>
      </c>
      <c r="G570" t="inlineStr">
        <is>
          <t>HEBY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45511</v>
      </c>
      <c r="E571" s="1" t="n">
        <v>46319</v>
      </c>
      <c r="F571" t="inlineStr">
        <is>
          <t>UPPSALA LÄN</t>
        </is>
      </c>
      <c r="G571" t="inlineStr">
        <is>
          <t>HEBY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64364-2021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44511</v>
      </c>
      <c r="E572" s="1" t="n">
        <v>46319</v>
      </c>
      <c r="F572" t="inlineStr">
        <is>
          <t>UPPSALA LÄN</t>
        </is>
      </c>
      <c r="G572" t="inlineStr">
        <is>
          <t>HEBY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45117</v>
      </c>
      <c r="E573" s="1" t="n">
        <v>46319</v>
      </c>
      <c r="F573" t="inlineStr">
        <is>
          <t>UPPSALA LÄN</t>
        </is>
      </c>
      <c r="G573" t="inlineStr">
        <is>
          <t>HEBY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46319</v>
      </c>
      <c r="F574" t="inlineStr">
        <is>
          <t>UPPSALA LÄN</t>
        </is>
      </c>
      <c r="G574" t="inlineStr">
        <is>
          <t>HEBY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46319</v>
      </c>
      <c r="F575" t="inlineStr">
        <is>
          <t>UPPSALA LÄN</t>
        </is>
      </c>
      <c r="G575" t="inlineStr">
        <is>
          <t>HEBY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46319</v>
      </c>
      <c r="F576" t="inlineStr">
        <is>
          <t>UPPSALA LÄN</t>
        </is>
      </c>
      <c r="G576" t="inlineStr">
        <is>
          <t>HEBY</t>
        </is>
      </c>
      <c r="I576" t="n">
        <v>11.2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44613</v>
      </c>
      <c r="E577" s="1" t="n">
        <v>46319</v>
      </c>
      <c r="F577" t="inlineStr">
        <is>
          <t>UPPSALA LÄN</t>
        </is>
      </c>
      <c r="G577" t="inlineStr">
        <is>
          <t>HEBY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45331</v>
      </c>
      <c r="E578" s="1" t="n">
        <v>46319</v>
      </c>
      <c r="F578" t="inlineStr">
        <is>
          <t>UPPSALA LÄN</t>
        </is>
      </c>
      <c r="G578" t="inlineStr">
        <is>
          <t>HEBY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74215-2021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44558</v>
      </c>
      <c r="E579" s="1" t="n">
        <v>46319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40924-2023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46319</v>
      </c>
      <c r="F580" t="inlineStr">
        <is>
          <t>UPPSALA LÄN</t>
        </is>
      </c>
      <c r="G580" t="inlineStr">
        <is>
          <t>HEBY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40926-2023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46319</v>
      </c>
      <c r="F581" t="inlineStr">
        <is>
          <t>UPPSALA LÄN</t>
        </is>
      </c>
      <c r="G581" t="inlineStr">
        <is>
          <t>HEBY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45008</v>
      </c>
      <c r="E582" s="1" t="n">
        <v>46319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45337</v>
      </c>
      <c r="E583" s="1" t="n">
        <v>46319</v>
      </c>
      <c r="F583" t="inlineStr">
        <is>
          <t>UPPSALA LÄN</t>
        </is>
      </c>
      <c r="G583" t="inlineStr">
        <is>
          <t>HEBY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42725-2023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46319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50163-2024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45599</v>
      </c>
      <c r="E585" s="1" t="n">
        <v>46319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46319</v>
      </c>
      <c r="F586" t="inlineStr">
        <is>
          <t>UPPSALA LÄN</t>
        </is>
      </c>
      <c r="G586" t="inlineStr">
        <is>
          <t>HEBY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46319</v>
      </c>
      <c r="F587" t="inlineStr">
        <is>
          <t>UPPSALA LÄN</t>
        </is>
      </c>
      <c r="G587" t="inlineStr">
        <is>
          <t>HEBY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46319</v>
      </c>
      <c r="F588" t="inlineStr">
        <is>
          <t>UPPSALA LÄN</t>
        </is>
      </c>
      <c r="G588" t="inlineStr">
        <is>
          <t>HEBY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45674</v>
      </c>
      <c r="E589" s="1" t="n">
        <v>46319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35865-2022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46319</v>
      </c>
      <c r="F590" t="inlineStr">
        <is>
          <t>UPPSALA LÄN</t>
        </is>
      </c>
      <c r="G590" t="inlineStr">
        <is>
          <t>HEBY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35875-2022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44802</v>
      </c>
      <c r="E591" s="1" t="n">
        <v>46319</v>
      </c>
      <c r="F591" t="inlineStr">
        <is>
          <t>UPPSALA LÄN</t>
        </is>
      </c>
      <c r="G591" t="inlineStr">
        <is>
          <t>HEBY</t>
        </is>
      </c>
      <c r="I591" t="n">
        <v>12.1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46319</v>
      </c>
      <c r="F592" t="inlineStr">
        <is>
          <t>UPPSALA LÄN</t>
        </is>
      </c>
      <c r="G592" t="inlineStr">
        <is>
          <t>HEBY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44623</v>
      </c>
      <c r="E593" s="1" t="n">
        <v>46319</v>
      </c>
      <c r="F593" t="inlineStr">
        <is>
          <t>UPPSALA LÄN</t>
        </is>
      </c>
      <c r="G593" t="inlineStr">
        <is>
          <t>HEBY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19718-2023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45050</v>
      </c>
      <c r="E594" s="1" t="n">
        <v>46319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44609</v>
      </c>
      <c r="E595" s="1" t="n">
        <v>46319</v>
      </c>
      <c r="F595" t="inlineStr">
        <is>
          <t>UPPSALA LÄN</t>
        </is>
      </c>
      <c r="G595" t="inlineStr">
        <is>
          <t>HEBY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46319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45917-2023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45195</v>
      </c>
      <c r="E597" s="1" t="n">
        <v>46319</v>
      </c>
      <c r="F597" t="inlineStr">
        <is>
          <t>UPPSALA LÄN</t>
        </is>
      </c>
      <c r="G597" t="inlineStr">
        <is>
          <t>HEBY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45133</v>
      </c>
      <c r="E598" s="1" t="n">
        <v>46319</v>
      </c>
      <c r="F598" t="inlineStr">
        <is>
          <t>UPPSALA LÄN</t>
        </is>
      </c>
      <c r="G598" t="inlineStr">
        <is>
          <t>HEBY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44697</v>
      </c>
      <c r="E599" s="1" t="n">
        <v>46319</v>
      </c>
      <c r="F599" t="inlineStr">
        <is>
          <t>UPPSALA LÄN</t>
        </is>
      </c>
      <c r="G599" t="inlineStr">
        <is>
          <t>HEBY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45009-2022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46319</v>
      </c>
      <c r="F600" t="inlineStr">
        <is>
          <t>UPPSALA LÄN</t>
        </is>
      </c>
      <c r="G600" t="inlineStr">
        <is>
          <t>HEBY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34593-2023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45138</v>
      </c>
      <c r="E601" s="1" t="n">
        <v>46319</v>
      </c>
      <c r="F601" t="inlineStr">
        <is>
          <t>UPPSALA LÄN</t>
        </is>
      </c>
      <c r="G601" t="inlineStr">
        <is>
          <t>HEBY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44694</v>
      </c>
      <c r="E602" s="1" t="n">
        <v>46319</v>
      </c>
      <c r="F602" t="inlineStr">
        <is>
          <t>UPPSALA LÄN</t>
        </is>
      </c>
      <c r="G602" t="inlineStr">
        <is>
          <t>HEBY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44788</v>
      </c>
      <c r="E603" s="1" t="n">
        <v>46319</v>
      </c>
      <c r="F603" t="inlineStr">
        <is>
          <t>UPPSALA LÄN</t>
        </is>
      </c>
      <c r="G603" t="inlineStr">
        <is>
          <t>HEBY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45243</v>
      </c>
      <c r="E604" s="1" t="n">
        <v>46319</v>
      </c>
      <c r="F604" t="inlineStr">
        <is>
          <t>UPPSALA LÄN</t>
        </is>
      </c>
      <c r="G604" t="inlineStr">
        <is>
          <t>HEBY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58913-2023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46319</v>
      </c>
      <c r="F605" t="inlineStr">
        <is>
          <t>UPPSALA LÄN</t>
        </is>
      </c>
      <c r="G605" t="inlineStr">
        <is>
          <t>HEBY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29340-2022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44752</v>
      </c>
      <c r="E606" s="1" t="n">
        <v>46319</v>
      </c>
      <c r="F606" t="inlineStr">
        <is>
          <t>UPPSALA LÄN</t>
        </is>
      </c>
      <c r="G606" t="inlineStr">
        <is>
          <t>HEBY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46319</v>
      </c>
      <c r="F607" t="inlineStr">
        <is>
          <t>UPPSALA LÄN</t>
        </is>
      </c>
      <c r="G607" t="inlineStr">
        <is>
          <t>HEBY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34146-2022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44791</v>
      </c>
      <c r="E608" s="1" t="n">
        <v>46319</v>
      </c>
      <c r="F608" t="inlineStr">
        <is>
          <t>UPPSALA LÄN</t>
        </is>
      </c>
      <c r="G608" t="inlineStr">
        <is>
          <t>HEBY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46319</v>
      </c>
      <c r="F609" t="inlineStr">
        <is>
          <t>UPPSALA LÄN</t>
        </is>
      </c>
      <c r="G609" t="inlineStr">
        <is>
          <t>HEBY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46319</v>
      </c>
      <c r="F610" t="inlineStr">
        <is>
          <t>UPPSALA LÄN</t>
        </is>
      </c>
      <c r="G610" t="inlineStr">
        <is>
          <t>HEBY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3368-2024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45317</v>
      </c>
      <c r="E611" s="1" t="n">
        <v>46319</v>
      </c>
      <c r="F611" t="inlineStr">
        <is>
          <t>UPPSALA LÄN</t>
        </is>
      </c>
      <c r="G611" t="inlineStr">
        <is>
          <t>HEBY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44734</v>
      </c>
      <c r="E612" s="1" t="n">
        <v>46319</v>
      </c>
      <c r="F612" t="inlineStr">
        <is>
          <t>UPPSALA LÄN</t>
        </is>
      </c>
      <c r="G612" t="inlineStr">
        <is>
          <t>HEBY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44753</v>
      </c>
      <c r="E613" s="1" t="n">
        <v>46319</v>
      </c>
      <c r="F613" t="inlineStr">
        <is>
          <t>UPPSALA LÄN</t>
        </is>
      </c>
      <c r="G613" t="inlineStr">
        <is>
          <t>HEBY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45118</v>
      </c>
      <c r="E614" s="1" t="n">
        <v>46319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46319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5633-2025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45693</v>
      </c>
      <c r="E616" s="1" t="n">
        <v>46319</v>
      </c>
      <c r="F616" t="inlineStr">
        <is>
          <t>UPPSALA LÄN</t>
        </is>
      </c>
      <c r="G616" t="inlineStr">
        <is>
          <t>HEBY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44781</v>
      </c>
      <c r="E617" s="1" t="n">
        <v>46319</v>
      </c>
      <c r="F617" t="inlineStr">
        <is>
          <t>UPPSALA LÄN</t>
        </is>
      </c>
      <c r="G617" t="inlineStr">
        <is>
          <t>HEBY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45128</v>
      </c>
      <c r="E618" s="1" t="n">
        <v>46319</v>
      </c>
      <c r="F618" t="inlineStr">
        <is>
          <t>UPPSALA LÄN</t>
        </is>
      </c>
      <c r="G618" t="inlineStr">
        <is>
          <t>HEBY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46430-2023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46319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44732</v>
      </c>
      <c r="E620" s="1" t="n">
        <v>46319</v>
      </c>
      <c r="F620" t="inlineStr">
        <is>
          <t>UPPSALA LÄN</t>
        </is>
      </c>
      <c r="G620" t="inlineStr">
        <is>
          <t>HEBY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46408-2024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46319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62132-2022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44914</v>
      </c>
      <c r="E622" s="1" t="n">
        <v>46319</v>
      </c>
      <c r="F622" t="inlineStr">
        <is>
          <t>UPPSALA LÄN</t>
        </is>
      </c>
      <c r="G622" t="inlineStr">
        <is>
          <t>HEBY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45406</v>
      </c>
      <c r="E623" s="1" t="n">
        <v>46319</v>
      </c>
      <c r="F623" t="inlineStr">
        <is>
          <t>UPPSALA LÄN</t>
        </is>
      </c>
      <c r="G623" t="inlineStr">
        <is>
          <t>HEBY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44911</v>
      </c>
      <c r="E624" s="1" t="n">
        <v>46319</v>
      </c>
      <c r="F624" t="inlineStr">
        <is>
          <t>UPPSALA LÄN</t>
        </is>
      </c>
      <c r="G624" t="inlineStr">
        <is>
          <t>HEBY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19721-2022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44694</v>
      </c>
      <c r="E625" s="1" t="n">
        <v>46319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44978</v>
      </c>
      <c r="E626" s="1" t="n">
        <v>46319</v>
      </c>
      <c r="F626" t="inlineStr">
        <is>
          <t>UPPSALA LÄN</t>
        </is>
      </c>
      <c r="G626" t="inlineStr">
        <is>
          <t>HEBY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60295-2021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46319</v>
      </c>
      <c r="F627" t="inlineStr">
        <is>
          <t>UPPSALA LÄN</t>
        </is>
      </c>
      <c r="G627" t="inlineStr">
        <is>
          <t>HEBY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1334-2022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44629</v>
      </c>
      <c r="E628" s="1" t="n">
        <v>46319</v>
      </c>
      <c r="F628" t="inlineStr">
        <is>
          <t>UPPSALA LÄN</t>
        </is>
      </c>
      <c r="G628" t="inlineStr">
        <is>
          <t>HEBY</t>
        </is>
      </c>
      <c r="I628" t="n">
        <v>6.9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10324-2021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44546</v>
      </c>
      <c r="E629" s="1" t="n">
        <v>46319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517-2022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44588</v>
      </c>
      <c r="E630" s="1" t="n">
        <v>46319</v>
      </c>
      <c r="F630" t="inlineStr">
        <is>
          <t>UPPSALA LÄN</t>
        </is>
      </c>
      <c r="G630" t="inlineStr">
        <is>
          <t>HEBY</t>
        </is>
      </c>
      <c r="H630" t="inlineStr">
        <is>
          <t>Bergvik skog öst AB</t>
        </is>
      </c>
      <c r="I630" t="n">
        <v>30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2310-2022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44684</v>
      </c>
      <c r="E631" s="1" t="n">
        <v>46319</v>
      </c>
      <c r="F631" t="inlineStr">
        <is>
          <t>UPPSALA LÄN</t>
        </is>
      </c>
      <c r="G631" t="inlineStr">
        <is>
          <t>HEBY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1330-2022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44629</v>
      </c>
      <c r="E632" s="1" t="n">
        <v>46319</v>
      </c>
      <c r="F632" t="inlineStr">
        <is>
          <t>UPPSALA LÄN</t>
        </is>
      </c>
      <c r="G632" t="inlineStr">
        <is>
          <t>HEBY</t>
        </is>
      </c>
      <c r="I632" t="n">
        <v>25.1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  <c r="Z632">
        <f>HYPERLINK("https://klasma.github.io/Logging_0331/knärot/S 1330-2022 karta knärot.png", "S 1330-2022")</f>
        <v/>
      </c>
      <c r="AA632">
        <f>HYPERLINK("https://klasma.github.io/Logging_0331/klagomål/S 1330-2022 FSC-klagomål.docx", "S 1330-2022")</f>
        <v/>
      </c>
      <c r="AB632">
        <f>HYPERLINK("https://klasma.github.io/Logging_0331/klagomålsmail/S 1330-2022 FSC-klagomål mail.docx", "S 1330-2022")</f>
        <v/>
      </c>
      <c r="AC632">
        <f>HYPERLINK("https://klasma.github.io/Logging_0331/tillsyn/S 1330-2022 tillsynsbegäran.docx", "S 1330-2022")</f>
        <v/>
      </c>
      <c r="AD632">
        <f>HYPERLINK("https://klasma.github.io/Logging_0331/tillsynsmail/S 1330-2022 tillsynsbegäran mail.docx", "S 1330-2022")</f>
        <v/>
      </c>
    </row>
    <row r="633" ht="15" customHeight="1">
      <c r="A633" t="inlineStr">
        <is>
          <t>S 3256-2023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45191</v>
      </c>
      <c r="E633" s="1" t="n">
        <v>46319</v>
      </c>
      <c r="F633" t="inlineStr">
        <is>
          <t>UPPSALA LÄN</t>
        </is>
      </c>
      <c r="G633" t="inlineStr">
        <is>
          <t>HEBY</t>
        </is>
      </c>
      <c r="H633" t="inlineStr">
        <is>
          <t>Bergvik skog väst AB</t>
        </is>
      </c>
      <c r="I633" t="n">
        <v>20.9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4466-2022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44788</v>
      </c>
      <c r="E634" s="1" t="n">
        <v>46319</v>
      </c>
      <c r="F634" t="inlineStr">
        <is>
          <t>UPPSALA LÄN</t>
        </is>
      </c>
      <c r="G634" t="inlineStr">
        <is>
          <t>HEBY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4423-2024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45590</v>
      </c>
      <c r="E635" s="1" t="n">
        <v>46319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väst AB</t>
        </is>
      </c>
      <c r="I635" t="n">
        <v>47.6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1385-2024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45411</v>
      </c>
      <c r="E636" s="1" t="n">
        <v>46319</v>
      </c>
      <c r="F636" t="inlineStr">
        <is>
          <t>UPPSALA LÄN</t>
        </is>
      </c>
      <c r="G636" t="inlineStr">
        <is>
          <t>HEBY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2797-2024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45485</v>
      </c>
      <c r="E637" s="1" t="n">
        <v>46319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398-2025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45699</v>
      </c>
      <c r="E638" s="1" t="n">
        <v>46319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öst AB</t>
        </is>
      </c>
      <c r="I638" t="n">
        <v>23.3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1386-2024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45411</v>
      </c>
      <c r="E639" s="1" t="n">
        <v>46319</v>
      </c>
      <c r="F639" t="inlineStr">
        <is>
          <t>UPPSALA LÄN</t>
        </is>
      </c>
      <c r="G639" t="inlineStr">
        <is>
          <t>HEBY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4464-2022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44788</v>
      </c>
      <c r="E640" s="1" t="n">
        <v>46319</v>
      </c>
      <c r="F640" t="inlineStr">
        <is>
          <t>UPPSALA LÄN</t>
        </is>
      </c>
      <c r="G640" t="inlineStr">
        <is>
          <t>HEBY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3301-2025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45987</v>
      </c>
      <c r="E641" s="1" t="n">
        <v>46319</v>
      </c>
      <c r="F641" t="inlineStr">
        <is>
          <t>UPPSALA LÄN</t>
        </is>
      </c>
      <c r="G641" t="inlineStr">
        <is>
          <t>HEBY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3478-2025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46000</v>
      </c>
      <c r="E642" s="1" t="n">
        <v>46319</v>
      </c>
      <c r="F642" t="inlineStr">
        <is>
          <t>UPPSALA LÄN</t>
        </is>
      </c>
      <c r="G642" t="inlineStr">
        <is>
          <t>HEBY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598-2026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46085</v>
      </c>
      <c r="E643" s="1" t="n">
        <v>46319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väst AB</t>
        </is>
      </c>
      <c r="I643" t="n">
        <v>43.4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1818-2026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46190</v>
      </c>
      <c r="E644" s="1" t="n">
        <v>46319</v>
      </c>
      <c r="F644" t="inlineStr">
        <is>
          <t>UPPSALA LÄN</t>
        </is>
      </c>
      <c r="G644" t="inlineStr">
        <is>
          <t>HEBY</t>
        </is>
      </c>
      <c r="H644" t="inlineStr">
        <is>
          <t>Kommuner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2346-2026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46273</v>
      </c>
      <c r="E645" s="1" t="n">
        <v>46319</v>
      </c>
      <c r="F645" t="inlineStr">
        <is>
          <t>UPPSALA LÄN</t>
        </is>
      </c>
      <c r="G645" t="inlineStr">
        <is>
          <t>HEBY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2026-10-24T02:02:36Z</dcterms:created>
  <dcterms:modified xmlns:dcterms="http://purl.org/dc/terms/" xmlns:xsi="http://www.w3.org/2001/XMLSchema-instance" xsi:type="dcterms:W3CDTF">2026-10-24T02:02:37Z</dcterms:modified>
</cp:coreProperties>
</file>
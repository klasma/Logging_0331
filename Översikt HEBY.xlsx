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45635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45635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45635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45635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45635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45635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45635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45635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45635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45635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45635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45635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45635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45635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45635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45635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55274-2024</t>
        </is>
      </c>
      <c r="B18" s="1" t="n">
        <v>45621</v>
      </c>
      <c r="C18" s="1" t="n">
        <v>45635</v>
      </c>
      <c r="D18" t="inlineStr">
        <is>
          <t>UPPSALA LÄN</t>
        </is>
      </c>
      <c r="E18" t="inlineStr">
        <is>
          <t>HEBY</t>
        </is>
      </c>
      <c r="G18" t="n">
        <v>14.9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Björksplintborre
Mörk husmossa
Blåsippa
Revlummer</t>
        </is>
      </c>
      <c r="S18">
        <f>HYPERLINK("https://klasma.github.io/Logging_0331/artfynd/A 55274-2024 artfynd.xlsx", "A 55274-2024")</f>
        <v/>
      </c>
      <c r="T18">
        <f>HYPERLINK("https://klasma.github.io/Logging_0331/kartor/A 55274-2024 karta.png", "A 55274-2024")</f>
        <v/>
      </c>
      <c r="U18">
        <f>HYPERLINK("https://klasma.github.io/Logging_0331/knärot/A 55274-2024 karta knärot.png", "A 55274-2024")</f>
        <v/>
      </c>
      <c r="V18">
        <f>HYPERLINK("https://klasma.github.io/Logging_0331/klagomål/A 55274-2024 FSC-klagomål.docx", "A 55274-2024")</f>
        <v/>
      </c>
      <c r="W18">
        <f>HYPERLINK("https://klasma.github.io/Logging_0331/klagomålsmail/A 55274-2024 FSC-klagomål mail.docx", "A 55274-2024")</f>
        <v/>
      </c>
      <c r="X18">
        <f>HYPERLINK("https://klasma.github.io/Logging_0331/tillsyn/A 55274-2024 tillsynsbegäran.docx", "A 55274-2024")</f>
        <v/>
      </c>
      <c r="Y18">
        <f>HYPERLINK("https://klasma.github.io/Logging_0331/tillsynsmail/A 55274-2024 tillsynsbegäran mail.docx", "A 55274-2024")</f>
        <v/>
      </c>
    </row>
    <row r="19" ht="15" customHeight="1">
      <c r="A19" t="inlineStr">
        <is>
          <t>A 58656-2021</t>
        </is>
      </c>
      <c r="B19" s="1" t="n">
        <v>44489</v>
      </c>
      <c r="C19" s="1" t="n">
        <v>45635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3.4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Bronshjon
Thomsons trägnagare
Blåsippa</t>
        </is>
      </c>
      <c r="S19">
        <f>HYPERLINK("https://klasma.github.io/Logging_0331/artfynd/A 58656-2021 artfynd.xlsx", "A 58656-2021")</f>
        <v/>
      </c>
      <c r="T19">
        <f>HYPERLINK("https://klasma.github.io/Logging_0331/kartor/A 58656-2021 karta.png", "A 58656-2021")</f>
        <v/>
      </c>
      <c r="V19">
        <f>HYPERLINK("https://klasma.github.io/Logging_0331/klagomål/A 58656-2021 FSC-klagomål.docx", "A 58656-2021")</f>
        <v/>
      </c>
      <c r="W19">
        <f>HYPERLINK("https://klasma.github.io/Logging_0331/klagomålsmail/A 58656-2021 FSC-klagomål mail.docx", "A 58656-2021")</f>
        <v/>
      </c>
      <c r="X19">
        <f>HYPERLINK("https://klasma.github.io/Logging_0331/tillsyn/A 58656-2021 tillsynsbegäran.docx", "A 58656-2021")</f>
        <v/>
      </c>
      <c r="Y19">
        <f>HYPERLINK("https://klasma.github.io/Logging_0331/tillsynsmail/A 58656-2021 tillsynsbegäran mail.docx", "A 58656-2021")</f>
        <v/>
      </c>
    </row>
    <row r="20" ht="15" customHeight="1">
      <c r="A20" t="inlineStr">
        <is>
          <t>A 16329-2022</t>
        </is>
      </c>
      <c r="B20" s="1" t="n">
        <v>44670</v>
      </c>
      <c r="C20" s="1" t="n">
        <v>45635</v>
      </c>
      <c r="D20" t="inlineStr">
        <is>
          <t>UPPSALA LÄN</t>
        </is>
      </c>
      <c r="E20" t="inlineStr">
        <is>
          <t>HEBY</t>
        </is>
      </c>
      <c r="G20" t="n">
        <v>24.5</v>
      </c>
      <c r="H20" t="n">
        <v>1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Aspvedgnagare
Bronshjon
Plattlummer
Thomsons trägnagare</t>
        </is>
      </c>
      <c r="S20">
        <f>HYPERLINK("https://klasma.github.io/Logging_0331/artfynd/A 16329-2022 artfynd.xlsx", "A 16329-2022")</f>
        <v/>
      </c>
      <c r="T20">
        <f>HYPERLINK("https://klasma.github.io/Logging_0331/kartor/A 16329-2022 karta.png", "A 16329-2022")</f>
        <v/>
      </c>
      <c r="V20">
        <f>HYPERLINK("https://klasma.github.io/Logging_0331/klagomål/A 16329-2022 FSC-klagomål.docx", "A 16329-2022")</f>
        <v/>
      </c>
      <c r="W20">
        <f>HYPERLINK("https://klasma.github.io/Logging_0331/klagomålsmail/A 16329-2022 FSC-klagomål mail.docx", "A 16329-2022")</f>
        <v/>
      </c>
      <c r="X20">
        <f>HYPERLINK("https://klasma.github.io/Logging_0331/tillsyn/A 16329-2022 tillsynsbegäran.docx", "A 16329-2022")</f>
        <v/>
      </c>
      <c r="Y20">
        <f>HYPERLINK("https://klasma.github.io/Logging_0331/tillsynsmail/A 16329-2022 tillsynsbegäran mail.docx", "A 16329-2022")</f>
        <v/>
      </c>
    </row>
    <row r="21" ht="15" customHeight="1">
      <c r="A21" t="inlineStr">
        <is>
          <t>A 42846-2022</t>
        </is>
      </c>
      <c r="B21" s="1" t="n">
        <v>44832</v>
      </c>
      <c r="C21" s="1" t="n">
        <v>45635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Bronshjon
Thomsons trägnagare
Trådticka</t>
        </is>
      </c>
      <c r="S21">
        <f>HYPERLINK("https://klasma.github.io/Logging_0331/artfynd/A 42846-2022 artfynd.xlsx", "A 42846-2022")</f>
        <v/>
      </c>
      <c r="T21">
        <f>HYPERLINK("https://klasma.github.io/Logging_0331/kartor/A 42846-2022 karta.png", "A 42846-2022")</f>
        <v/>
      </c>
      <c r="U21">
        <f>HYPERLINK("https://klasma.github.io/Logging_0331/knärot/A 42846-2022 karta knärot.png", "A 42846-2022")</f>
        <v/>
      </c>
      <c r="V21">
        <f>HYPERLINK("https://klasma.github.io/Logging_0331/klagomål/A 42846-2022 FSC-klagomål.docx", "A 42846-2022")</f>
        <v/>
      </c>
      <c r="W21">
        <f>HYPERLINK("https://klasma.github.io/Logging_0331/klagomålsmail/A 42846-2022 FSC-klagomål mail.docx", "A 42846-2022")</f>
        <v/>
      </c>
      <c r="X21">
        <f>HYPERLINK("https://klasma.github.io/Logging_0331/tillsyn/A 42846-2022 tillsynsbegäran.docx", "A 42846-2022")</f>
        <v/>
      </c>
      <c r="Y21">
        <f>HYPERLINK("https://klasma.github.io/Logging_0331/tillsynsmail/A 42846-2022 tillsynsbegäran mail.docx", "A 42846-2022")</f>
        <v/>
      </c>
    </row>
    <row r="22" ht="15" customHeight="1">
      <c r="A22" t="inlineStr">
        <is>
          <t>A 32785-2023</t>
        </is>
      </c>
      <c r="B22" s="1" t="n">
        <v>45124</v>
      </c>
      <c r="C22" s="1" t="n">
        <v>45635</v>
      </c>
      <c r="D22" t="inlineStr">
        <is>
          <t>UPPSALA LÄN</t>
        </is>
      </c>
      <c r="E22" t="inlineStr">
        <is>
          <t>HEBY</t>
        </is>
      </c>
      <c r="G22" t="n">
        <v>3.1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Spillkråka
Talltita
Huggorm</t>
        </is>
      </c>
      <c r="S22">
        <f>HYPERLINK("https://klasma.github.io/Logging_0331/artfynd/A 32785-2023 artfynd.xlsx", "A 32785-2023")</f>
        <v/>
      </c>
      <c r="T22">
        <f>HYPERLINK("https://klasma.github.io/Logging_0331/kartor/A 32785-2023 karta.png", "A 32785-2023")</f>
        <v/>
      </c>
      <c r="V22">
        <f>HYPERLINK("https://klasma.github.io/Logging_0331/klagomål/A 32785-2023 FSC-klagomål.docx", "A 32785-2023")</f>
        <v/>
      </c>
      <c r="W22">
        <f>HYPERLINK("https://klasma.github.io/Logging_0331/klagomålsmail/A 32785-2023 FSC-klagomål mail.docx", "A 32785-2023")</f>
        <v/>
      </c>
      <c r="X22">
        <f>HYPERLINK("https://klasma.github.io/Logging_0331/tillsyn/A 32785-2023 tillsynsbegäran.docx", "A 32785-2023")</f>
        <v/>
      </c>
      <c r="Y22">
        <f>HYPERLINK("https://klasma.github.io/Logging_0331/tillsynsmail/A 32785-2023 tillsynsbegäran mail.docx", "A 32785-2023")</f>
        <v/>
      </c>
      <c r="Z22">
        <f>HYPERLINK("https://klasma.github.io/Logging_0331/fåglar/A 32785-2023 prioriterade fågelarter.docx", "A 32785-2023")</f>
        <v/>
      </c>
    </row>
    <row r="23" ht="15" customHeight="1">
      <c r="A23" t="inlineStr">
        <is>
          <t>A 40648-2023</t>
        </is>
      </c>
      <c r="B23" s="1" t="n">
        <v>45170</v>
      </c>
      <c r="C23" s="1" t="n">
        <v>45635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Tallticka
Blodticka
Grönpyrola</t>
        </is>
      </c>
      <c r="S23">
        <f>HYPERLINK("https://klasma.github.io/Logging_0331/artfynd/A 40648-2023 artfynd.xlsx", "A 40648-2023")</f>
        <v/>
      </c>
      <c r="T23">
        <f>HYPERLINK("https://klasma.github.io/Logging_0331/kartor/A 40648-2023 karta.png", "A 40648-2023")</f>
        <v/>
      </c>
      <c r="U23">
        <f>HYPERLINK("https://klasma.github.io/Logging_0331/knärot/A 40648-2023 karta knärot.png", "A 40648-2023")</f>
        <v/>
      </c>
      <c r="V23">
        <f>HYPERLINK("https://klasma.github.io/Logging_0331/klagomål/A 40648-2023 FSC-klagomål.docx", "A 40648-2023")</f>
        <v/>
      </c>
      <c r="W23">
        <f>HYPERLINK("https://klasma.github.io/Logging_0331/klagomålsmail/A 40648-2023 FSC-klagomål mail.docx", "A 40648-2023")</f>
        <v/>
      </c>
      <c r="X23">
        <f>HYPERLINK("https://klasma.github.io/Logging_0331/tillsyn/A 40648-2023 tillsynsbegäran.docx", "A 40648-2023")</f>
        <v/>
      </c>
      <c r="Y23">
        <f>HYPERLINK("https://klasma.github.io/Logging_0331/tillsynsmail/A 40648-2023 tillsynsbegäran mail.docx", "A 40648-2023")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45635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45635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45635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45635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45635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45635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45635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45635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45635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45635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45635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45635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45635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45635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45635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45635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45635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45635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45635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45635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45635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45635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45635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45635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45635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45635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45635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45635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45635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45635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45635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45635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45635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45635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45635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45635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45635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45635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45635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45635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45635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45635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45635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45635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45635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45635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45635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45635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45635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45635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45635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45635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45635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45635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45635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45635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45635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45635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45635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45635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45635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45635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45635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45635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45635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45635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45635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45635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45635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45635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45635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45635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45635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45635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45635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45635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45635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45635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45635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45635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45635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45635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45635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45635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45635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45635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45635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45635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45635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45635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45635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45635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45635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45635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45635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45635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45635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45635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45635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45635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45635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45635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45635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45635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45635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45635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45635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45635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45635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45635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45635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45635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45635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45635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45635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45635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45635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45635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45635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45635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45635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45635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45635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45635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45635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45635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45635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45635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45635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45635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45635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45635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45635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45635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45635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45635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45635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45635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45635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45635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45635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45635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45635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45635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45635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45635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45635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45635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45635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45635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45635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45635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45635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45635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45635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45635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45635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45635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45635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45635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45635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45635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45635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45635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45635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45635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45635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45635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45635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45635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45635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45635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45635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45635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45635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45635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45635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45635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45635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45635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45635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45635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45635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45635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45635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45635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45635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45635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45635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45635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45635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45635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45635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45635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45635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45635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45635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45635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45635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45635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45635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45635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45635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45635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45635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45635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45635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45635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45635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45635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45635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45635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45635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45635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45635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45635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45635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45635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45635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45635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45635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45635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45635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45635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45635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45635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45635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45635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45635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45635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45635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45635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45635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45635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45635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45635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45635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45635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45635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45635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45635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45635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45635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45635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45635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45635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45635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45635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45635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45635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45635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45635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45635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45635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45635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45635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45635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45635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45635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45635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45635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45635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45635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45635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45635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45635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45635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45635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45635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45635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45635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45635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45635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45635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45635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45635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45635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45635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45635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45635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45635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45635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45635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45635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45635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45635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45635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45635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45635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45635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45635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45635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45635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45635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45635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45635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45635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45635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45635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45635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45635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45635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45635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45635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45635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45635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45635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45635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45635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45635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45635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45635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45635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45635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45635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45635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45635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45635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45635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45635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45635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45635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45635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45635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45635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45635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45635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45635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45635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45635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45635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45635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45635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45635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45635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45635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45635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45635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45635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45635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45635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45635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45635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45635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45635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45635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45635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45635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45635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45635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45635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45635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45635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45635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45635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45635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45635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45635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45635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45635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45635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45635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45635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45635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45635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45635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45635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45635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45635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45635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45635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45635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45635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45635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45635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45635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45635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45635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45635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45635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45635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45635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45635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45635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45635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45635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45635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45635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45635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45635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45635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45635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45635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45635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45635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45635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45635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45635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45635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45635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45635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45635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45635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45635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45635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45635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45635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45635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45635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45635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45635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45635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45635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45635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45635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45635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45635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45635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45635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45635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45635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45635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45635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45635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45635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45635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45635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45635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45635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45635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45635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45635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45635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45635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45635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45635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45635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45635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45635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45635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45635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45635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45635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45635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45635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45635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45635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45635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45635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45635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45635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45635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45635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45635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45635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45635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45635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45635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45635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45635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45635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45635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45635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45635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45635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45635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45635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45635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45635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45635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45635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45635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45635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45635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45635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45635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45635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45635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45635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45635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45635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45635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45635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45635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45635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45635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45635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45635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45635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45635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45635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45635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45635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45635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45635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45635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45635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45635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45635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45635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45635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45635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45635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45635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45635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45635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45635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45635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45635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45635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45635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45635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45635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45635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45635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45635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45635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45635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45635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45635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45635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45635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45635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45635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45635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45635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45635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45635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45635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45635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45635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45635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45635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45635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45635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45635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45635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45635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45635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45635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45635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45635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45635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45635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45635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45635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45635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45635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45635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45635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45635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45635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45635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45635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45635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45635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45635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45635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45635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45635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45635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45635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45635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45635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45635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45635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45635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45635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45635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45635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45635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45635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45635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45635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45635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45635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45635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45635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45635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45635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45635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45635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45635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45635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45635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45635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45635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45635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45635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45635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45635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45635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45635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45635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45635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45635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45635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45635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45635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45635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45635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45635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45635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45635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45635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45635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45635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45635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45635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45635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45635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45635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45635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45635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45635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45635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45635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45635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45635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45635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45635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45635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45635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45635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45635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45635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45635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45635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45635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45635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45635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45635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45635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45635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45635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45635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45635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45635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45635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45635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45635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45635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45635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45635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45635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45635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45635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45635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45635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45635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45635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45635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45635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45635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45635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45635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45635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45635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45635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45635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45635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45635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45635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45635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45635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45635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45635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45635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45635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45635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45635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45635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45635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45635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45635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45635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45635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45635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45635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45635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45635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45635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45635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45635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45635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45635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45635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45635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45635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45635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45635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45635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45635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45635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45635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45635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45635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45635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45635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45635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45635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45635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45635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45635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45635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45635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45635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45635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45635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45635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45635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45635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45635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45635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45635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45635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45635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45635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45635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45635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45635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45635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45635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45635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45635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45635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45635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45635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45635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45635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45635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45635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45635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45635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45635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45635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45635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45635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45635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45635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45635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45635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45635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45635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45635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45635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45635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45635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45635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45635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45635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45635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45635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45635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45635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45635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45635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45635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45635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45635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45635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45635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45635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45635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45635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45635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45635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45635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45635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45635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45635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45635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45635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45635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45635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45635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45635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45635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45635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45635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45635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45635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45635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45635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45635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45635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45635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45635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45635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45635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45635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45635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45635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45635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45635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45635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45635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45635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45635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45635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45635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45635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45635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45635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45635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45635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45635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45635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45635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45635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45635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45635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45635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45635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45635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45635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45635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45635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45635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45635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45635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45635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45635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45635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45635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45635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45635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45635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45635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45635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45635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45635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45635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45635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45635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45635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45635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45635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45635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45635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45635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45635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45635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45635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45635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45635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45635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45635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45635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45635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45635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45635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45635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45635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45635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45635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45635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45635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45635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45635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45635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45635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45635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45635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45635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45635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45635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45635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45635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45635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45635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45635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45635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45635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45635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45635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45635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45635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45635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45635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45635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45635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45635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45635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45635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45635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45635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45635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45635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45635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45635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45635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45635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45635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45635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45635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45635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45635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45635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45635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45635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45635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45635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45635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45635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45635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45635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45635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45635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45635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45635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45635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45635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45635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45635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45635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45635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45635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45635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45635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45635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45635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45635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45635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45635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45635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45635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45635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45635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45635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45635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45635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45635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45635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45635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45635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45635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45635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45635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45635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45635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45635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45635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45635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45635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45635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45635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45635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45635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45635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45635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45635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45635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45635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45635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45635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45635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45635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45635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45635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45635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45635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45635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45635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45635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45635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45635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45635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45635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45635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45635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45635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45635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45635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45635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45635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45635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45635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45635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45635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45635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45635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45635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45635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45635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45635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45635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45635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45635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45635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45635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45635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45635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45635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45635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45635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45635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45635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45635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45635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45635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45635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45635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45635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45635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45635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45635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45635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45635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45635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45635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45635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45635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45635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45635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52252-2024</t>
        </is>
      </c>
      <c r="B1039" s="1" t="n">
        <v>45607</v>
      </c>
      <c r="C1039" s="1" t="n">
        <v>45635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51753-2024</t>
        </is>
      </c>
      <c r="B1040" s="1" t="n">
        <v>45607</v>
      </c>
      <c r="C1040" s="1" t="n">
        <v>45635</v>
      </c>
      <c r="D1040" t="inlineStr">
        <is>
          <t>UPPSALA LÄN</t>
        </is>
      </c>
      <c r="E1040" t="inlineStr">
        <is>
          <t>HEBY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45635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45635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45635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45635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45635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45635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45635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45635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45635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45635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55644-2024</t>
        </is>
      </c>
      <c r="B1051" s="1" t="n">
        <v>45622</v>
      </c>
      <c r="C1051" s="1" t="n">
        <v>45635</v>
      </c>
      <c r="D1051" t="inlineStr">
        <is>
          <t>UPPSALA LÄN</t>
        </is>
      </c>
      <c r="E1051" t="inlineStr">
        <is>
          <t>HEBY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55473-2024</t>
        </is>
      </c>
      <c r="B1052" s="1" t="n">
        <v>45622</v>
      </c>
      <c r="C1052" s="1" t="n">
        <v>45635</v>
      </c>
      <c r="D1052" t="inlineStr">
        <is>
          <t>UPPSALA LÄN</t>
        </is>
      </c>
      <c r="E1052" t="inlineStr">
        <is>
          <t>HEBY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45635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45635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45635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45635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45635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45635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45635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57897-2024</t>
        </is>
      </c>
      <c r="B1060" s="1" t="n">
        <v>45631</v>
      </c>
      <c r="C1060" s="1" t="n">
        <v>45635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2024-12-09T15:10:16Z</dcterms:created>
  <dcterms:modified xmlns:dcterms="http://purl.org/dc/terms/" xmlns:xsi="http://www.w3.org/2001/XMLSchema-instance" xsi:type="dcterms:W3CDTF">2024-12-09T15:10:17Z</dcterms:modified>
</cp:coreProperties>
</file>
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45843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45843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45843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45843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45843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45843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45843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45843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45843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45843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45843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45843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45843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45843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45843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45843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45843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45843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45843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45843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45843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45843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45843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45843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45843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45843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45843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45843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45843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45843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45843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45843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45843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45843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45843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45843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45843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45843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45843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45843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45843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45843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45843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45843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45843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45843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45843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45843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45843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45843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45843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45843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45843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45843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45843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45843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45843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45843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45843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45843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45843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45843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45843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45843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45843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41382-2022</t>
        </is>
      </c>
      <c r="B67" s="1" t="n">
        <v>44826</v>
      </c>
      <c r="C67" s="1" t="n">
        <v>45843</v>
      </c>
      <c r="D67" t="inlineStr">
        <is>
          <t>UPPSALA LÄN</t>
        </is>
      </c>
      <c r="E67" t="inlineStr">
        <is>
          <t>HEBY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HYPERLINK("https://klasma.github.io/Logging_0331/artfynd/A 41382-2022 artfynd.xlsx", "A 41382-2022")</f>
        <v/>
      </c>
      <c r="T67">
        <f>HYPERLINK("https://klasma.github.io/Logging_0331/kartor/A 41382-2022 karta.png", "A 41382-2022")</f>
        <v/>
      </c>
      <c r="V67">
        <f>HYPERLINK("https://klasma.github.io/Logging_0331/klagomål/A 41382-2022 FSC-klagomål.docx", "A 41382-2022")</f>
        <v/>
      </c>
      <c r="W67">
        <f>HYPERLINK("https://klasma.github.io/Logging_0331/klagomålsmail/A 41382-2022 FSC-klagomål mail.docx", "A 41382-2022")</f>
        <v/>
      </c>
      <c r="X67">
        <f>HYPERLINK("https://klasma.github.io/Logging_0331/tillsyn/A 41382-2022 tillsynsbegäran.docx", "A 41382-2022")</f>
        <v/>
      </c>
      <c r="Y67">
        <f>HYPERLINK("https://klasma.github.io/Logging_0331/tillsynsmail/A 41382-2022 tillsynsbegäran mail.docx", "A 41382-2022")</f>
        <v/>
      </c>
    </row>
    <row r="68" ht="15" customHeight="1">
      <c r="A68" t="inlineStr">
        <is>
          <t>A 46086-2022</t>
        </is>
      </c>
      <c r="B68" s="1" t="n">
        <v>44847</v>
      </c>
      <c r="C68" s="1" t="n">
        <v>45843</v>
      </c>
      <c r="D68" t="inlineStr">
        <is>
          <t>UPPSALA LÄN</t>
        </is>
      </c>
      <c r="E68" t="inlineStr">
        <is>
          <t>HEBY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HYPERLINK("https://klasma.github.io/Logging_0331/artfynd/A 46086-2022 artfynd.xlsx", "A 46086-2022")</f>
        <v/>
      </c>
      <c r="T68">
        <f>HYPERLINK("https://klasma.github.io/Logging_0331/kartor/A 46086-2022 karta.png", "A 46086-2022")</f>
        <v/>
      </c>
      <c r="U68">
        <f>HYPERLINK("https://klasma.github.io/Logging_0331/knärot/A 46086-2022 karta knärot.png", "A 46086-2022")</f>
        <v/>
      </c>
      <c r="V68">
        <f>HYPERLINK("https://klasma.github.io/Logging_0331/klagomål/A 46086-2022 FSC-klagomål.docx", "A 46086-2022")</f>
        <v/>
      </c>
      <c r="W68">
        <f>HYPERLINK("https://klasma.github.io/Logging_0331/klagomålsmail/A 46086-2022 FSC-klagomål mail.docx", "A 46086-2022")</f>
        <v/>
      </c>
      <c r="X68">
        <f>HYPERLINK("https://klasma.github.io/Logging_0331/tillsyn/A 46086-2022 tillsynsbegäran.docx", "A 46086-2022")</f>
        <v/>
      </c>
      <c r="Y68">
        <f>HYPERLINK("https://klasma.github.io/Logging_0331/tillsynsmail/A 46086-2022 tillsynsbegäran mail.docx", "A 46086-2022")</f>
        <v/>
      </c>
    </row>
    <row r="69" ht="15" customHeight="1">
      <c r="A69" t="inlineStr">
        <is>
          <t>A 48167-2022</t>
        </is>
      </c>
      <c r="B69" s="1" t="n">
        <v>44858</v>
      </c>
      <c r="C69" s="1" t="n">
        <v>45843</v>
      </c>
      <c r="D69" t="inlineStr">
        <is>
          <t>UPPSALA LÄN</t>
        </is>
      </c>
      <c r="E69" t="inlineStr">
        <is>
          <t>HEBY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HYPERLINK("https://klasma.github.io/Logging_0331/artfynd/A 48167-2022 artfynd.xlsx", "A 48167-2022")</f>
        <v/>
      </c>
      <c r="T69">
        <f>HYPERLINK("https://klasma.github.io/Logging_0331/kartor/A 48167-2022 karta.png", "A 48167-2022")</f>
        <v/>
      </c>
      <c r="V69">
        <f>HYPERLINK("https://klasma.github.io/Logging_0331/klagomål/A 48167-2022 FSC-klagomål.docx", "A 48167-2022")</f>
        <v/>
      </c>
      <c r="W69">
        <f>HYPERLINK("https://klasma.github.io/Logging_0331/klagomålsmail/A 48167-2022 FSC-klagomål mail.docx", "A 48167-2022")</f>
        <v/>
      </c>
      <c r="X69">
        <f>HYPERLINK("https://klasma.github.io/Logging_0331/tillsyn/A 48167-2022 tillsynsbegäran.docx", "A 48167-2022")</f>
        <v/>
      </c>
      <c r="Y69">
        <f>HYPERLINK("https://klasma.github.io/Logging_0331/tillsynsmail/A 48167-2022 tillsynsbegäran mail.docx", "A 48167-2022")</f>
        <v/>
      </c>
      <c r="Z69">
        <f>HYPERLINK("https://klasma.github.io/Logging_0331/fåglar/A 48167-2022 prioriterade fågelarter.docx", "A 48167-2022")</f>
        <v/>
      </c>
    </row>
    <row r="70" ht="15" customHeight="1">
      <c r="A70" t="inlineStr">
        <is>
          <t>A 15610-2023</t>
        </is>
      </c>
      <c r="B70" s="1" t="n">
        <v>45020</v>
      </c>
      <c r="C70" s="1" t="n">
        <v>45843</v>
      </c>
      <c r="D70" t="inlineStr">
        <is>
          <t>UPPSALA LÄN</t>
        </is>
      </c>
      <c r="E70" t="inlineStr">
        <is>
          <t>HEBY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HYPERLINK("https://klasma.github.io/Logging_0331/artfynd/A 15610-2023 artfynd.xlsx", "A 15610-2023")</f>
        <v/>
      </c>
      <c r="T70">
        <f>HYPERLINK("https://klasma.github.io/Logging_0331/kartor/A 15610-2023 karta.png", "A 15610-2023")</f>
        <v/>
      </c>
      <c r="U70">
        <f>HYPERLINK("https://klasma.github.io/Logging_0331/knärot/A 15610-2023 karta knärot.png", "A 15610-2023")</f>
        <v/>
      </c>
      <c r="V70">
        <f>HYPERLINK("https://klasma.github.io/Logging_0331/klagomål/A 15610-2023 FSC-klagomål.docx", "A 15610-2023")</f>
        <v/>
      </c>
      <c r="W70">
        <f>HYPERLINK("https://klasma.github.io/Logging_0331/klagomålsmail/A 15610-2023 FSC-klagomål mail.docx", "A 15610-2023")</f>
        <v/>
      </c>
      <c r="X70">
        <f>HYPERLINK("https://klasma.github.io/Logging_0331/tillsyn/A 15610-2023 tillsynsbegäran.docx", "A 15610-2023")</f>
        <v/>
      </c>
      <c r="Y70">
        <f>HYPERLINK("https://klasma.github.io/Logging_0331/tillsynsmail/A 15610-2023 tillsynsbegäran mail.docx", "A 15610-2023")</f>
        <v/>
      </c>
    </row>
    <row r="71" ht="15" customHeight="1">
      <c r="A71" t="inlineStr">
        <is>
          <t>A 17389-2023</t>
        </is>
      </c>
      <c r="B71" s="1" t="n">
        <v>45035</v>
      </c>
      <c r="C71" s="1" t="n">
        <v>45843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HYPERLINK("https://klasma.github.io/Logging_0331/artfynd/A 17389-2023 artfynd.xlsx", "A 17389-2023")</f>
        <v/>
      </c>
      <c r="T71">
        <f>HYPERLINK("https://klasma.github.io/Logging_0331/kartor/A 17389-2023 karta.png", "A 17389-2023")</f>
        <v/>
      </c>
      <c r="V71">
        <f>HYPERLINK("https://klasma.github.io/Logging_0331/klagomål/A 17389-2023 FSC-klagomål.docx", "A 17389-2023")</f>
        <v/>
      </c>
      <c r="W71">
        <f>HYPERLINK("https://klasma.github.io/Logging_0331/klagomålsmail/A 17389-2023 FSC-klagomål mail.docx", "A 17389-2023")</f>
        <v/>
      </c>
      <c r="X71">
        <f>HYPERLINK("https://klasma.github.io/Logging_0331/tillsyn/A 17389-2023 tillsynsbegäran.docx", "A 17389-2023")</f>
        <v/>
      </c>
      <c r="Y71">
        <f>HYPERLINK("https://klasma.github.io/Logging_0331/tillsynsmail/A 17389-2023 tillsynsbegäran mail.docx", "A 17389-2023")</f>
        <v/>
      </c>
    </row>
    <row r="72" ht="15" customHeight="1">
      <c r="A72" t="inlineStr">
        <is>
          <t>A 17790-2023</t>
        </is>
      </c>
      <c r="B72" s="1" t="n">
        <v>45037</v>
      </c>
      <c r="C72" s="1" t="n">
        <v>45843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vattensalamander</t>
        </is>
      </c>
      <c r="S72">
        <f>HYPERLINK("https://klasma.github.io/Logging_0331/artfynd/A 17790-2023 artfynd.xlsx", "A 17790-2023")</f>
        <v/>
      </c>
      <c r="T72">
        <f>HYPERLINK("https://klasma.github.io/Logging_0331/kartor/A 17790-2023 karta.png", "A 17790-2023")</f>
        <v/>
      </c>
      <c r="V72">
        <f>HYPERLINK("https://klasma.github.io/Logging_0331/klagomål/A 17790-2023 FSC-klagomål.docx", "A 17790-2023")</f>
        <v/>
      </c>
      <c r="W72">
        <f>HYPERLINK("https://klasma.github.io/Logging_0331/klagomålsmail/A 17790-2023 FSC-klagomål mail.docx", "A 17790-2023")</f>
        <v/>
      </c>
      <c r="X72">
        <f>HYPERLINK("https://klasma.github.io/Logging_0331/tillsyn/A 17790-2023 tillsynsbegäran.docx", "A 17790-2023")</f>
        <v/>
      </c>
      <c r="Y72">
        <f>HYPERLINK("https://klasma.github.io/Logging_0331/tillsynsmail/A 17790-2023 tillsynsbegäran mail.docx", "A 17790-2023")</f>
        <v/>
      </c>
    </row>
    <row r="73" ht="15" customHeight="1">
      <c r="A73" t="inlineStr">
        <is>
          <t>A 26932-2023</t>
        </is>
      </c>
      <c r="B73" s="1" t="n">
        <v>45093</v>
      </c>
      <c r="C73" s="1" t="n">
        <v>45843</v>
      </c>
      <c r="D73" t="inlineStr">
        <is>
          <t>UPPSALA LÄN</t>
        </is>
      </c>
      <c r="E73" t="inlineStr">
        <is>
          <t>HEBY</t>
        </is>
      </c>
      <c r="G73" t="n">
        <v>12.3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HYPERLINK("https://klasma.github.io/Logging_0331/artfynd/A 26932-2023 artfynd.xlsx", "A 26932-2023")</f>
        <v/>
      </c>
      <c r="T73">
        <f>HYPERLINK("https://klasma.github.io/Logging_0331/kartor/A 26932-2023 karta.png", "A 26932-2023")</f>
        <v/>
      </c>
      <c r="V73">
        <f>HYPERLINK("https://klasma.github.io/Logging_0331/klagomål/A 26932-2023 FSC-klagomål.docx", "A 26932-2023")</f>
        <v/>
      </c>
      <c r="W73">
        <f>HYPERLINK("https://klasma.github.io/Logging_0331/klagomålsmail/A 26932-2023 FSC-klagomål mail.docx", "A 26932-2023")</f>
        <v/>
      </c>
      <c r="X73">
        <f>HYPERLINK("https://klasma.github.io/Logging_0331/tillsyn/A 26932-2023 tillsynsbegäran.docx", "A 26932-2023")</f>
        <v/>
      </c>
      <c r="Y73">
        <f>HYPERLINK("https://klasma.github.io/Logging_0331/tillsynsmail/A 26932-2023 tillsynsbegäran mail.docx", "A 26932-2023")</f>
        <v/>
      </c>
      <c r="Z73">
        <f>HYPERLINK("https://klasma.github.io/Logging_0331/fåglar/A 26932-2023 prioriterade fågelarter.docx", "A 26932-2023")</f>
        <v/>
      </c>
    </row>
    <row r="74" ht="15" customHeight="1">
      <c r="A74" t="inlineStr">
        <is>
          <t>A 27871-2023</t>
        </is>
      </c>
      <c r="B74" s="1" t="n">
        <v>45098</v>
      </c>
      <c r="C74" s="1" t="n">
        <v>45843</v>
      </c>
      <c r="D74" t="inlineStr">
        <is>
          <t>UPPSALA LÄN</t>
        </is>
      </c>
      <c r="E74" t="inlineStr">
        <is>
          <t>HEBY</t>
        </is>
      </c>
      <c r="G74" t="n">
        <v>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HYPERLINK("https://klasma.github.io/Logging_0331/artfynd/A 27871-2023 artfynd.xlsx", "A 27871-2023")</f>
        <v/>
      </c>
      <c r="T74">
        <f>HYPERLINK("https://klasma.github.io/Logging_0331/kartor/A 27871-2023 karta.png", "A 27871-2023")</f>
        <v/>
      </c>
      <c r="V74">
        <f>HYPERLINK("https://klasma.github.io/Logging_0331/klagomål/A 27871-2023 FSC-klagomål.docx", "A 27871-2023")</f>
        <v/>
      </c>
      <c r="W74">
        <f>HYPERLINK("https://klasma.github.io/Logging_0331/klagomålsmail/A 27871-2023 FSC-klagomål mail.docx", "A 27871-2023")</f>
        <v/>
      </c>
      <c r="X74">
        <f>HYPERLINK("https://klasma.github.io/Logging_0331/tillsyn/A 27871-2023 tillsynsbegäran.docx", "A 27871-2023")</f>
        <v/>
      </c>
      <c r="Y74">
        <f>HYPERLINK("https://klasma.github.io/Logging_0331/tillsynsmail/A 27871-2023 tillsynsbegäran mail.docx", "A 27871-2023")</f>
        <v/>
      </c>
    </row>
    <row r="75" ht="15" customHeight="1">
      <c r="A75" t="inlineStr">
        <is>
          <t>A 30526-2023</t>
        </is>
      </c>
      <c r="B75" s="1" t="n">
        <v>45111</v>
      </c>
      <c r="C75" s="1" t="n">
        <v>45843</v>
      </c>
      <c r="D75" t="inlineStr">
        <is>
          <t>UPPSALA LÄN</t>
        </is>
      </c>
      <c r="E75" t="inlineStr">
        <is>
          <t>HEBY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HYPERLINK("https://klasma.github.io/Logging_0331/artfynd/A 30526-2023 artfynd.xlsx", "A 30526-2023")</f>
        <v/>
      </c>
      <c r="T75">
        <f>HYPERLINK("https://klasma.github.io/Logging_0331/kartor/A 30526-2023 karta.png", "A 30526-2023")</f>
        <v/>
      </c>
      <c r="V75">
        <f>HYPERLINK("https://klasma.github.io/Logging_0331/klagomål/A 30526-2023 FSC-klagomål.docx", "A 30526-2023")</f>
        <v/>
      </c>
      <c r="W75">
        <f>HYPERLINK("https://klasma.github.io/Logging_0331/klagomålsmail/A 30526-2023 FSC-klagomål mail.docx", "A 30526-2023")</f>
        <v/>
      </c>
      <c r="X75">
        <f>HYPERLINK("https://klasma.github.io/Logging_0331/tillsyn/A 30526-2023 tillsynsbegäran.docx", "A 30526-2023")</f>
        <v/>
      </c>
      <c r="Y75">
        <f>HYPERLINK("https://klasma.github.io/Logging_0331/tillsynsmail/A 30526-2023 tillsynsbegäran mail.docx", "A 30526-2023")</f>
        <v/>
      </c>
      <c r="Z75">
        <f>HYPERLINK("https://klasma.github.io/Logging_0331/fåglar/A 30526-2023 prioriterade fågelarter.docx", "A 30526-2023")</f>
        <v/>
      </c>
    </row>
    <row r="76" ht="15" customHeight="1">
      <c r="A76" t="inlineStr">
        <is>
          <t>A 32292-2023</t>
        </is>
      </c>
      <c r="B76" s="1" t="n">
        <v>45120</v>
      </c>
      <c r="C76" s="1" t="n">
        <v>45843</v>
      </c>
      <c r="D76" t="inlineStr">
        <is>
          <t>UPPSALA LÄN</t>
        </is>
      </c>
      <c r="E76" t="inlineStr">
        <is>
          <t>HEBY</t>
        </is>
      </c>
      <c r="G76" t="n">
        <v>4.2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HYPERLINK("https://klasma.github.io/Logging_0331/artfynd/A 32292-2023 artfynd.xlsx", "A 32292-2023")</f>
        <v/>
      </c>
      <c r="T76">
        <f>HYPERLINK("https://klasma.github.io/Logging_0331/kartor/A 32292-2023 karta.png", "A 32292-2023")</f>
        <v/>
      </c>
      <c r="V76">
        <f>HYPERLINK("https://klasma.github.io/Logging_0331/klagomål/A 32292-2023 FSC-klagomål.docx", "A 32292-2023")</f>
        <v/>
      </c>
      <c r="W76">
        <f>HYPERLINK("https://klasma.github.io/Logging_0331/klagomålsmail/A 32292-2023 FSC-klagomål mail.docx", "A 32292-2023")</f>
        <v/>
      </c>
      <c r="X76">
        <f>HYPERLINK("https://klasma.github.io/Logging_0331/tillsyn/A 32292-2023 tillsynsbegäran.docx", "A 32292-2023")</f>
        <v/>
      </c>
      <c r="Y76">
        <f>HYPERLINK("https://klasma.github.io/Logging_0331/tillsynsmail/A 32292-2023 tillsynsbegäran mail.docx", "A 32292-2023")</f>
        <v/>
      </c>
    </row>
    <row r="77" ht="15" customHeight="1">
      <c r="A77" t="inlineStr">
        <is>
          <t>A 32299-2023</t>
        </is>
      </c>
      <c r="B77" s="1" t="n">
        <v>45120</v>
      </c>
      <c r="C77" s="1" t="n">
        <v>45843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HYPERLINK("https://klasma.github.io/Logging_0331/artfynd/A 32299-2023 artfynd.xlsx", "A 32299-2023")</f>
        <v/>
      </c>
      <c r="T77">
        <f>HYPERLINK("https://klasma.github.io/Logging_0331/kartor/A 32299-2023 karta.png", "A 32299-2023")</f>
        <v/>
      </c>
      <c r="V77">
        <f>HYPERLINK("https://klasma.github.io/Logging_0331/klagomål/A 32299-2023 FSC-klagomål.docx", "A 32299-2023")</f>
        <v/>
      </c>
      <c r="W77">
        <f>HYPERLINK("https://klasma.github.io/Logging_0331/klagomålsmail/A 32299-2023 FSC-klagomål mail.docx", "A 32299-2023")</f>
        <v/>
      </c>
      <c r="X77">
        <f>HYPERLINK("https://klasma.github.io/Logging_0331/tillsyn/A 32299-2023 tillsynsbegäran.docx", "A 32299-2023")</f>
        <v/>
      </c>
      <c r="Y77">
        <f>HYPERLINK("https://klasma.github.io/Logging_0331/tillsynsmail/A 32299-2023 tillsynsbegäran mail.docx", "A 32299-2023")</f>
        <v/>
      </c>
    </row>
    <row r="78" ht="15" customHeight="1">
      <c r="A78" t="inlineStr">
        <is>
          <t>A 32302-2023</t>
        </is>
      </c>
      <c r="B78" s="1" t="n">
        <v>45120</v>
      </c>
      <c r="C78" s="1" t="n">
        <v>45843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HYPERLINK("https://klasma.github.io/Logging_0331/artfynd/A 32302-2023 artfynd.xlsx", "A 32302-2023")</f>
        <v/>
      </c>
      <c r="T78">
        <f>HYPERLINK("https://klasma.github.io/Logging_0331/kartor/A 32302-2023 karta.png", "A 32302-2023")</f>
        <v/>
      </c>
      <c r="V78">
        <f>HYPERLINK("https://klasma.github.io/Logging_0331/klagomål/A 32302-2023 FSC-klagomål.docx", "A 32302-2023")</f>
        <v/>
      </c>
      <c r="W78">
        <f>HYPERLINK("https://klasma.github.io/Logging_0331/klagomålsmail/A 32302-2023 FSC-klagomål mail.docx", "A 32302-2023")</f>
        <v/>
      </c>
      <c r="X78">
        <f>HYPERLINK("https://klasma.github.io/Logging_0331/tillsyn/A 32302-2023 tillsynsbegäran.docx", "A 32302-2023")</f>
        <v/>
      </c>
      <c r="Y78">
        <f>HYPERLINK("https://klasma.github.io/Logging_0331/tillsynsmail/A 32302-2023 tillsynsbegäran mail.docx", "A 32302-2023")</f>
        <v/>
      </c>
      <c r="Z78">
        <f>HYPERLINK("https://klasma.github.io/Logging_0331/fåglar/A 32302-2023 prioriterade fågelarter.docx", "A 32302-2023")</f>
        <v/>
      </c>
    </row>
    <row r="79" ht="15" customHeight="1">
      <c r="A79" t="inlineStr">
        <is>
          <t>A 33858-2023</t>
        </is>
      </c>
      <c r="B79" s="1" t="n">
        <v>45133</v>
      </c>
      <c r="C79" s="1" t="n">
        <v>45843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Myskbock</t>
        </is>
      </c>
      <c r="S79">
        <f>HYPERLINK("https://klasma.github.io/Logging_0331/artfynd/A 33858-2023 artfynd.xlsx", "A 33858-2023")</f>
        <v/>
      </c>
      <c r="T79">
        <f>HYPERLINK("https://klasma.github.io/Logging_0331/kartor/A 33858-2023 karta.png", "A 33858-2023")</f>
        <v/>
      </c>
      <c r="V79">
        <f>HYPERLINK("https://klasma.github.io/Logging_0331/klagomål/A 33858-2023 FSC-klagomål.docx", "A 33858-2023")</f>
        <v/>
      </c>
      <c r="W79">
        <f>HYPERLINK("https://klasma.github.io/Logging_0331/klagomålsmail/A 33858-2023 FSC-klagomål mail.docx", "A 33858-2023")</f>
        <v/>
      </c>
      <c r="X79">
        <f>HYPERLINK("https://klasma.github.io/Logging_0331/tillsyn/A 33858-2023 tillsynsbegäran.docx", "A 33858-2023")</f>
        <v/>
      </c>
      <c r="Y79">
        <f>HYPERLINK("https://klasma.github.io/Logging_0331/tillsynsmail/A 33858-2023 tillsynsbegäran mail.docx", "A 33858-2023")</f>
        <v/>
      </c>
    </row>
    <row r="80" ht="15" customHeight="1">
      <c r="A80" t="inlineStr">
        <is>
          <t>A 40349-2023</t>
        </is>
      </c>
      <c r="B80" s="1" t="n">
        <v>45169</v>
      </c>
      <c r="C80" s="1" t="n">
        <v>45843</v>
      </c>
      <c r="D80" t="inlineStr">
        <is>
          <t>UPPSALA LÄN</t>
        </is>
      </c>
      <c r="E80" t="inlineStr">
        <is>
          <t>HEBY</t>
        </is>
      </c>
      <c r="F80" t="inlineStr">
        <is>
          <t>Kyrkan</t>
        </is>
      </c>
      <c r="G80" t="n">
        <v>9.1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HYPERLINK("https://klasma.github.io/Logging_0331/artfynd/A 40349-2023 artfynd.xlsx", "A 40349-2023")</f>
        <v/>
      </c>
      <c r="T80">
        <f>HYPERLINK("https://klasma.github.io/Logging_0331/kartor/A 40349-2023 karta.png", "A 40349-2023")</f>
        <v/>
      </c>
      <c r="V80">
        <f>HYPERLINK("https://klasma.github.io/Logging_0331/klagomål/A 40349-2023 FSC-klagomål.docx", "A 40349-2023")</f>
        <v/>
      </c>
      <c r="W80">
        <f>HYPERLINK("https://klasma.github.io/Logging_0331/klagomålsmail/A 40349-2023 FSC-klagomål mail.docx", "A 40349-2023")</f>
        <v/>
      </c>
      <c r="X80">
        <f>HYPERLINK("https://klasma.github.io/Logging_0331/tillsyn/A 40349-2023 tillsynsbegäran.docx", "A 40349-2023")</f>
        <v/>
      </c>
      <c r="Y80">
        <f>HYPERLINK("https://klasma.github.io/Logging_0331/tillsynsmail/A 40349-2023 tillsynsbegäran mail.docx", "A 40349-2023")</f>
        <v/>
      </c>
    </row>
    <row r="81" ht="15" customHeight="1">
      <c r="A81" t="inlineStr">
        <is>
          <t>A 53992-2023</t>
        </is>
      </c>
      <c r="B81" s="1" t="n">
        <v>45231</v>
      </c>
      <c r="C81" s="1" t="n">
        <v>45843</v>
      </c>
      <c r="D81" t="inlineStr">
        <is>
          <t>UPPSALA LÄN</t>
        </is>
      </c>
      <c r="E81" t="inlineStr">
        <is>
          <t>HEBY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HYPERLINK("https://klasma.github.io/Logging_0331/artfynd/A 53992-2023 artfynd.xlsx", "A 53992-2023")</f>
        <v/>
      </c>
      <c r="T81">
        <f>HYPERLINK("https://klasma.github.io/Logging_0331/kartor/A 53992-2023 karta.png", "A 53992-2023")</f>
        <v/>
      </c>
      <c r="V81">
        <f>HYPERLINK("https://klasma.github.io/Logging_0331/klagomål/A 53992-2023 FSC-klagomål.docx", "A 53992-2023")</f>
        <v/>
      </c>
      <c r="W81">
        <f>HYPERLINK("https://klasma.github.io/Logging_0331/klagomålsmail/A 53992-2023 FSC-klagomål mail.docx", "A 53992-2023")</f>
        <v/>
      </c>
      <c r="X81">
        <f>HYPERLINK("https://klasma.github.io/Logging_0331/tillsyn/A 53992-2023 tillsynsbegäran.docx", "A 53992-2023")</f>
        <v/>
      </c>
      <c r="Y81">
        <f>HYPERLINK("https://klasma.github.io/Logging_0331/tillsynsmail/A 53992-2023 tillsynsbegäran mail.docx", "A 53992-2023")</f>
        <v/>
      </c>
    </row>
    <row r="82" ht="15" customHeight="1">
      <c r="A82" t="inlineStr">
        <is>
          <t>A 56376-2023</t>
        </is>
      </c>
      <c r="B82" s="1" t="n">
        <v>45243</v>
      </c>
      <c r="C82" s="1" t="n">
        <v>45843</v>
      </c>
      <c r="D82" t="inlineStr">
        <is>
          <t>UPPSALA LÄN</t>
        </is>
      </c>
      <c r="E82" t="inlineStr">
        <is>
          <t>HEBY</t>
        </is>
      </c>
      <c r="G82" t="n">
        <v>5.6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Skogsknipprot</t>
        </is>
      </c>
      <c r="S82">
        <f>HYPERLINK("https://klasma.github.io/Logging_0331/artfynd/A 56376-2023 artfynd.xlsx", "A 56376-2023")</f>
        <v/>
      </c>
      <c r="T82">
        <f>HYPERLINK("https://klasma.github.io/Logging_0331/kartor/A 56376-2023 karta.png", "A 56376-2023")</f>
        <v/>
      </c>
      <c r="V82">
        <f>HYPERLINK("https://klasma.github.io/Logging_0331/klagomål/A 56376-2023 FSC-klagomål.docx", "A 56376-2023")</f>
        <v/>
      </c>
      <c r="W82">
        <f>HYPERLINK("https://klasma.github.io/Logging_0331/klagomålsmail/A 56376-2023 FSC-klagomål mail.docx", "A 56376-2023")</f>
        <v/>
      </c>
      <c r="X82">
        <f>HYPERLINK("https://klasma.github.io/Logging_0331/tillsyn/A 56376-2023 tillsynsbegäran.docx", "A 56376-2023")</f>
        <v/>
      </c>
      <c r="Y82">
        <f>HYPERLINK("https://klasma.github.io/Logging_0331/tillsynsmail/A 56376-2023 tillsynsbegäran mail.docx", "A 56376-2023")</f>
        <v/>
      </c>
    </row>
    <row r="83" ht="15" customHeight="1">
      <c r="A83" t="inlineStr">
        <is>
          <t>A 59708-2023</t>
        </is>
      </c>
      <c r="B83" s="1" t="n">
        <v>45256</v>
      </c>
      <c r="C83" s="1" t="n">
        <v>45843</v>
      </c>
      <c r="D83" t="inlineStr">
        <is>
          <t>UPPSALA LÄN</t>
        </is>
      </c>
      <c r="E83" t="inlineStr">
        <is>
          <t>HEBY</t>
        </is>
      </c>
      <c r="G83" t="n">
        <v>3.1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Mindre vattensalamander</t>
        </is>
      </c>
      <c r="S83">
        <f>HYPERLINK("https://klasma.github.io/Logging_0331/artfynd/A 59708-2023 artfynd.xlsx", "A 59708-2023")</f>
        <v/>
      </c>
      <c r="T83">
        <f>HYPERLINK("https://klasma.github.io/Logging_0331/kartor/A 59708-2023 karta.png", "A 59708-2023")</f>
        <v/>
      </c>
      <c r="V83">
        <f>HYPERLINK("https://klasma.github.io/Logging_0331/klagomål/A 59708-2023 FSC-klagomål.docx", "A 59708-2023")</f>
        <v/>
      </c>
      <c r="W83">
        <f>HYPERLINK("https://klasma.github.io/Logging_0331/klagomålsmail/A 59708-2023 FSC-klagomål mail.docx", "A 59708-2023")</f>
        <v/>
      </c>
      <c r="X83">
        <f>HYPERLINK("https://klasma.github.io/Logging_0331/tillsyn/A 59708-2023 tillsynsbegäran.docx", "A 59708-2023")</f>
        <v/>
      </c>
      <c r="Y83">
        <f>HYPERLINK("https://klasma.github.io/Logging_0331/tillsynsmail/A 59708-2023 tillsynsbegäran mail.docx", "A 59708-2023")</f>
        <v/>
      </c>
    </row>
    <row r="84" ht="15" customHeight="1">
      <c r="A84" t="inlineStr">
        <is>
          <t>A 8624-2024</t>
        </is>
      </c>
      <c r="B84" s="1" t="n">
        <v>45355</v>
      </c>
      <c r="C84" s="1" t="n">
        <v>45843</v>
      </c>
      <c r="D84" t="inlineStr">
        <is>
          <t>UPPSALA LÄN</t>
        </is>
      </c>
      <c r="E84" t="inlineStr">
        <is>
          <t>HEBY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8624-2024 artfynd.xlsx", "A 8624-2024")</f>
        <v/>
      </c>
      <c r="T84">
        <f>HYPERLINK("https://klasma.github.io/Logging_0331/kartor/A 8624-2024 karta.png", "A 8624-2024")</f>
        <v/>
      </c>
      <c r="V84">
        <f>HYPERLINK("https://klasma.github.io/Logging_0331/klagomål/A 8624-2024 FSC-klagomål.docx", "A 8624-2024")</f>
        <v/>
      </c>
      <c r="W84">
        <f>HYPERLINK("https://klasma.github.io/Logging_0331/klagomålsmail/A 8624-2024 FSC-klagomål mail.docx", "A 8624-2024")</f>
        <v/>
      </c>
      <c r="X84">
        <f>HYPERLINK("https://klasma.github.io/Logging_0331/tillsyn/A 8624-2024 tillsynsbegäran.docx", "A 8624-2024")</f>
        <v/>
      </c>
      <c r="Y84">
        <f>HYPERLINK("https://klasma.github.io/Logging_0331/tillsynsmail/A 8624-2024 tillsynsbegäran mail.docx", "A 8624-2024")</f>
        <v/>
      </c>
    </row>
    <row r="85" ht="15" customHeight="1">
      <c r="A85" t="inlineStr">
        <is>
          <t>A 17006-2024</t>
        </is>
      </c>
      <c r="B85" s="1" t="n">
        <v>45411</v>
      </c>
      <c r="C85" s="1" t="n">
        <v>45843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14.6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HYPERLINK("https://klasma.github.io/Logging_0331/artfynd/A 17006-2024 artfynd.xlsx", "A 17006-2024")</f>
        <v/>
      </c>
      <c r="T85">
        <f>HYPERLINK("https://klasma.github.io/Logging_0331/kartor/A 17006-2024 karta.png", "A 17006-2024")</f>
        <v/>
      </c>
      <c r="V85">
        <f>HYPERLINK("https://klasma.github.io/Logging_0331/klagomål/A 17006-2024 FSC-klagomål.docx", "A 17006-2024")</f>
        <v/>
      </c>
      <c r="W85">
        <f>HYPERLINK("https://klasma.github.io/Logging_0331/klagomålsmail/A 17006-2024 FSC-klagomål mail.docx", "A 17006-2024")</f>
        <v/>
      </c>
      <c r="X85">
        <f>HYPERLINK("https://klasma.github.io/Logging_0331/tillsyn/A 17006-2024 tillsynsbegäran.docx", "A 17006-2024")</f>
        <v/>
      </c>
      <c r="Y85">
        <f>HYPERLINK("https://klasma.github.io/Logging_0331/tillsynsmail/A 17006-2024 tillsynsbegäran mail.docx", "A 17006-2024")</f>
        <v/>
      </c>
      <c r="Z85">
        <f>HYPERLINK("https://klasma.github.io/Logging_0331/fåglar/A 17006-2024 prioriterade fågelarter.docx", "A 17006-2024")</f>
        <v/>
      </c>
    </row>
    <row r="86" ht="15" customHeight="1">
      <c r="A86" t="inlineStr">
        <is>
          <t>A 17972-2024</t>
        </is>
      </c>
      <c r="B86" s="1" t="n">
        <v>45419</v>
      </c>
      <c r="C86" s="1" t="n">
        <v>45843</v>
      </c>
      <c r="D86" t="inlineStr">
        <is>
          <t>UPPSALA LÄN</t>
        </is>
      </c>
      <c r="E86" t="inlineStr">
        <is>
          <t>HEBY</t>
        </is>
      </c>
      <c r="F86" t="inlineStr">
        <is>
          <t>Bergvik skog väst AB</t>
        </is>
      </c>
      <c r="G86" t="n">
        <v>9.699999999999999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Spädstarr</t>
        </is>
      </c>
      <c r="S86">
        <f>HYPERLINK("https://klasma.github.io/Logging_0331/artfynd/A 17972-2024 artfynd.xlsx", "A 17972-2024")</f>
        <v/>
      </c>
      <c r="T86">
        <f>HYPERLINK("https://klasma.github.io/Logging_0331/kartor/A 17972-2024 karta.png", "A 17972-2024")</f>
        <v/>
      </c>
      <c r="V86">
        <f>HYPERLINK("https://klasma.github.io/Logging_0331/klagomål/A 17972-2024 FSC-klagomål.docx", "A 17972-2024")</f>
        <v/>
      </c>
      <c r="W86">
        <f>HYPERLINK("https://klasma.github.io/Logging_0331/klagomålsmail/A 17972-2024 FSC-klagomål mail.docx", "A 17972-2024")</f>
        <v/>
      </c>
      <c r="X86">
        <f>HYPERLINK("https://klasma.github.io/Logging_0331/tillsyn/A 17972-2024 tillsynsbegäran.docx", "A 17972-2024")</f>
        <v/>
      </c>
      <c r="Y86">
        <f>HYPERLINK("https://klasma.github.io/Logging_0331/tillsynsmail/A 17972-2024 tillsynsbegäran mail.docx", "A 17972-2024")</f>
        <v/>
      </c>
    </row>
    <row r="87" ht="15" customHeight="1">
      <c r="A87" t="inlineStr">
        <is>
          <t>A 19139-2024</t>
        </is>
      </c>
      <c r="B87" s="1" t="n">
        <v>45428</v>
      </c>
      <c r="C87" s="1" t="n">
        <v>45843</v>
      </c>
      <c r="D87" t="inlineStr">
        <is>
          <t>UPPSALA LÄN</t>
        </is>
      </c>
      <c r="E87" t="inlineStr">
        <is>
          <t>HEBY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HYPERLINK("https://klasma.github.io/Logging_0331/artfynd/A 19139-2024 artfynd.xlsx", "A 19139-2024")</f>
        <v/>
      </c>
      <c r="T87">
        <f>HYPERLINK("https://klasma.github.io/Logging_0331/kartor/A 19139-2024 karta.png", "A 19139-2024")</f>
        <v/>
      </c>
      <c r="V87">
        <f>HYPERLINK("https://klasma.github.io/Logging_0331/klagomål/A 19139-2024 FSC-klagomål.docx", "A 19139-2024")</f>
        <v/>
      </c>
      <c r="W87">
        <f>HYPERLINK("https://klasma.github.io/Logging_0331/klagomålsmail/A 19139-2024 FSC-klagomål mail.docx", "A 19139-2024")</f>
        <v/>
      </c>
      <c r="X87">
        <f>HYPERLINK("https://klasma.github.io/Logging_0331/tillsyn/A 19139-2024 tillsynsbegäran.docx", "A 19139-2024")</f>
        <v/>
      </c>
      <c r="Y87">
        <f>HYPERLINK("https://klasma.github.io/Logging_0331/tillsynsmail/A 19139-2024 tillsynsbegäran mail.docx", "A 19139-2024")</f>
        <v/>
      </c>
    </row>
    <row r="88" ht="15" customHeight="1">
      <c r="A88" t="inlineStr">
        <is>
          <t>A 19481-2024</t>
        </is>
      </c>
      <c r="B88" s="1" t="n">
        <v>45429</v>
      </c>
      <c r="C88" s="1" t="n">
        <v>45843</v>
      </c>
      <c r="D88" t="inlineStr">
        <is>
          <t>UPPSALA LÄN</t>
        </is>
      </c>
      <c r="E88" t="inlineStr">
        <is>
          <t>HEBY</t>
        </is>
      </c>
      <c r="G88" t="n">
        <v>15.7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19481-2024 artfynd.xlsx", "A 19481-2024")</f>
        <v/>
      </c>
      <c r="T88">
        <f>HYPERLINK("https://klasma.github.io/Logging_0331/kartor/A 19481-2024 karta.png", "A 19481-2024")</f>
        <v/>
      </c>
      <c r="V88">
        <f>HYPERLINK("https://klasma.github.io/Logging_0331/klagomål/A 19481-2024 FSC-klagomål.docx", "A 19481-2024")</f>
        <v/>
      </c>
      <c r="W88">
        <f>HYPERLINK("https://klasma.github.io/Logging_0331/klagomålsmail/A 19481-2024 FSC-klagomål mail.docx", "A 19481-2024")</f>
        <v/>
      </c>
      <c r="X88">
        <f>HYPERLINK("https://klasma.github.io/Logging_0331/tillsyn/A 19481-2024 tillsynsbegäran.docx", "A 19481-2024")</f>
        <v/>
      </c>
      <c r="Y88">
        <f>HYPERLINK("https://klasma.github.io/Logging_0331/tillsynsmail/A 19481-2024 tillsynsbegäran mail.docx", "A 19481-2024")</f>
        <v/>
      </c>
    </row>
    <row r="89" ht="15" customHeight="1">
      <c r="A89" t="inlineStr">
        <is>
          <t>A 23384-2024</t>
        </is>
      </c>
      <c r="B89" s="1" t="n">
        <v>45453</v>
      </c>
      <c r="C89" s="1" t="n">
        <v>45843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30.3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HYPERLINK("https://klasma.github.io/Logging_0331/artfynd/A 23384-2024 artfynd.xlsx", "A 23384-2024")</f>
        <v/>
      </c>
      <c r="T89">
        <f>HYPERLINK("https://klasma.github.io/Logging_0331/kartor/A 23384-2024 karta.png", "A 23384-2024")</f>
        <v/>
      </c>
      <c r="V89">
        <f>HYPERLINK("https://klasma.github.io/Logging_0331/klagomål/A 23384-2024 FSC-klagomål.docx", "A 23384-2024")</f>
        <v/>
      </c>
      <c r="W89">
        <f>HYPERLINK("https://klasma.github.io/Logging_0331/klagomålsmail/A 23384-2024 FSC-klagomål mail.docx", "A 23384-2024")</f>
        <v/>
      </c>
      <c r="X89">
        <f>HYPERLINK("https://klasma.github.io/Logging_0331/tillsyn/A 23384-2024 tillsynsbegäran.docx", "A 23384-2024")</f>
        <v/>
      </c>
      <c r="Y89">
        <f>HYPERLINK("https://klasma.github.io/Logging_0331/tillsynsmail/A 23384-2024 tillsynsbegäran mail.docx", "A 23384-2024")</f>
        <v/>
      </c>
    </row>
    <row r="90" ht="15" customHeight="1">
      <c r="A90" t="inlineStr">
        <is>
          <t>A 26598-2024</t>
        </is>
      </c>
      <c r="B90" s="1" t="n">
        <v>45469</v>
      </c>
      <c r="C90" s="1" t="n">
        <v>45843</v>
      </c>
      <c r="D90" t="inlineStr">
        <is>
          <t>UPPSALA LÄN</t>
        </is>
      </c>
      <c r="E90" t="inlineStr">
        <is>
          <t>HEBY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26598-2024 artfynd.xlsx", "A 26598-2024")</f>
        <v/>
      </c>
      <c r="T90">
        <f>HYPERLINK("https://klasma.github.io/Logging_0331/kartor/A 26598-2024 karta.png", "A 26598-2024")</f>
        <v/>
      </c>
      <c r="V90">
        <f>HYPERLINK("https://klasma.github.io/Logging_0331/klagomål/A 26598-2024 FSC-klagomål.docx", "A 26598-2024")</f>
        <v/>
      </c>
      <c r="W90">
        <f>HYPERLINK("https://klasma.github.io/Logging_0331/klagomålsmail/A 26598-2024 FSC-klagomål mail.docx", "A 26598-2024")</f>
        <v/>
      </c>
      <c r="X90">
        <f>HYPERLINK("https://klasma.github.io/Logging_0331/tillsyn/A 26598-2024 tillsynsbegäran.docx", "A 26598-2024")</f>
        <v/>
      </c>
      <c r="Y90">
        <f>HYPERLINK("https://klasma.github.io/Logging_0331/tillsynsmail/A 26598-2024 tillsynsbegäran mail.docx", "A 26598-2024")</f>
        <v/>
      </c>
    </row>
    <row r="91" ht="15" customHeight="1">
      <c r="A91" t="inlineStr">
        <is>
          <t>A 26591-2024</t>
        </is>
      </c>
      <c r="B91" s="1" t="n">
        <v>45469</v>
      </c>
      <c r="C91" s="1" t="n">
        <v>45843</v>
      </c>
      <c r="D91" t="inlineStr">
        <is>
          <t>UPPSALA LÄN</t>
        </is>
      </c>
      <c r="E91" t="inlineStr">
        <is>
          <t>HEBY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26591-2024 artfynd.xlsx", "A 26591-2024")</f>
        <v/>
      </c>
      <c r="T91">
        <f>HYPERLINK("https://klasma.github.io/Logging_0331/kartor/A 26591-2024 karta.png", "A 26591-2024")</f>
        <v/>
      </c>
      <c r="V91">
        <f>HYPERLINK("https://klasma.github.io/Logging_0331/klagomål/A 26591-2024 FSC-klagomål.docx", "A 26591-2024")</f>
        <v/>
      </c>
      <c r="W91">
        <f>HYPERLINK("https://klasma.github.io/Logging_0331/klagomålsmail/A 26591-2024 FSC-klagomål mail.docx", "A 26591-2024")</f>
        <v/>
      </c>
      <c r="X91">
        <f>HYPERLINK("https://klasma.github.io/Logging_0331/tillsyn/A 26591-2024 tillsynsbegäran.docx", "A 26591-2024")</f>
        <v/>
      </c>
      <c r="Y91">
        <f>HYPERLINK("https://klasma.github.io/Logging_0331/tillsynsmail/A 26591-2024 tillsynsbegäran mail.docx", "A 26591-2024")</f>
        <v/>
      </c>
    </row>
    <row r="92" ht="15" customHeight="1">
      <c r="A92" t="inlineStr">
        <is>
          <t>A 31171-2024</t>
        </is>
      </c>
      <c r="B92" s="1" t="n">
        <v>45503</v>
      </c>
      <c r="C92" s="1" t="n">
        <v>45843</v>
      </c>
      <c r="D92" t="inlineStr">
        <is>
          <t>UPPSALA LÄN</t>
        </is>
      </c>
      <c r="E92" t="inlineStr">
        <is>
          <t>HEBY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31171-2024 artfynd.xlsx", "A 31171-2024")</f>
        <v/>
      </c>
      <c r="T92">
        <f>HYPERLINK("https://klasma.github.io/Logging_0331/kartor/A 31171-2024 karta.png", "A 31171-2024")</f>
        <v/>
      </c>
      <c r="V92">
        <f>HYPERLINK("https://klasma.github.io/Logging_0331/klagomål/A 31171-2024 FSC-klagomål.docx", "A 31171-2024")</f>
        <v/>
      </c>
      <c r="W92">
        <f>HYPERLINK("https://klasma.github.io/Logging_0331/klagomålsmail/A 31171-2024 FSC-klagomål mail.docx", "A 31171-2024")</f>
        <v/>
      </c>
      <c r="X92">
        <f>HYPERLINK("https://klasma.github.io/Logging_0331/tillsyn/A 31171-2024 tillsynsbegäran.docx", "A 31171-2024")</f>
        <v/>
      </c>
      <c r="Y92">
        <f>HYPERLINK("https://klasma.github.io/Logging_0331/tillsynsmail/A 31171-2024 tillsynsbegäran mail.docx", "A 31171-2024")</f>
        <v/>
      </c>
    </row>
    <row r="93" ht="15" customHeight="1">
      <c r="A93" t="inlineStr">
        <is>
          <t>A 31781-2024</t>
        </is>
      </c>
      <c r="B93" s="1" t="n">
        <v>45509</v>
      </c>
      <c r="C93" s="1" t="n">
        <v>45843</v>
      </c>
      <c r="D93" t="inlineStr">
        <is>
          <t>UPPSALA LÄN</t>
        </is>
      </c>
      <c r="E93" t="inlineStr">
        <is>
          <t>HEBY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HYPERLINK("https://klasma.github.io/Logging_0331/artfynd/A 31781-2024 artfynd.xlsx", "A 31781-2024")</f>
        <v/>
      </c>
      <c r="T93">
        <f>HYPERLINK("https://klasma.github.io/Logging_0331/kartor/A 31781-2024 karta.png", "A 31781-2024")</f>
        <v/>
      </c>
      <c r="V93">
        <f>HYPERLINK("https://klasma.github.io/Logging_0331/klagomål/A 31781-2024 FSC-klagomål.docx", "A 31781-2024")</f>
        <v/>
      </c>
      <c r="W93">
        <f>HYPERLINK("https://klasma.github.io/Logging_0331/klagomålsmail/A 31781-2024 FSC-klagomål mail.docx", "A 31781-2024")</f>
        <v/>
      </c>
      <c r="X93">
        <f>HYPERLINK("https://klasma.github.io/Logging_0331/tillsyn/A 31781-2024 tillsynsbegäran.docx", "A 31781-2024")</f>
        <v/>
      </c>
      <c r="Y93">
        <f>HYPERLINK("https://klasma.github.io/Logging_0331/tillsynsmail/A 31781-2024 tillsynsbegäran mail.docx", "A 31781-2024")</f>
        <v/>
      </c>
    </row>
    <row r="94" ht="15" customHeight="1">
      <c r="A94" t="inlineStr">
        <is>
          <t>A 48722-2024</t>
        </is>
      </c>
      <c r="B94" s="1" t="n">
        <v>45593</v>
      </c>
      <c r="C94" s="1" t="n">
        <v>45843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9.6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HYPERLINK("https://klasma.github.io/Logging_0331/artfynd/A 48722-2024 artfynd.xlsx", "A 48722-2024")</f>
        <v/>
      </c>
      <c r="T94">
        <f>HYPERLINK("https://klasma.github.io/Logging_0331/kartor/A 48722-2024 karta.png", "A 48722-2024")</f>
        <v/>
      </c>
      <c r="V94">
        <f>HYPERLINK("https://klasma.github.io/Logging_0331/klagomål/A 48722-2024 FSC-klagomål.docx", "A 48722-2024")</f>
        <v/>
      </c>
      <c r="W94">
        <f>HYPERLINK("https://klasma.github.io/Logging_0331/klagomålsmail/A 48722-2024 FSC-klagomål mail.docx", "A 48722-2024")</f>
        <v/>
      </c>
      <c r="X94">
        <f>HYPERLINK("https://klasma.github.io/Logging_0331/tillsyn/A 48722-2024 tillsynsbegäran.docx", "A 48722-2024")</f>
        <v/>
      </c>
      <c r="Y94">
        <f>HYPERLINK("https://klasma.github.io/Logging_0331/tillsynsmail/A 48722-2024 tillsynsbegäran mail.docx", "A 48722-2024")</f>
        <v/>
      </c>
    </row>
    <row r="95" ht="15" customHeight="1">
      <c r="A95" t="inlineStr">
        <is>
          <t>A 54368-2024</t>
        </is>
      </c>
      <c r="B95" s="1" t="n">
        <v>45617</v>
      </c>
      <c r="C95" s="1" t="n">
        <v>45843</v>
      </c>
      <c r="D95" t="inlineStr">
        <is>
          <t>UPPSALA LÄN</t>
        </is>
      </c>
      <c r="E95" t="inlineStr">
        <is>
          <t>HEBY</t>
        </is>
      </c>
      <c r="F95" t="inlineStr">
        <is>
          <t>Allmännings- och besparingsskogar</t>
        </is>
      </c>
      <c r="G95" t="n">
        <v>13.9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HYPERLINK("https://klasma.github.io/Logging_0331/artfynd/A 54368-2024 artfynd.xlsx", "A 54368-2024")</f>
        <v/>
      </c>
      <c r="T95">
        <f>HYPERLINK("https://klasma.github.io/Logging_0331/kartor/A 54368-2024 karta.png", "A 54368-2024")</f>
        <v/>
      </c>
      <c r="V95">
        <f>HYPERLINK("https://klasma.github.io/Logging_0331/klagomål/A 54368-2024 FSC-klagomål.docx", "A 54368-2024")</f>
        <v/>
      </c>
      <c r="W95">
        <f>HYPERLINK("https://klasma.github.io/Logging_0331/klagomålsmail/A 54368-2024 FSC-klagomål mail.docx", "A 54368-2024")</f>
        <v/>
      </c>
      <c r="X95">
        <f>HYPERLINK("https://klasma.github.io/Logging_0331/tillsyn/A 54368-2024 tillsynsbegäran.docx", "A 54368-2024")</f>
        <v/>
      </c>
      <c r="Y95">
        <f>HYPERLINK("https://klasma.github.io/Logging_0331/tillsynsmail/A 54368-2024 tillsynsbegäran mail.docx", "A 54368-2024")</f>
        <v/>
      </c>
      <c r="Z95">
        <f>HYPERLINK("https://klasma.github.io/Logging_0331/fåglar/A 54368-2024 prioriterade fågelarter.docx", "A 54368-2024")</f>
        <v/>
      </c>
    </row>
    <row r="96" ht="15" customHeight="1">
      <c r="A96" t="inlineStr">
        <is>
          <t>A 55082-2024</t>
        </is>
      </c>
      <c r="B96" s="1" t="n">
        <v>45621</v>
      </c>
      <c r="C96" s="1" t="n">
        <v>45843</v>
      </c>
      <c r="D96" t="inlineStr">
        <is>
          <t>UPPSALA LÄN</t>
        </is>
      </c>
      <c r="E96" t="inlineStr">
        <is>
          <t>HEBY</t>
        </is>
      </c>
      <c r="G96" t="n">
        <v>5.2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HYPERLINK("https://klasma.github.io/Logging_0331/artfynd/A 55082-2024 artfynd.xlsx", "A 55082-2024")</f>
        <v/>
      </c>
      <c r="T96">
        <f>HYPERLINK("https://klasma.github.io/Logging_0331/kartor/A 55082-2024 karta.png", "A 55082-2024")</f>
        <v/>
      </c>
      <c r="V96">
        <f>HYPERLINK("https://klasma.github.io/Logging_0331/klagomål/A 55082-2024 FSC-klagomål.docx", "A 55082-2024")</f>
        <v/>
      </c>
      <c r="W96">
        <f>HYPERLINK("https://klasma.github.io/Logging_0331/klagomålsmail/A 55082-2024 FSC-klagomål mail.docx", "A 55082-2024")</f>
        <v/>
      </c>
      <c r="X96">
        <f>HYPERLINK("https://klasma.github.io/Logging_0331/tillsyn/A 55082-2024 tillsynsbegäran.docx", "A 55082-2024")</f>
        <v/>
      </c>
      <c r="Y96">
        <f>HYPERLINK("https://klasma.github.io/Logging_0331/tillsynsmail/A 55082-2024 tillsynsbegäran mail.docx", "A 55082-2024")</f>
        <v/>
      </c>
    </row>
    <row r="97" ht="15" customHeight="1">
      <c r="A97" t="inlineStr">
        <is>
          <t>A 55663-2024</t>
        </is>
      </c>
      <c r="B97" s="1" t="n">
        <v>45622</v>
      </c>
      <c r="C97" s="1" t="n">
        <v>45843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HYPERLINK("https://klasma.github.io/Logging_0331/artfynd/A 55663-2024 artfynd.xlsx", "A 55663-2024")</f>
        <v/>
      </c>
      <c r="T97">
        <f>HYPERLINK("https://klasma.github.io/Logging_0331/kartor/A 55663-2024 karta.png", "A 55663-2024")</f>
        <v/>
      </c>
      <c r="V97">
        <f>HYPERLINK("https://klasma.github.io/Logging_0331/klagomål/A 55663-2024 FSC-klagomål.docx", "A 55663-2024")</f>
        <v/>
      </c>
      <c r="W97">
        <f>HYPERLINK("https://klasma.github.io/Logging_0331/klagomålsmail/A 55663-2024 FSC-klagomål mail.docx", "A 55663-2024")</f>
        <v/>
      </c>
      <c r="X97">
        <f>HYPERLINK("https://klasma.github.io/Logging_0331/tillsyn/A 55663-2024 tillsynsbegäran.docx", "A 55663-2024")</f>
        <v/>
      </c>
      <c r="Y97">
        <f>HYPERLINK("https://klasma.github.io/Logging_0331/tillsynsmail/A 55663-2024 tillsynsbegäran mail.docx", "A 55663-2024")</f>
        <v/>
      </c>
    </row>
    <row r="98" ht="15" customHeight="1">
      <c r="A98" t="inlineStr">
        <is>
          <t>A 2592-2025</t>
        </is>
      </c>
      <c r="B98" s="1" t="n">
        <v>45674</v>
      </c>
      <c r="C98" s="1" t="n">
        <v>45843</v>
      </c>
      <c r="D98" t="inlineStr">
        <is>
          <t>UPPSALA LÄN</t>
        </is>
      </c>
      <c r="E98" t="inlineStr">
        <is>
          <t>HEBY</t>
        </is>
      </c>
      <c r="F98" t="inlineStr">
        <is>
          <t>Allmännings- och besparingsskogar</t>
        </is>
      </c>
      <c r="G98" t="n">
        <v>15.8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HYPERLINK("https://klasma.github.io/Logging_0331/artfynd/A 2592-2025 artfynd.xlsx", "A 2592-2025")</f>
        <v/>
      </c>
      <c r="T98">
        <f>HYPERLINK("https://klasma.github.io/Logging_0331/kartor/A 2592-2025 karta.png", "A 2592-2025")</f>
        <v/>
      </c>
      <c r="V98">
        <f>HYPERLINK("https://klasma.github.io/Logging_0331/klagomål/A 2592-2025 FSC-klagomål.docx", "A 2592-2025")</f>
        <v/>
      </c>
      <c r="W98">
        <f>HYPERLINK("https://klasma.github.io/Logging_0331/klagomålsmail/A 2592-2025 FSC-klagomål mail.docx", "A 2592-2025")</f>
        <v/>
      </c>
      <c r="X98">
        <f>HYPERLINK("https://klasma.github.io/Logging_0331/tillsyn/A 2592-2025 tillsynsbegäran.docx", "A 2592-2025")</f>
        <v/>
      </c>
      <c r="Y98">
        <f>HYPERLINK("https://klasma.github.io/Logging_0331/tillsynsmail/A 2592-2025 tillsynsbegäran mail.docx", "A 2592-2025")</f>
        <v/>
      </c>
    </row>
    <row r="99" ht="15" customHeight="1">
      <c r="A99" t="inlineStr">
        <is>
          <t>A 18424-2025</t>
        </is>
      </c>
      <c r="B99" s="1" t="n">
        <v>45762</v>
      </c>
      <c r="C99" s="1" t="n">
        <v>45843</v>
      </c>
      <c r="D99" t="inlineStr">
        <is>
          <t>UPPSALA LÄN</t>
        </is>
      </c>
      <c r="E99" t="inlineStr">
        <is>
          <t>HEBY</t>
        </is>
      </c>
      <c r="G99" t="n">
        <v>7.9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HYPERLINK("https://klasma.github.io/Logging_030331/artfynd/A 18424-2025 artfynd.xlsx", "A 18424-2025")</f>
        <v/>
      </c>
      <c r="T99">
        <f>HYPERLINK("https://klasma.github.io/Logging_030331/kartor/A 18424-2025 karta.png", "A 18424-2025")</f>
        <v/>
      </c>
      <c r="V99">
        <f>HYPERLINK("https://klasma.github.io/Logging_030331/klagomål/A 18424-2025 FSC-klagomål.docx", "A 18424-2025")</f>
        <v/>
      </c>
      <c r="W99">
        <f>HYPERLINK("https://klasma.github.io/Logging_030331/klagomålsmail/A 18424-2025 FSC-klagomål mail.docx", "A 18424-2025")</f>
        <v/>
      </c>
      <c r="X99">
        <f>HYPERLINK("https://klasma.github.io/Logging_030331/tillsyn/A 18424-2025 tillsynsbegäran.docx", "A 18424-2025")</f>
        <v/>
      </c>
      <c r="Y99">
        <f>HYPERLINK("https://klasma.github.io/Logging_030331/tillsynsmail/A 18424-2025 tillsynsbegäran mail.docx", "A 18424-2025")</f>
        <v/>
      </c>
    </row>
    <row r="100" ht="15" customHeight="1">
      <c r="A100" t="inlineStr">
        <is>
          <t>A 21203-2025</t>
        </is>
      </c>
      <c r="B100" s="1" t="n">
        <v>45777</v>
      </c>
      <c r="C100" s="1" t="n">
        <v>45843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27.7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HYPERLINK("https://klasma.github.io/Logging_030331/artfynd/A 21203-2025 artfynd.xlsx", "A 21203-2025")</f>
        <v/>
      </c>
      <c r="T100">
        <f>HYPERLINK("https://klasma.github.io/Logging_030331/kartor/A 21203-2025 karta.png", "A 21203-2025")</f>
        <v/>
      </c>
      <c r="V100">
        <f>HYPERLINK("https://klasma.github.io/Logging_030331/klagomål/A 21203-2025 FSC-klagomål.docx", "A 21203-2025")</f>
        <v/>
      </c>
      <c r="W100">
        <f>HYPERLINK("https://klasma.github.io/Logging_030331/klagomålsmail/A 21203-2025 FSC-klagomål mail.docx", "A 21203-2025")</f>
        <v/>
      </c>
      <c r="X100">
        <f>HYPERLINK("https://klasma.github.io/Logging_030331/tillsyn/A 21203-2025 tillsynsbegäran.docx", "A 21203-2025")</f>
        <v/>
      </c>
      <c r="Y100">
        <f>HYPERLINK("https://klasma.github.io/Logging_030331/tillsynsmail/A 21203-2025 tillsynsbegäran mail.docx", "A 21203-2025")</f>
        <v/>
      </c>
    </row>
    <row r="101" ht="15" customHeight="1">
      <c r="A101" t="inlineStr">
        <is>
          <t>A 25318-2025</t>
        </is>
      </c>
      <c r="B101" s="1" t="n">
        <v>45799</v>
      </c>
      <c r="C101" s="1" t="n">
        <v>45843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29.7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Slaguggla</t>
        </is>
      </c>
      <c r="S101">
        <f>HYPERLINK("https://klasma.github.io/Logging_030331/artfynd/A 25318-2025 artfynd.xlsx", "A 25318-2025")</f>
        <v/>
      </c>
      <c r="T101">
        <f>HYPERLINK("https://klasma.github.io/Logging_030331/kartor/A 25318-2025 karta.png", "A 25318-2025")</f>
        <v/>
      </c>
      <c r="V101">
        <f>HYPERLINK("https://klasma.github.io/Logging_030331/klagomål/A 25318-2025 FSC-klagomål.docx", "A 25318-2025")</f>
        <v/>
      </c>
      <c r="W101">
        <f>HYPERLINK("https://klasma.github.io/Logging_030331/klagomålsmail/A 25318-2025 FSC-klagomål mail.docx", "A 25318-2025")</f>
        <v/>
      </c>
      <c r="X101">
        <f>HYPERLINK("https://klasma.github.io/Logging_030331/tillsyn/A 25318-2025 tillsynsbegäran.docx", "A 25318-2025")</f>
        <v/>
      </c>
      <c r="Y101">
        <f>HYPERLINK("https://klasma.github.io/Logging_030331/tillsynsmail/A 25318-2025 tillsynsbegäran mail.docx", "A 25318-2025")</f>
        <v/>
      </c>
      <c r="Z101">
        <f>HYPERLINK("https://klasma.github.io/Logging_030331/fåglar/A 25318-2025 prioriterade fågelarter.docx", "A 25318-2025")</f>
        <v/>
      </c>
    </row>
    <row r="102" ht="15" customHeight="1">
      <c r="A102" t="inlineStr">
        <is>
          <t>A 17706-2019</t>
        </is>
      </c>
      <c r="B102" s="1" t="n">
        <v>43556</v>
      </c>
      <c r="C102" s="1" t="n">
        <v>45843</v>
      </c>
      <c r="D102" t="inlineStr">
        <is>
          <t>UPPSALA LÄN</t>
        </is>
      </c>
      <c r="E102" t="inlineStr">
        <is>
          <t>HEBY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18323-2019</t>
        </is>
      </c>
      <c r="B103" s="1" t="n">
        <v>43559</v>
      </c>
      <c r="C103" s="1" t="n">
        <v>45843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18699-2019</t>
        </is>
      </c>
      <c r="B104" s="1" t="n">
        <v>43560</v>
      </c>
      <c r="C104" s="1" t="n">
        <v>45843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18716-2019</t>
        </is>
      </c>
      <c r="B105" s="1" t="n">
        <v>43560</v>
      </c>
      <c r="C105" s="1" t="n">
        <v>45843</v>
      </c>
      <c r="D105" t="inlineStr">
        <is>
          <t>UPPSALA LÄN</t>
        </is>
      </c>
      <c r="E105" t="inlineStr">
        <is>
          <t>HEBY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18799-2019</t>
        </is>
      </c>
      <c r="B106" s="1" t="n">
        <v>43562</v>
      </c>
      <c r="C106" s="1" t="n">
        <v>45843</v>
      </c>
      <c r="D106" t="inlineStr">
        <is>
          <t>UPPSALA LÄN</t>
        </is>
      </c>
      <c r="E106" t="inlineStr">
        <is>
          <t>HEBY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18997-2019</t>
        </is>
      </c>
      <c r="B107" s="1" t="n">
        <v>43563</v>
      </c>
      <c r="C107" s="1" t="n">
        <v>45843</v>
      </c>
      <c r="D107" t="inlineStr">
        <is>
          <t>UPPSALA LÄN</t>
        </is>
      </c>
      <c r="E107" t="inlineStr">
        <is>
          <t>HEBY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19779-2019</t>
        </is>
      </c>
      <c r="B108" s="1" t="n">
        <v>43567</v>
      </c>
      <c r="C108" s="1" t="n">
        <v>45843</v>
      </c>
      <c r="D108" t="inlineStr">
        <is>
          <t>UPPSALA LÄN</t>
        </is>
      </c>
      <c r="E108" t="inlineStr">
        <is>
          <t>HEBY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20157-2019</t>
        </is>
      </c>
      <c r="B109" s="1" t="n">
        <v>43570</v>
      </c>
      <c r="C109" s="1" t="n">
        <v>45843</v>
      </c>
      <c r="D109" t="inlineStr">
        <is>
          <t>UPPSALA LÄN</t>
        </is>
      </c>
      <c r="E109" t="inlineStr">
        <is>
          <t>HEBY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19989-2019</t>
        </is>
      </c>
      <c r="B110" s="1" t="n">
        <v>43570</v>
      </c>
      <c r="C110" s="1" t="n">
        <v>45843</v>
      </c>
      <c r="D110" t="inlineStr">
        <is>
          <t>UPPSALA LÄN</t>
        </is>
      </c>
      <c r="E110" t="inlineStr">
        <is>
          <t>HEBY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21566-2019</t>
        </is>
      </c>
      <c r="B111" s="1" t="n">
        <v>43580</v>
      </c>
      <c r="C111" s="1" t="n">
        <v>45843</v>
      </c>
      <c r="D111" t="inlineStr">
        <is>
          <t>UPPSALA LÄN</t>
        </is>
      </c>
      <c r="E111" t="inlineStr">
        <is>
          <t>HEBY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21565-2019</t>
        </is>
      </c>
      <c r="B112" s="1" t="n">
        <v>43580</v>
      </c>
      <c r="C112" s="1" t="n">
        <v>45843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21760-2019</t>
        </is>
      </c>
      <c r="B113" s="1" t="n">
        <v>43581</v>
      </c>
      <c r="C113" s="1" t="n">
        <v>45843</v>
      </c>
      <c r="D113" t="inlineStr">
        <is>
          <t>UPPSALA LÄN</t>
        </is>
      </c>
      <c r="E113" t="inlineStr">
        <is>
          <t>HEBY</t>
        </is>
      </c>
      <c r="F113" t="inlineStr">
        <is>
          <t>Övriga Aktiebolag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24039-2019</t>
        </is>
      </c>
      <c r="B114" s="1" t="n">
        <v>43598</v>
      </c>
      <c r="C114" s="1" t="n">
        <v>45843</v>
      </c>
      <c r="D114" t="inlineStr">
        <is>
          <t>UPPSALA LÄN</t>
        </is>
      </c>
      <c r="E114" t="inlineStr">
        <is>
          <t>HEBY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24297-2019</t>
        </is>
      </c>
      <c r="B115" s="1" t="n">
        <v>43598</v>
      </c>
      <c r="C115" s="1" t="n">
        <v>45843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25317-2019</t>
        </is>
      </c>
      <c r="B116" s="1" t="n">
        <v>43606</v>
      </c>
      <c r="C116" s="1" t="n">
        <v>45843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25672-2019</t>
        </is>
      </c>
      <c r="B117" s="1" t="n">
        <v>43607</v>
      </c>
      <c r="C117" s="1" t="n">
        <v>45843</v>
      </c>
      <c r="D117" t="inlineStr">
        <is>
          <t>UPPSALA LÄN</t>
        </is>
      </c>
      <c r="E117" t="inlineStr">
        <is>
          <t>HEBY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25791-2019</t>
        </is>
      </c>
      <c r="B118" s="1" t="n">
        <v>43608</v>
      </c>
      <c r="C118" s="1" t="n">
        <v>45843</v>
      </c>
      <c r="D118" t="inlineStr">
        <is>
          <t>UPPSALA LÄN</t>
        </is>
      </c>
      <c r="E118" t="inlineStr">
        <is>
          <t>HEBY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26060-2019</t>
        </is>
      </c>
      <c r="B119" s="1" t="n">
        <v>43609</v>
      </c>
      <c r="C119" s="1" t="n">
        <v>45843</v>
      </c>
      <c r="D119" t="inlineStr">
        <is>
          <t>UPPSALA LÄN</t>
        </is>
      </c>
      <c r="E119" t="inlineStr">
        <is>
          <t>HEBY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27277-2019</t>
        </is>
      </c>
      <c r="B120" s="1" t="n">
        <v>43615</v>
      </c>
      <c r="C120" s="1" t="n">
        <v>45843</v>
      </c>
      <c r="D120" t="inlineStr">
        <is>
          <t>UPPSALA LÄN</t>
        </is>
      </c>
      <c r="E120" t="inlineStr">
        <is>
          <t>HEBY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29637-2019</t>
        </is>
      </c>
      <c r="B121" s="1" t="n">
        <v>43628</v>
      </c>
      <c r="C121" s="1" t="n">
        <v>45843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29954-2019</t>
        </is>
      </c>
      <c r="B122" s="1" t="n">
        <v>43633</v>
      </c>
      <c r="C122" s="1" t="n">
        <v>45843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30838-2019</t>
        </is>
      </c>
      <c r="B123" s="1" t="n">
        <v>43636</v>
      </c>
      <c r="C123" s="1" t="n">
        <v>45843</v>
      </c>
      <c r="D123" t="inlineStr">
        <is>
          <t>UPPSALA LÄN</t>
        </is>
      </c>
      <c r="E123" t="inlineStr">
        <is>
          <t>HEBY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31438-2019</t>
        </is>
      </c>
      <c r="B124" s="1" t="n">
        <v>43641</v>
      </c>
      <c r="C124" s="1" t="n">
        <v>45843</v>
      </c>
      <c r="D124" t="inlineStr">
        <is>
          <t>UPPSALA LÄN</t>
        </is>
      </c>
      <c r="E124" t="inlineStr">
        <is>
          <t>HEBY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31436-2019</t>
        </is>
      </c>
      <c r="B125" s="1" t="n">
        <v>43641</v>
      </c>
      <c r="C125" s="1" t="n">
        <v>45843</v>
      </c>
      <c r="D125" t="inlineStr">
        <is>
          <t>UPPSALA LÄN</t>
        </is>
      </c>
      <c r="E125" t="inlineStr">
        <is>
          <t>HEBY</t>
        </is>
      </c>
      <c r="F125" t="inlineStr">
        <is>
          <t>Bergvik skog öst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32299-2019</t>
        </is>
      </c>
      <c r="B126" s="1" t="n">
        <v>43644</v>
      </c>
      <c r="C126" s="1" t="n">
        <v>45843</v>
      </c>
      <c r="D126" t="inlineStr">
        <is>
          <t>UPPSALA LÄN</t>
        </is>
      </c>
      <c r="E126" t="inlineStr">
        <is>
          <t>HEBY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33575-2019</t>
        </is>
      </c>
      <c r="B127" s="1" t="n">
        <v>43651</v>
      </c>
      <c r="C127" s="1" t="n">
        <v>45843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33584-2019</t>
        </is>
      </c>
      <c r="B128" s="1" t="n">
        <v>43651</v>
      </c>
      <c r="C128" s="1" t="n">
        <v>45843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33932-2019</t>
        </is>
      </c>
      <c r="B129" s="1" t="n">
        <v>43654</v>
      </c>
      <c r="C129" s="1" t="n">
        <v>45843</v>
      </c>
      <c r="D129" t="inlineStr">
        <is>
          <t>UPPSALA LÄN</t>
        </is>
      </c>
      <c r="E129" t="inlineStr">
        <is>
          <t>HEBY</t>
        </is>
      </c>
      <c r="F129" t="inlineStr">
        <is>
          <t>Bergvik skog öst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35811-2019</t>
        </is>
      </c>
      <c r="B130" s="1" t="n">
        <v>43656</v>
      </c>
      <c r="C130" s="1" t="n">
        <v>45843</v>
      </c>
      <c r="D130" t="inlineStr">
        <is>
          <t>UPPSALA LÄN</t>
        </is>
      </c>
      <c r="E130" t="inlineStr">
        <is>
          <t>HEBY</t>
        </is>
      </c>
      <c r="F130" t="inlineStr">
        <is>
          <t>Allmännings- och besparingsskogar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37092-2019</t>
        </is>
      </c>
      <c r="B131" s="1" t="n">
        <v>43676</v>
      </c>
      <c r="C131" s="1" t="n">
        <v>45843</v>
      </c>
      <c r="D131" t="inlineStr">
        <is>
          <t>UPPSALA LÄN</t>
        </is>
      </c>
      <c r="E131" t="inlineStr">
        <is>
          <t>HEBY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39918-2019</t>
        </is>
      </c>
      <c r="B132" s="1" t="n">
        <v>43689</v>
      </c>
      <c r="C132" s="1" t="n">
        <v>45843</v>
      </c>
      <c r="D132" t="inlineStr">
        <is>
          <t>UPPSALA LÄN</t>
        </is>
      </c>
      <c r="E132" t="inlineStr">
        <is>
          <t>HEBY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39087-2019</t>
        </is>
      </c>
      <c r="B133" s="1" t="n">
        <v>43689</v>
      </c>
      <c r="C133" s="1" t="n">
        <v>45843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40336-2019</t>
        </is>
      </c>
      <c r="B134" s="1" t="n">
        <v>43696</v>
      </c>
      <c r="C134" s="1" t="n">
        <v>45843</v>
      </c>
      <c r="D134" t="inlineStr">
        <is>
          <t>UPPSALA LÄN</t>
        </is>
      </c>
      <c r="E134" t="inlineStr">
        <is>
          <t>HEBY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40792-2019</t>
        </is>
      </c>
      <c r="B135" s="1" t="n">
        <v>43697</v>
      </c>
      <c r="C135" s="1" t="n">
        <v>45843</v>
      </c>
      <c r="D135" t="inlineStr">
        <is>
          <t>UPPSALA LÄN</t>
        </is>
      </c>
      <c r="E135" t="inlineStr">
        <is>
          <t>HEBY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42841-2019</t>
        </is>
      </c>
      <c r="B136" s="1" t="n">
        <v>43705</v>
      </c>
      <c r="C136" s="1" t="n">
        <v>45843</v>
      </c>
      <c r="D136" t="inlineStr">
        <is>
          <t>UPPSALA LÄN</t>
        </is>
      </c>
      <c r="E136" t="inlineStr">
        <is>
          <t>HEBY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43039-2019</t>
        </is>
      </c>
      <c r="B137" s="1" t="n">
        <v>43705</v>
      </c>
      <c r="C137" s="1" t="n">
        <v>45843</v>
      </c>
      <c r="D137" t="inlineStr">
        <is>
          <t>UPPSALA LÄN</t>
        </is>
      </c>
      <c r="E137" t="inlineStr">
        <is>
          <t>HEBY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45500-2019</t>
        </is>
      </c>
      <c r="B138" s="1" t="n">
        <v>43710</v>
      </c>
      <c r="C138" s="1" t="n">
        <v>45843</v>
      </c>
      <c r="D138" t="inlineStr">
        <is>
          <t>UPPSALA LÄN</t>
        </is>
      </c>
      <c r="E138" t="inlineStr">
        <is>
          <t>HEBY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45493-2019</t>
        </is>
      </c>
      <c r="B139" s="1" t="n">
        <v>43710</v>
      </c>
      <c r="C139" s="1" t="n">
        <v>45843</v>
      </c>
      <c r="D139" t="inlineStr">
        <is>
          <t>UPPSALA LÄN</t>
        </is>
      </c>
      <c r="E139" t="inlineStr">
        <is>
          <t>HEBY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44497-2019</t>
        </is>
      </c>
      <c r="B140" s="1" t="n">
        <v>43711</v>
      </c>
      <c r="C140" s="1" t="n">
        <v>45843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44991-2019</t>
        </is>
      </c>
      <c r="B141" s="1" t="n">
        <v>43713</v>
      </c>
      <c r="C141" s="1" t="n">
        <v>45843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45667-2019</t>
        </is>
      </c>
      <c r="B142" s="1" t="n">
        <v>43717</v>
      </c>
      <c r="C142" s="1" t="n">
        <v>45843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46563-2019</t>
        </is>
      </c>
      <c r="B143" s="1" t="n">
        <v>43719</v>
      </c>
      <c r="C143" s="1" t="n">
        <v>45843</v>
      </c>
      <c r="D143" t="inlineStr">
        <is>
          <t>UPPSALA LÄN</t>
        </is>
      </c>
      <c r="E143" t="inlineStr">
        <is>
          <t>HEBY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46545-2019</t>
        </is>
      </c>
      <c r="B144" s="1" t="n">
        <v>43719</v>
      </c>
      <c r="C144" s="1" t="n">
        <v>45843</v>
      </c>
      <c r="D144" t="inlineStr">
        <is>
          <t>UPPSALA LÄN</t>
        </is>
      </c>
      <c r="E144" t="inlineStr">
        <is>
          <t>HEBY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48086-2019</t>
        </is>
      </c>
      <c r="B145" s="1" t="n">
        <v>43725</v>
      </c>
      <c r="C145" s="1" t="n">
        <v>45843</v>
      </c>
      <c r="D145" t="inlineStr">
        <is>
          <t>UPPSALA LÄN</t>
        </is>
      </c>
      <c r="E145" t="inlineStr">
        <is>
          <t>HEBY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50358-2019</t>
        </is>
      </c>
      <c r="B146" s="1" t="n">
        <v>43731</v>
      </c>
      <c r="C146" s="1" t="n">
        <v>45843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50414-2019</t>
        </is>
      </c>
      <c r="B147" s="1" t="n">
        <v>43731</v>
      </c>
      <c r="C147" s="1" t="n">
        <v>45843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50348-2019</t>
        </is>
      </c>
      <c r="B148" s="1" t="n">
        <v>43735</v>
      </c>
      <c r="C148" s="1" t="n">
        <v>45843</v>
      </c>
      <c r="D148" t="inlineStr">
        <is>
          <t>UPPSALA LÄN</t>
        </is>
      </c>
      <c r="E148" t="inlineStr">
        <is>
          <t>HEBY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50361-2019</t>
        </is>
      </c>
      <c r="B149" s="1" t="n">
        <v>43735</v>
      </c>
      <c r="C149" s="1" t="n">
        <v>45843</v>
      </c>
      <c r="D149" t="inlineStr">
        <is>
          <t>UPPSALA LÄN</t>
        </is>
      </c>
      <c r="E149" t="inlineStr">
        <is>
          <t>HEBY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50346-2019</t>
        </is>
      </c>
      <c r="B150" s="1" t="n">
        <v>43735</v>
      </c>
      <c r="C150" s="1" t="n">
        <v>45843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50785-2019</t>
        </is>
      </c>
      <c r="B151" s="1" t="n">
        <v>43737</v>
      </c>
      <c r="C151" s="1" t="n">
        <v>45843</v>
      </c>
      <c r="D151" t="inlineStr">
        <is>
          <t>UPPSALA LÄN</t>
        </is>
      </c>
      <c r="E151" t="inlineStr">
        <is>
          <t>HEBY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50688-2019</t>
        </is>
      </c>
      <c r="B152" s="1" t="n">
        <v>43738</v>
      </c>
      <c r="C152" s="1" t="n">
        <v>45843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53320-2019</t>
        </is>
      </c>
      <c r="B153" s="1" t="n">
        <v>43740</v>
      </c>
      <c r="C153" s="1" t="n">
        <v>45843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51862-2019</t>
        </is>
      </c>
      <c r="B154" s="1" t="n">
        <v>43741</v>
      </c>
      <c r="C154" s="1" t="n">
        <v>45843</v>
      </c>
      <c r="D154" t="inlineStr">
        <is>
          <t>UPPSALA LÄN</t>
        </is>
      </c>
      <c r="E154" t="inlineStr">
        <is>
          <t>HEBY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52187-2019</t>
        </is>
      </c>
      <c r="B155" s="1" t="n">
        <v>43742</v>
      </c>
      <c r="C155" s="1" t="n">
        <v>45843</v>
      </c>
      <c r="D155" t="inlineStr">
        <is>
          <t>UPPSALA LÄN</t>
        </is>
      </c>
      <c r="E155" t="inlineStr">
        <is>
          <t>HEBY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54280-2019</t>
        </is>
      </c>
      <c r="B156" s="1" t="n">
        <v>43745</v>
      </c>
      <c r="C156" s="1" t="n">
        <v>45843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54258-2019</t>
        </is>
      </c>
      <c r="B157" s="1" t="n">
        <v>43745</v>
      </c>
      <c r="C157" s="1" t="n">
        <v>45843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54479-2019</t>
        </is>
      </c>
      <c r="B158" s="1" t="n">
        <v>43747</v>
      </c>
      <c r="C158" s="1" t="n">
        <v>45843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53733-2019</t>
        </is>
      </c>
      <c r="B159" s="1" t="n">
        <v>43749</v>
      </c>
      <c r="C159" s="1" t="n">
        <v>45843</v>
      </c>
      <c r="D159" t="inlineStr">
        <is>
          <t>UPPSALA LÄN</t>
        </is>
      </c>
      <c r="E159" t="inlineStr">
        <is>
          <t>HEBY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53738-2019</t>
        </is>
      </c>
      <c r="B160" s="1" t="n">
        <v>43749</v>
      </c>
      <c r="C160" s="1" t="n">
        <v>45843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55369-2019</t>
        </is>
      </c>
      <c r="B161" s="1" t="n">
        <v>43754</v>
      </c>
      <c r="C161" s="1" t="n">
        <v>45843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57023-2019</t>
        </is>
      </c>
      <c r="B162" s="1" t="n">
        <v>43766</v>
      </c>
      <c r="C162" s="1" t="n">
        <v>45843</v>
      </c>
      <c r="D162" t="inlineStr">
        <is>
          <t>UPPSALA LÄN</t>
        </is>
      </c>
      <c r="E162" t="inlineStr">
        <is>
          <t>HEBY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57134-2019</t>
        </is>
      </c>
      <c r="B163" s="1" t="n">
        <v>43766</v>
      </c>
      <c r="C163" s="1" t="n">
        <v>45843</v>
      </c>
      <c r="D163" t="inlineStr">
        <is>
          <t>UPPSALA LÄN</t>
        </is>
      </c>
      <c r="E163" t="inlineStr">
        <is>
          <t>HEBY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HYPERLINK("https://klasma.github.io/Logging_0331/knärot/A 57134-2019 karta knärot.png", "A 57134-2019")</f>
        <v/>
      </c>
      <c r="V163">
        <f>HYPERLINK("https://klasma.github.io/Logging_0331/klagomål/A 57134-2019 FSC-klagomål.docx", "A 57134-2019")</f>
        <v/>
      </c>
      <c r="W163">
        <f>HYPERLINK("https://klasma.github.io/Logging_0331/klagomålsmail/A 57134-2019 FSC-klagomål mail.docx", "A 57134-2019")</f>
        <v/>
      </c>
      <c r="X163">
        <f>HYPERLINK("https://klasma.github.io/Logging_0331/tillsyn/A 57134-2019 tillsynsbegäran.docx", "A 57134-2019")</f>
        <v/>
      </c>
      <c r="Y163">
        <f>HYPERLINK("https://klasma.github.io/Logging_0331/tillsynsmail/A 57134-2019 tillsynsbegäran mail.docx", "A 57134-2019")</f>
        <v/>
      </c>
    </row>
    <row r="164" ht="15" customHeight="1">
      <c r="A164" t="inlineStr">
        <is>
          <t>A 57792-2019</t>
        </is>
      </c>
      <c r="B164" s="1" t="n">
        <v>43768</v>
      </c>
      <c r="C164" s="1" t="n">
        <v>45843</v>
      </c>
      <c r="D164" t="inlineStr">
        <is>
          <t>UPPSALA LÄN</t>
        </is>
      </c>
      <c r="E164" t="inlineStr">
        <is>
          <t>HEBY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59239-2019</t>
        </is>
      </c>
      <c r="B165" s="1" t="n">
        <v>43775</v>
      </c>
      <c r="C165" s="1" t="n">
        <v>45843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60806-2019</t>
        </is>
      </c>
      <c r="B166" s="1" t="n">
        <v>43781</v>
      </c>
      <c r="C166" s="1" t="n">
        <v>45843</v>
      </c>
      <c r="D166" t="inlineStr">
        <is>
          <t>UPPSALA LÄN</t>
        </is>
      </c>
      <c r="E166" t="inlineStr">
        <is>
          <t>HEBY</t>
        </is>
      </c>
      <c r="F166" t="inlineStr">
        <is>
          <t>Allmännings- och besparingsskogar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62096-2019</t>
        </is>
      </c>
      <c r="B167" s="1" t="n">
        <v>43782</v>
      </c>
      <c r="C167" s="1" t="n">
        <v>45843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61351-2019</t>
        </is>
      </c>
      <c r="B168" s="1" t="n">
        <v>43783</v>
      </c>
      <c r="C168" s="1" t="n">
        <v>45843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61395-2019</t>
        </is>
      </c>
      <c r="B169" s="1" t="n">
        <v>43783</v>
      </c>
      <c r="C169" s="1" t="n">
        <v>45843</v>
      </c>
      <c r="D169" t="inlineStr">
        <is>
          <t>UPPSALA LÄN</t>
        </is>
      </c>
      <c r="E169" t="inlineStr">
        <is>
          <t>HEBY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61388-2019</t>
        </is>
      </c>
      <c r="B170" s="1" t="n">
        <v>43783</v>
      </c>
      <c r="C170" s="1" t="n">
        <v>45843</v>
      </c>
      <c r="D170" t="inlineStr">
        <is>
          <t>UPPSALA LÄN</t>
        </is>
      </c>
      <c r="E170" t="inlineStr">
        <is>
          <t>HEBY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61924-2019</t>
        </is>
      </c>
      <c r="B171" s="1" t="n">
        <v>43787</v>
      </c>
      <c r="C171" s="1" t="n">
        <v>45843</v>
      </c>
      <c r="D171" t="inlineStr">
        <is>
          <t>UPPSALA LÄN</t>
        </is>
      </c>
      <c r="E171" t="inlineStr">
        <is>
          <t>HEBY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62026-2019</t>
        </is>
      </c>
      <c r="B172" s="1" t="n">
        <v>43787</v>
      </c>
      <c r="C172" s="1" t="n">
        <v>45843</v>
      </c>
      <c r="D172" t="inlineStr">
        <is>
          <t>UPPSALA LÄN</t>
        </is>
      </c>
      <c r="E172" t="inlineStr">
        <is>
          <t>HEBY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62022-2019</t>
        </is>
      </c>
      <c r="B173" s="1" t="n">
        <v>43787</v>
      </c>
      <c r="C173" s="1" t="n">
        <v>45843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63376-2019</t>
        </is>
      </c>
      <c r="B174" s="1" t="n">
        <v>43794</v>
      </c>
      <c r="C174" s="1" t="n">
        <v>45843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64250-2019</t>
        </is>
      </c>
      <c r="B175" s="1" t="n">
        <v>43797</v>
      </c>
      <c r="C175" s="1" t="n">
        <v>45843</v>
      </c>
      <c r="D175" t="inlineStr">
        <is>
          <t>UPPSALA LÄN</t>
        </is>
      </c>
      <c r="E175" t="inlineStr">
        <is>
          <t>HEBY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65111-2019</t>
        </is>
      </c>
      <c r="B176" s="1" t="n">
        <v>43802</v>
      </c>
      <c r="C176" s="1" t="n">
        <v>45843</v>
      </c>
      <c r="D176" t="inlineStr">
        <is>
          <t>UPPSALA LÄN</t>
        </is>
      </c>
      <c r="E176" t="inlineStr">
        <is>
          <t>HEBY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66125-2019</t>
        </is>
      </c>
      <c r="B177" s="1" t="n">
        <v>43808</v>
      </c>
      <c r="C177" s="1" t="n">
        <v>45843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68196-2019</t>
        </is>
      </c>
      <c r="B178" s="1" t="n">
        <v>43817</v>
      </c>
      <c r="C178" s="1" t="n">
        <v>45843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68412-2019</t>
        </is>
      </c>
      <c r="B179" s="1" t="n">
        <v>43818</v>
      </c>
      <c r="C179" s="1" t="n">
        <v>45843</v>
      </c>
      <c r="D179" t="inlineStr">
        <is>
          <t>UPPSALA LÄN</t>
        </is>
      </c>
      <c r="E179" t="inlineStr">
        <is>
          <t>HEBY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1387-2020</t>
        </is>
      </c>
      <c r="B180" s="1" t="n">
        <v>43843</v>
      </c>
      <c r="C180" s="1" t="n">
        <v>45843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1717-2020</t>
        </is>
      </c>
      <c r="B181" s="1" t="n">
        <v>43844</v>
      </c>
      <c r="C181" s="1" t="n">
        <v>45843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1929-2020</t>
        </is>
      </c>
      <c r="B182" s="1" t="n">
        <v>43845</v>
      </c>
      <c r="C182" s="1" t="n">
        <v>45843</v>
      </c>
      <c r="D182" t="inlineStr">
        <is>
          <t>UPPSALA LÄN</t>
        </is>
      </c>
      <c r="E182" t="inlineStr">
        <is>
          <t>HEBY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2306-2020</t>
        </is>
      </c>
      <c r="B183" s="1" t="n">
        <v>43846</v>
      </c>
      <c r="C183" s="1" t="n">
        <v>45843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2315-2020</t>
        </is>
      </c>
      <c r="B184" s="1" t="n">
        <v>43846</v>
      </c>
      <c r="C184" s="1" t="n">
        <v>45843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2499-2020</t>
        </is>
      </c>
      <c r="B185" s="1" t="n">
        <v>43847</v>
      </c>
      <c r="C185" s="1" t="n">
        <v>45843</v>
      </c>
      <c r="D185" t="inlineStr">
        <is>
          <t>UPPSALA LÄN</t>
        </is>
      </c>
      <c r="E185" t="inlineStr">
        <is>
          <t>HEBY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3276-2020</t>
        </is>
      </c>
      <c r="B186" s="1" t="n">
        <v>43852</v>
      </c>
      <c r="C186" s="1" t="n">
        <v>45843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3242-2020</t>
        </is>
      </c>
      <c r="B187" s="1" t="n">
        <v>43852</v>
      </c>
      <c r="C187" s="1" t="n">
        <v>45843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4549-2020</t>
        </is>
      </c>
      <c r="B188" s="1" t="n">
        <v>43858</v>
      </c>
      <c r="C188" s="1" t="n">
        <v>45843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5395-2020</t>
        </is>
      </c>
      <c r="B189" s="1" t="n">
        <v>43860</v>
      </c>
      <c r="C189" s="1" t="n">
        <v>45843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5539-2020</t>
        </is>
      </c>
      <c r="B190" s="1" t="n">
        <v>43861</v>
      </c>
      <c r="C190" s="1" t="n">
        <v>45843</v>
      </c>
      <c r="D190" t="inlineStr">
        <is>
          <t>UPPSALA LÄN</t>
        </is>
      </c>
      <c r="E190" t="inlineStr">
        <is>
          <t>HEBY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5740-2020</t>
        </is>
      </c>
      <c r="B191" s="1" t="n">
        <v>43863</v>
      </c>
      <c r="C191" s="1" t="n">
        <v>45843</v>
      </c>
      <c r="D191" t="inlineStr">
        <is>
          <t>UPPSALA LÄN</t>
        </is>
      </c>
      <c r="E191" t="inlineStr">
        <is>
          <t>HEBY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5774-2020</t>
        </is>
      </c>
      <c r="B192" s="1" t="n">
        <v>43864</v>
      </c>
      <c r="C192" s="1" t="n">
        <v>45843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5759-2020</t>
        </is>
      </c>
      <c r="B193" s="1" t="n">
        <v>43864</v>
      </c>
      <c r="C193" s="1" t="n">
        <v>45843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6754-2020</t>
        </is>
      </c>
      <c r="B194" s="1" t="n">
        <v>43866</v>
      </c>
      <c r="C194" s="1" t="n">
        <v>45843</v>
      </c>
      <c r="D194" t="inlineStr">
        <is>
          <t>UPPSALA LÄN</t>
        </is>
      </c>
      <c r="E194" t="inlineStr">
        <is>
          <t>HEBY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6536-2020</t>
        </is>
      </c>
      <c r="B195" s="1" t="n">
        <v>43867</v>
      </c>
      <c r="C195" s="1" t="n">
        <v>45843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6676-2020</t>
        </is>
      </c>
      <c r="B196" s="1" t="n">
        <v>43867</v>
      </c>
      <c r="C196" s="1" t="n">
        <v>45843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7329-2020</t>
        </is>
      </c>
      <c r="B197" s="1" t="n">
        <v>43871</v>
      </c>
      <c r="C197" s="1" t="n">
        <v>45843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7397-2020</t>
        </is>
      </c>
      <c r="B198" s="1" t="n">
        <v>43871</v>
      </c>
      <c r="C198" s="1" t="n">
        <v>45843</v>
      </c>
      <c r="D198" t="inlineStr">
        <is>
          <t>UPPSALA LÄN</t>
        </is>
      </c>
      <c r="E198" t="inlineStr">
        <is>
          <t>HEBY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9927-2020</t>
        </is>
      </c>
      <c r="B199" s="1" t="n">
        <v>43882</v>
      </c>
      <c r="C199" s="1" t="n">
        <v>45843</v>
      </c>
      <c r="D199" t="inlineStr">
        <is>
          <t>UPPSALA LÄN</t>
        </is>
      </c>
      <c r="E199" t="inlineStr">
        <is>
          <t>HEBY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9914-2020</t>
        </is>
      </c>
      <c r="B200" s="1" t="n">
        <v>43882</v>
      </c>
      <c r="C200" s="1" t="n">
        <v>45843</v>
      </c>
      <c r="D200" t="inlineStr">
        <is>
          <t>UPPSALA LÄN</t>
        </is>
      </c>
      <c r="E200" t="inlineStr">
        <is>
          <t>HEBY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11152-2020</t>
        </is>
      </c>
      <c r="B201" s="1" t="n">
        <v>43891</v>
      </c>
      <c r="C201" s="1" t="n">
        <v>45843</v>
      </c>
      <c r="D201" t="inlineStr">
        <is>
          <t>UPPSALA LÄN</t>
        </is>
      </c>
      <c r="E201" t="inlineStr">
        <is>
          <t>HEBY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11151-2020</t>
        </is>
      </c>
      <c r="B202" s="1" t="n">
        <v>43891</v>
      </c>
      <c r="C202" s="1" t="n">
        <v>45843</v>
      </c>
      <c r="D202" t="inlineStr">
        <is>
          <t>UPPSALA LÄN</t>
        </is>
      </c>
      <c r="E202" t="inlineStr">
        <is>
          <t>HEBY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11166-2020</t>
        </is>
      </c>
      <c r="B203" s="1" t="n">
        <v>43891</v>
      </c>
      <c r="C203" s="1" t="n">
        <v>45843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11165-2020</t>
        </is>
      </c>
      <c r="B204" s="1" t="n">
        <v>43891</v>
      </c>
      <c r="C204" s="1" t="n">
        <v>45843</v>
      </c>
      <c r="D204" t="inlineStr">
        <is>
          <t>UPPSALA LÄN</t>
        </is>
      </c>
      <c r="E204" t="inlineStr">
        <is>
          <t>HEBY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13140-2020</t>
        </is>
      </c>
      <c r="B205" s="1" t="n">
        <v>43901</v>
      </c>
      <c r="C205" s="1" t="n">
        <v>45843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13175-2020</t>
        </is>
      </c>
      <c r="B206" s="1" t="n">
        <v>43901</v>
      </c>
      <c r="C206" s="1" t="n">
        <v>45843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13141-2020</t>
        </is>
      </c>
      <c r="B207" s="1" t="n">
        <v>43901</v>
      </c>
      <c r="C207" s="1" t="n">
        <v>45843</v>
      </c>
      <c r="D207" t="inlineStr">
        <is>
          <t>UPPSALA LÄN</t>
        </is>
      </c>
      <c r="E207" t="inlineStr">
        <is>
          <t>HEBY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13180-2020</t>
        </is>
      </c>
      <c r="B208" s="1" t="n">
        <v>43901</v>
      </c>
      <c r="C208" s="1" t="n">
        <v>45843</v>
      </c>
      <c r="D208" t="inlineStr">
        <is>
          <t>UPPSALA LÄN</t>
        </is>
      </c>
      <c r="E208" t="inlineStr">
        <is>
          <t>HEBY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13865-2020</t>
        </is>
      </c>
      <c r="B209" s="1" t="n">
        <v>43906</v>
      </c>
      <c r="C209" s="1" t="n">
        <v>45843</v>
      </c>
      <c r="D209" t="inlineStr">
        <is>
          <t>UPPSALA LÄN</t>
        </is>
      </c>
      <c r="E209" t="inlineStr">
        <is>
          <t>HEBY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14783-2020</t>
        </is>
      </c>
      <c r="B210" s="1" t="n">
        <v>43909</v>
      </c>
      <c r="C210" s="1" t="n">
        <v>45843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14823-2020</t>
        </is>
      </c>
      <c r="B211" s="1" t="n">
        <v>43909</v>
      </c>
      <c r="C211" s="1" t="n">
        <v>45843</v>
      </c>
      <c r="D211" t="inlineStr">
        <is>
          <t>UPPSALA LÄN</t>
        </is>
      </c>
      <c r="E211" t="inlineStr">
        <is>
          <t>HEBY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14777-2020</t>
        </is>
      </c>
      <c r="B212" s="1" t="n">
        <v>43909</v>
      </c>
      <c r="C212" s="1" t="n">
        <v>45843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14814-2020</t>
        </is>
      </c>
      <c r="B213" s="1" t="n">
        <v>43909</v>
      </c>
      <c r="C213" s="1" t="n">
        <v>45843</v>
      </c>
      <c r="D213" t="inlineStr">
        <is>
          <t>UPPSALA LÄN</t>
        </is>
      </c>
      <c r="E213" t="inlineStr">
        <is>
          <t>HEBY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15389-2020</t>
        </is>
      </c>
      <c r="B214" s="1" t="n">
        <v>43913</v>
      </c>
      <c r="C214" s="1" t="n">
        <v>45843</v>
      </c>
      <c r="D214" t="inlineStr">
        <is>
          <t>UPPSALA LÄN</t>
        </is>
      </c>
      <c r="E214" t="inlineStr">
        <is>
          <t>HEBY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15805-2020</t>
        </is>
      </c>
      <c r="B215" s="1" t="n">
        <v>43915</v>
      </c>
      <c r="C215" s="1" t="n">
        <v>45843</v>
      </c>
      <c r="D215" t="inlineStr">
        <is>
          <t>UPPSALA LÄN</t>
        </is>
      </c>
      <c r="E215" t="inlineStr">
        <is>
          <t>HEBY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16071-2020</t>
        </is>
      </c>
      <c r="B216" s="1" t="n">
        <v>43916</v>
      </c>
      <c r="C216" s="1" t="n">
        <v>45843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16758-2020</t>
        </is>
      </c>
      <c r="B217" s="1" t="n">
        <v>43920</v>
      </c>
      <c r="C217" s="1" t="n">
        <v>45843</v>
      </c>
      <c r="D217" t="inlineStr">
        <is>
          <t>UPPSALA LÄN</t>
        </is>
      </c>
      <c r="E217" t="inlineStr">
        <is>
          <t>HEBY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17468-2020</t>
        </is>
      </c>
      <c r="B218" s="1" t="n">
        <v>43920</v>
      </c>
      <c r="C218" s="1" t="n">
        <v>45843</v>
      </c>
      <c r="D218" t="inlineStr">
        <is>
          <t>UPPSALA LÄN</t>
        </is>
      </c>
      <c r="E218" t="inlineStr">
        <is>
          <t>HEBY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19914-2020</t>
        </is>
      </c>
      <c r="B219" s="1" t="n">
        <v>43943</v>
      </c>
      <c r="C219" s="1" t="n">
        <v>45843</v>
      </c>
      <c r="D219" t="inlineStr">
        <is>
          <t>UPPSALA LÄN</t>
        </is>
      </c>
      <c r="E219" t="inlineStr">
        <is>
          <t>HEBY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20175-2020</t>
        </is>
      </c>
      <c r="B220" s="1" t="n">
        <v>43944</v>
      </c>
      <c r="C220" s="1" t="n">
        <v>45843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20877-2020</t>
        </is>
      </c>
      <c r="B221" s="1" t="n">
        <v>43950</v>
      </c>
      <c r="C221" s="1" t="n">
        <v>45843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20928-2020</t>
        </is>
      </c>
      <c r="B222" s="1" t="n">
        <v>43950</v>
      </c>
      <c r="C222" s="1" t="n">
        <v>45843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21466-2020</t>
        </is>
      </c>
      <c r="B223" s="1" t="n">
        <v>43956</v>
      </c>
      <c r="C223" s="1" t="n">
        <v>45843</v>
      </c>
      <c r="D223" t="inlineStr">
        <is>
          <t>UPPSALA LÄN</t>
        </is>
      </c>
      <c r="E223" t="inlineStr">
        <is>
          <t>HEBY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21916-2020</t>
        </is>
      </c>
      <c r="B224" s="1" t="n">
        <v>43958</v>
      </c>
      <c r="C224" s="1" t="n">
        <v>45843</v>
      </c>
      <c r="D224" t="inlineStr">
        <is>
          <t>UPPSALA LÄN</t>
        </is>
      </c>
      <c r="E224" t="inlineStr">
        <is>
          <t>HEBY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21973-2020</t>
        </is>
      </c>
      <c r="B225" s="1" t="n">
        <v>43959</v>
      </c>
      <c r="C225" s="1" t="n">
        <v>45843</v>
      </c>
      <c r="D225" t="inlineStr">
        <is>
          <t>UPPSALA LÄN</t>
        </is>
      </c>
      <c r="E225" t="inlineStr">
        <is>
          <t>HEBY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22056-2020</t>
        </is>
      </c>
      <c r="B226" s="1" t="n">
        <v>43959</v>
      </c>
      <c r="C226" s="1" t="n">
        <v>45843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22152-2020</t>
        </is>
      </c>
      <c r="B227" s="1" t="n">
        <v>43962</v>
      </c>
      <c r="C227" s="1" t="n">
        <v>45843</v>
      </c>
      <c r="D227" t="inlineStr">
        <is>
          <t>UPPSALA LÄN</t>
        </is>
      </c>
      <c r="E227" t="inlineStr">
        <is>
          <t>HEBY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22737-2020</t>
        </is>
      </c>
      <c r="B228" s="1" t="n">
        <v>43963</v>
      </c>
      <c r="C228" s="1" t="n">
        <v>45843</v>
      </c>
      <c r="D228" t="inlineStr">
        <is>
          <t>UPPSALA LÄN</t>
        </is>
      </c>
      <c r="E228" t="inlineStr">
        <is>
          <t>HEBY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25588-2020</t>
        </is>
      </c>
      <c r="B229" s="1" t="n">
        <v>43983</v>
      </c>
      <c r="C229" s="1" t="n">
        <v>45843</v>
      </c>
      <c r="D229" t="inlineStr">
        <is>
          <t>UPPSALA LÄN</t>
        </is>
      </c>
      <c r="E229" t="inlineStr">
        <is>
          <t>HEBY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25544-2020</t>
        </is>
      </c>
      <c r="B230" s="1" t="n">
        <v>43983</v>
      </c>
      <c r="C230" s="1" t="n">
        <v>45843</v>
      </c>
      <c r="D230" t="inlineStr">
        <is>
          <t>UPPSALA LÄN</t>
        </is>
      </c>
      <c r="E230" t="inlineStr">
        <is>
          <t>HEBY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25687-2020</t>
        </is>
      </c>
      <c r="B231" s="1" t="n">
        <v>43984</v>
      </c>
      <c r="C231" s="1" t="n">
        <v>45843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26389-2020</t>
        </is>
      </c>
      <c r="B232" s="1" t="n">
        <v>43987</v>
      </c>
      <c r="C232" s="1" t="n">
        <v>45843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30176-2020</t>
        </is>
      </c>
      <c r="B233" s="1" t="n">
        <v>44007</v>
      </c>
      <c r="C233" s="1" t="n">
        <v>45843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31539-2020</t>
        </is>
      </c>
      <c r="B234" s="1" t="n">
        <v>44013</v>
      </c>
      <c r="C234" s="1" t="n">
        <v>45843</v>
      </c>
      <c r="D234" t="inlineStr">
        <is>
          <t>UPPSALA LÄN</t>
        </is>
      </c>
      <c r="E234" t="inlineStr">
        <is>
          <t>HEBY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33026-2020</t>
        </is>
      </c>
      <c r="B235" s="1" t="n">
        <v>44021</v>
      </c>
      <c r="C235" s="1" t="n">
        <v>45843</v>
      </c>
      <c r="D235" t="inlineStr">
        <is>
          <t>UPPSALA LÄN</t>
        </is>
      </c>
      <c r="E235" t="inlineStr">
        <is>
          <t>HEBY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33545-2020</t>
        </is>
      </c>
      <c r="B236" s="1" t="n">
        <v>44025</v>
      </c>
      <c r="C236" s="1" t="n">
        <v>45843</v>
      </c>
      <c r="D236" t="inlineStr">
        <is>
          <t>UPPSALA LÄN</t>
        </is>
      </c>
      <c r="E236" t="inlineStr">
        <is>
          <t>HEBY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33671-2020</t>
        </is>
      </c>
      <c r="B237" s="1" t="n">
        <v>44026</v>
      </c>
      <c r="C237" s="1" t="n">
        <v>45843</v>
      </c>
      <c r="D237" t="inlineStr">
        <is>
          <t>UPPSALA LÄN</t>
        </is>
      </c>
      <c r="E237" t="inlineStr">
        <is>
          <t>HEBY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34700-2020</t>
        </is>
      </c>
      <c r="B238" s="1" t="n">
        <v>44035</v>
      </c>
      <c r="C238" s="1" t="n">
        <v>45843</v>
      </c>
      <c r="D238" t="inlineStr">
        <is>
          <t>UPPSALA LÄN</t>
        </is>
      </c>
      <c r="E238" t="inlineStr">
        <is>
          <t>HEBY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34729-2020</t>
        </is>
      </c>
      <c r="B239" s="1" t="n">
        <v>44035</v>
      </c>
      <c r="C239" s="1" t="n">
        <v>45843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34697-2020</t>
        </is>
      </c>
      <c r="B240" s="1" t="n">
        <v>44035</v>
      </c>
      <c r="C240" s="1" t="n">
        <v>45843</v>
      </c>
      <c r="D240" t="inlineStr">
        <is>
          <t>UPPSALA LÄN</t>
        </is>
      </c>
      <c r="E240" t="inlineStr">
        <is>
          <t>HEBY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36061-2020</t>
        </is>
      </c>
      <c r="B241" s="1" t="n">
        <v>44048</v>
      </c>
      <c r="C241" s="1" t="n">
        <v>45843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36075-2020</t>
        </is>
      </c>
      <c r="B242" s="1" t="n">
        <v>44048</v>
      </c>
      <c r="C242" s="1" t="n">
        <v>45843</v>
      </c>
      <c r="D242" t="inlineStr">
        <is>
          <t>UPPSALA LÄN</t>
        </is>
      </c>
      <c r="E242" t="inlineStr">
        <is>
          <t>HEBY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36939-2020</t>
        </is>
      </c>
      <c r="B243" s="1" t="n">
        <v>44053</v>
      </c>
      <c r="C243" s="1" t="n">
        <v>45843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18.2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40803-2020</t>
        </is>
      </c>
      <c r="B244" s="1" t="n">
        <v>44070</v>
      </c>
      <c r="C244" s="1" t="n">
        <v>45843</v>
      </c>
      <c r="D244" t="inlineStr">
        <is>
          <t>UPPSALA LÄN</t>
        </is>
      </c>
      <c r="E244" t="inlineStr">
        <is>
          <t>HEBY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45497-2020</t>
        </is>
      </c>
      <c r="B245" s="1" t="n">
        <v>44089</v>
      </c>
      <c r="C245" s="1" t="n">
        <v>45843</v>
      </c>
      <c r="D245" t="inlineStr">
        <is>
          <t>UPPSALA LÄN</t>
        </is>
      </c>
      <c r="E245" t="inlineStr">
        <is>
          <t>HEBY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46223-2020</t>
        </is>
      </c>
      <c r="B246" s="1" t="n">
        <v>44092</v>
      </c>
      <c r="C246" s="1" t="n">
        <v>45843</v>
      </c>
      <c r="D246" t="inlineStr">
        <is>
          <t>UPPSALA LÄN</t>
        </is>
      </c>
      <c r="E246" t="inlineStr">
        <is>
          <t>HEBY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46643-2020</t>
        </is>
      </c>
      <c r="B247" s="1" t="n">
        <v>44095</v>
      </c>
      <c r="C247" s="1" t="n">
        <v>45843</v>
      </c>
      <c r="D247" t="inlineStr">
        <is>
          <t>UPPSALA LÄN</t>
        </is>
      </c>
      <c r="E247" t="inlineStr">
        <is>
          <t>HEBY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47149-2020</t>
        </is>
      </c>
      <c r="B248" s="1" t="n">
        <v>44097</v>
      </c>
      <c r="C248" s="1" t="n">
        <v>45843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47628-2020</t>
        </is>
      </c>
      <c r="B249" s="1" t="n">
        <v>44098</v>
      </c>
      <c r="C249" s="1" t="n">
        <v>45843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48181-2020</t>
        </is>
      </c>
      <c r="B250" s="1" t="n">
        <v>44102</v>
      </c>
      <c r="C250" s="1" t="n">
        <v>45843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48548-2020</t>
        </is>
      </c>
      <c r="B251" s="1" t="n">
        <v>44103</v>
      </c>
      <c r="C251" s="1" t="n">
        <v>45843</v>
      </c>
      <c r="D251" t="inlineStr">
        <is>
          <t>UPPSALA LÄN</t>
        </is>
      </c>
      <c r="E251" t="inlineStr">
        <is>
          <t>HEBY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50589-2020</t>
        </is>
      </c>
      <c r="B252" s="1" t="n">
        <v>44110</v>
      </c>
      <c r="C252" s="1" t="n">
        <v>45843</v>
      </c>
      <c r="D252" t="inlineStr">
        <is>
          <t>UPPSALA LÄN</t>
        </is>
      </c>
      <c r="E252" t="inlineStr">
        <is>
          <t>HEBY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51943-2020</t>
        </is>
      </c>
      <c r="B253" s="1" t="n">
        <v>44110</v>
      </c>
      <c r="C253" s="1" t="n">
        <v>45843</v>
      </c>
      <c r="D253" t="inlineStr">
        <is>
          <t>UPPSALA LÄN</t>
        </is>
      </c>
      <c r="E253" t="inlineStr">
        <is>
          <t>HEBY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52182-2020</t>
        </is>
      </c>
      <c r="B254" s="1" t="n">
        <v>44117</v>
      </c>
      <c r="C254" s="1" t="n">
        <v>45843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52243-2020</t>
        </is>
      </c>
      <c r="B255" s="1" t="n">
        <v>44117</v>
      </c>
      <c r="C255" s="1" t="n">
        <v>45843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54698-2020</t>
        </is>
      </c>
      <c r="B256" s="1" t="n">
        <v>44127</v>
      </c>
      <c r="C256" s="1" t="n">
        <v>45843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56317-2020</t>
        </is>
      </c>
      <c r="B257" s="1" t="n">
        <v>44134</v>
      </c>
      <c r="C257" s="1" t="n">
        <v>45843</v>
      </c>
      <c r="D257" t="inlineStr">
        <is>
          <t>UPPSALA LÄN</t>
        </is>
      </c>
      <c r="E257" t="inlineStr">
        <is>
          <t>HEBY</t>
        </is>
      </c>
      <c r="G257" t="n">
        <v>23.4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58080-2020</t>
        </is>
      </c>
      <c r="B258" s="1" t="n">
        <v>44144</v>
      </c>
      <c r="C258" s="1" t="n">
        <v>45843</v>
      </c>
      <c r="D258" t="inlineStr">
        <is>
          <t>UPPSALA LÄN</t>
        </is>
      </c>
      <c r="E258" t="inlineStr">
        <is>
          <t>HEBY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59764-2020</t>
        </is>
      </c>
      <c r="B259" s="1" t="n">
        <v>44151</v>
      </c>
      <c r="C259" s="1" t="n">
        <v>45843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61616-2020</t>
        </is>
      </c>
      <c r="B260" s="1" t="n">
        <v>44158</v>
      </c>
      <c r="C260" s="1" t="n">
        <v>45843</v>
      </c>
      <c r="D260" t="inlineStr">
        <is>
          <t>UPPSALA LÄN</t>
        </is>
      </c>
      <c r="E260" t="inlineStr">
        <is>
          <t>HEBY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62330-2020</t>
        </is>
      </c>
      <c r="B261" s="1" t="n">
        <v>44160</v>
      </c>
      <c r="C261" s="1" t="n">
        <v>45843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62765-2020</t>
        </is>
      </c>
      <c r="B262" s="1" t="n">
        <v>44161</v>
      </c>
      <c r="C262" s="1" t="n">
        <v>45843</v>
      </c>
      <c r="D262" t="inlineStr">
        <is>
          <t>UPPSALA LÄN</t>
        </is>
      </c>
      <c r="E262" t="inlineStr">
        <is>
          <t>HEBY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69076-2020</t>
        </is>
      </c>
      <c r="B263" s="1" t="n">
        <v>44188</v>
      </c>
      <c r="C263" s="1" t="n">
        <v>45843</v>
      </c>
      <c r="D263" t="inlineStr">
        <is>
          <t>UPPSALA LÄN</t>
        </is>
      </c>
      <c r="E263" t="inlineStr">
        <is>
          <t>HEBY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69468-2020</t>
        </is>
      </c>
      <c r="B264" s="1" t="n">
        <v>44193</v>
      </c>
      <c r="C264" s="1" t="n">
        <v>45843</v>
      </c>
      <c r="D264" t="inlineStr">
        <is>
          <t>UPPSALA LÄN</t>
        </is>
      </c>
      <c r="E264" t="inlineStr">
        <is>
          <t>HEBY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798-2021</t>
        </is>
      </c>
      <c r="B265" s="1" t="n">
        <v>44204</v>
      </c>
      <c r="C265" s="1" t="n">
        <v>45843</v>
      </c>
      <c r="D265" t="inlineStr">
        <is>
          <t>UPPSALA LÄN</t>
        </is>
      </c>
      <c r="E265" t="inlineStr">
        <is>
          <t>HEBY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4821-2021</t>
        </is>
      </c>
      <c r="B266" s="1" t="n">
        <v>44225</v>
      </c>
      <c r="C266" s="1" t="n">
        <v>45843</v>
      </c>
      <c r="D266" t="inlineStr">
        <is>
          <t>UPPSALA LÄN</t>
        </is>
      </c>
      <c r="E266" t="inlineStr">
        <is>
          <t>HEBY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5117-2021</t>
        </is>
      </c>
      <c r="B267" s="1" t="n">
        <v>44228</v>
      </c>
      <c r="C267" s="1" t="n">
        <v>45843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5875-2021</t>
        </is>
      </c>
      <c r="B268" s="1" t="n">
        <v>44231</v>
      </c>
      <c r="C268" s="1" t="n">
        <v>45843</v>
      </c>
      <c r="D268" t="inlineStr">
        <is>
          <t>UPPSALA LÄN</t>
        </is>
      </c>
      <c r="E268" t="inlineStr">
        <is>
          <t>HEBY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6142-2021</t>
        </is>
      </c>
      <c r="B269" s="1" t="n">
        <v>44232</v>
      </c>
      <c r="C269" s="1" t="n">
        <v>45843</v>
      </c>
      <c r="D269" t="inlineStr">
        <is>
          <t>UPPSALA LÄN</t>
        </is>
      </c>
      <c r="E269" t="inlineStr">
        <is>
          <t>HEBY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6151-2021</t>
        </is>
      </c>
      <c r="B270" s="1" t="n">
        <v>44232</v>
      </c>
      <c r="C270" s="1" t="n">
        <v>45843</v>
      </c>
      <c r="D270" t="inlineStr">
        <is>
          <t>UPPSALA LÄN</t>
        </is>
      </c>
      <c r="E270" t="inlineStr">
        <is>
          <t>HEBY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6186-2021</t>
        </is>
      </c>
      <c r="B271" s="1" t="n">
        <v>44233</v>
      </c>
      <c r="C271" s="1" t="n">
        <v>45843</v>
      </c>
      <c r="D271" t="inlineStr">
        <is>
          <t>UPPSALA LÄN</t>
        </is>
      </c>
      <c r="E271" t="inlineStr">
        <is>
          <t>HEBY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6618-2021</t>
        </is>
      </c>
      <c r="B272" s="1" t="n">
        <v>44235</v>
      </c>
      <c r="C272" s="1" t="n">
        <v>45843</v>
      </c>
      <c r="D272" t="inlineStr">
        <is>
          <t>UPPSALA LÄN</t>
        </is>
      </c>
      <c r="E272" t="inlineStr">
        <is>
          <t>HEBY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7165-2021</t>
        </is>
      </c>
      <c r="B273" s="1" t="n">
        <v>44238</v>
      </c>
      <c r="C273" s="1" t="n">
        <v>45843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7195-2021</t>
        </is>
      </c>
      <c r="B274" s="1" t="n">
        <v>44238</v>
      </c>
      <c r="C274" s="1" t="n">
        <v>45843</v>
      </c>
      <c r="D274" t="inlineStr">
        <is>
          <t>UPPSALA LÄN</t>
        </is>
      </c>
      <c r="E274" t="inlineStr">
        <is>
          <t>HEBY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7282-2021</t>
        </is>
      </c>
      <c r="B275" s="1" t="n">
        <v>44238</v>
      </c>
      <c r="C275" s="1" t="n">
        <v>45843</v>
      </c>
      <c r="D275" t="inlineStr">
        <is>
          <t>UPPSALA LÄN</t>
        </is>
      </c>
      <c r="E275" t="inlineStr">
        <is>
          <t>HEBY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7803-2021</t>
        </is>
      </c>
      <c r="B276" s="1" t="n">
        <v>44242</v>
      </c>
      <c r="C276" s="1" t="n">
        <v>45843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9010-2021</t>
        </is>
      </c>
      <c r="B277" s="1" t="n">
        <v>44249</v>
      </c>
      <c r="C277" s="1" t="n">
        <v>45843</v>
      </c>
      <c r="D277" t="inlineStr">
        <is>
          <t>UPPSALA LÄN</t>
        </is>
      </c>
      <c r="E277" t="inlineStr">
        <is>
          <t>HEBY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9230-2021</t>
        </is>
      </c>
      <c r="B278" s="1" t="n">
        <v>44250</v>
      </c>
      <c r="C278" s="1" t="n">
        <v>45843</v>
      </c>
      <c r="D278" t="inlineStr">
        <is>
          <t>UPPSALA LÄN</t>
        </is>
      </c>
      <c r="E278" t="inlineStr">
        <is>
          <t>HEBY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10734-2021</t>
        </is>
      </c>
      <c r="B279" s="1" t="n">
        <v>44259</v>
      </c>
      <c r="C279" s="1" t="n">
        <v>45843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11090-2021</t>
        </is>
      </c>
      <c r="B280" s="1" t="n">
        <v>44260</v>
      </c>
      <c r="C280" s="1" t="n">
        <v>45843</v>
      </c>
      <c r="D280" t="inlineStr">
        <is>
          <t>UPPSALA LÄN</t>
        </is>
      </c>
      <c r="E280" t="inlineStr">
        <is>
          <t>HEBY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11314-2021</t>
        </is>
      </c>
      <c r="B281" s="1" t="n">
        <v>44263</v>
      </c>
      <c r="C281" s="1" t="n">
        <v>45843</v>
      </c>
      <c r="D281" t="inlineStr">
        <is>
          <t>UPPSALA LÄN</t>
        </is>
      </c>
      <c r="E281" t="inlineStr">
        <is>
          <t>HEBY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11675-2021</t>
        </is>
      </c>
      <c r="B282" s="1" t="n">
        <v>44264</v>
      </c>
      <c r="C282" s="1" t="n">
        <v>45843</v>
      </c>
      <c r="D282" t="inlineStr">
        <is>
          <t>UPPSALA LÄN</t>
        </is>
      </c>
      <c r="E282" t="inlineStr">
        <is>
          <t>HEBY</t>
        </is>
      </c>
      <c r="F282" t="inlineStr">
        <is>
          <t>Övriga Aktiebolag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13126-2021</t>
        </is>
      </c>
      <c r="B283" s="1" t="n">
        <v>44272</v>
      </c>
      <c r="C283" s="1" t="n">
        <v>45843</v>
      </c>
      <c r="D283" t="inlineStr">
        <is>
          <t>UPPSALA LÄN</t>
        </is>
      </c>
      <c r="E283" t="inlineStr">
        <is>
          <t>HEBY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13098-2021</t>
        </is>
      </c>
      <c r="B284" s="1" t="n">
        <v>44272</v>
      </c>
      <c r="C284" s="1" t="n">
        <v>45843</v>
      </c>
      <c r="D284" t="inlineStr">
        <is>
          <t>UPPSALA LÄN</t>
        </is>
      </c>
      <c r="E284" t="inlineStr">
        <is>
          <t>HEBY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13131-2021</t>
        </is>
      </c>
      <c r="B285" s="1" t="n">
        <v>44272</v>
      </c>
      <c r="C285" s="1" t="n">
        <v>45843</v>
      </c>
      <c r="D285" t="inlineStr">
        <is>
          <t>UPPSALA LÄN</t>
        </is>
      </c>
      <c r="E285" t="inlineStr">
        <is>
          <t>HEBY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13046-2021</t>
        </is>
      </c>
      <c r="B286" s="1" t="n">
        <v>44272</v>
      </c>
      <c r="C286" s="1" t="n">
        <v>45843</v>
      </c>
      <c r="D286" t="inlineStr">
        <is>
          <t>UPPSALA LÄN</t>
        </is>
      </c>
      <c r="E286" t="inlineStr">
        <is>
          <t>HEBY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14306-2021</t>
        </is>
      </c>
      <c r="B287" s="1" t="n">
        <v>44278</v>
      </c>
      <c r="C287" s="1" t="n">
        <v>45843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14386-2021</t>
        </is>
      </c>
      <c r="B288" s="1" t="n">
        <v>44279</v>
      </c>
      <c r="C288" s="1" t="n">
        <v>45843</v>
      </c>
      <c r="D288" t="inlineStr">
        <is>
          <t>UPPSALA LÄN</t>
        </is>
      </c>
      <c r="E288" t="inlineStr">
        <is>
          <t>HEBY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14843-2021</t>
        </is>
      </c>
      <c r="B289" s="1" t="n">
        <v>44280</v>
      </c>
      <c r="C289" s="1" t="n">
        <v>45843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15481-2021</t>
        </is>
      </c>
      <c r="B290" s="1" t="n">
        <v>44285</v>
      </c>
      <c r="C290" s="1" t="n">
        <v>45843</v>
      </c>
      <c r="D290" t="inlineStr">
        <is>
          <t>UPPSALA LÄN</t>
        </is>
      </c>
      <c r="E290" t="inlineStr">
        <is>
          <t>HEBY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15485-2021</t>
        </is>
      </c>
      <c r="B291" s="1" t="n">
        <v>44285</v>
      </c>
      <c r="C291" s="1" t="n">
        <v>45843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16043-2021</t>
        </is>
      </c>
      <c r="B292" s="1" t="n">
        <v>44287</v>
      </c>
      <c r="C292" s="1" t="n">
        <v>45843</v>
      </c>
      <c r="D292" t="inlineStr">
        <is>
          <t>UPPSALA LÄN</t>
        </is>
      </c>
      <c r="E292" t="inlineStr">
        <is>
          <t>HEBY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16463-2021</t>
        </is>
      </c>
      <c r="B293" s="1" t="n">
        <v>44292</v>
      </c>
      <c r="C293" s="1" t="n">
        <v>45843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16494-2021</t>
        </is>
      </c>
      <c r="B294" s="1" t="n">
        <v>44293</v>
      </c>
      <c r="C294" s="1" t="n">
        <v>45843</v>
      </c>
      <c r="D294" t="inlineStr">
        <is>
          <t>UPPSALA LÄN</t>
        </is>
      </c>
      <c r="E294" t="inlineStr">
        <is>
          <t>HEBY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17580-2021</t>
        </is>
      </c>
      <c r="B295" s="1" t="n">
        <v>44299</v>
      </c>
      <c r="C295" s="1" t="n">
        <v>45843</v>
      </c>
      <c r="D295" t="inlineStr">
        <is>
          <t>UPPSALA LÄN</t>
        </is>
      </c>
      <c r="E295" t="inlineStr">
        <is>
          <t>HEBY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17747-2021</t>
        </is>
      </c>
      <c r="B296" s="1" t="n">
        <v>44300</v>
      </c>
      <c r="C296" s="1" t="n">
        <v>45843</v>
      </c>
      <c r="D296" t="inlineStr">
        <is>
          <t>UPPSALA LÄN</t>
        </is>
      </c>
      <c r="E296" t="inlineStr">
        <is>
          <t>HEBY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18982-2021</t>
        </is>
      </c>
      <c r="B297" s="1" t="n">
        <v>44308</v>
      </c>
      <c r="C297" s="1" t="n">
        <v>45843</v>
      </c>
      <c r="D297" t="inlineStr">
        <is>
          <t>UPPSALA LÄN</t>
        </is>
      </c>
      <c r="E297" t="inlineStr">
        <is>
          <t>HEBY</t>
        </is>
      </c>
      <c r="F297" t="inlineStr">
        <is>
          <t>Kommuner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19268-2021</t>
        </is>
      </c>
      <c r="B298" s="1" t="n">
        <v>44309</v>
      </c>
      <c r="C298" s="1" t="n">
        <v>45843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20024-2021</t>
        </is>
      </c>
      <c r="B299" s="1" t="n">
        <v>44314</v>
      </c>
      <c r="C299" s="1" t="n">
        <v>45843</v>
      </c>
      <c r="D299" t="inlineStr">
        <is>
          <t>UPPSALA LÄN</t>
        </is>
      </c>
      <c r="E299" t="inlineStr">
        <is>
          <t>HEBY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20230-2021</t>
        </is>
      </c>
      <c r="B300" s="1" t="n">
        <v>44314</v>
      </c>
      <c r="C300" s="1" t="n">
        <v>45843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20301-2021</t>
        </is>
      </c>
      <c r="B301" s="1" t="n">
        <v>44315</v>
      </c>
      <c r="C301" s="1" t="n">
        <v>45843</v>
      </c>
      <c r="D301" t="inlineStr">
        <is>
          <t>UPPSALA LÄN</t>
        </is>
      </c>
      <c r="E301" t="inlineStr">
        <is>
          <t>HEBY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23637-2021</t>
        </is>
      </c>
      <c r="B302" s="1" t="n">
        <v>44334</v>
      </c>
      <c r="C302" s="1" t="n">
        <v>45843</v>
      </c>
      <c r="D302" t="inlineStr">
        <is>
          <t>UPPSALA LÄN</t>
        </is>
      </c>
      <c r="E302" t="inlineStr">
        <is>
          <t>HEBY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25203-2021</t>
        </is>
      </c>
      <c r="B303" s="1" t="n">
        <v>44342</v>
      </c>
      <c r="C303" s="1" t="n">
        <v>45843</v>
      </c>
      <c r="D303" t="inlineStr">
        <is>
          <t>UPPSALA LÄN</t>
        </is>
      </c>
      <c r="E303" t="inlineStr">
        <is>
          <t>HEBY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26789-2021</t>
        </is>
      </c>
      <c r="B304" s="1" t="n">
        <v>44349</v>
      </c>
      <c r="C304" s="1" t="n">
        <v>45843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27295-2021</t>
        </is>
      </c>
      <c r="B305" s="1" t="n">
        <v>44351</v>
      </c>
      <c r="C305" s="1" t="n">
        <v>45843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27650-2021</t>
        </is>
      </c>
      <c r="B306" s="1" t="n">
        <v>44354</v>
      </c>
      <c r="C306" s="1" t="n">
        <v>45843</v>
      </c>
      <c r="D306" t="inlineStr">
        <is>
          <t>UPPSALA LÄN</t>
        </is>
      </c>
      <c r="E306" t="inlineStr">
        <is>
          <t>HEBY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28777-2021</t>
        </is>
      </c>
      <c r="B307" s="1" t="n">
        <v>44357</v>
      </c>
      <c r="C307" s="1" t="n">
        <v>45843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29231-2021</t>
        </is>
      </c>
      <c r="B308" s="1" t="n">
        <v>44360</v>
      </c>
      <c r="C308" s="1" t="n">
        <v>45843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29777-2021</t>
        </is>
      </c>
      <c r="B309" s="1" t="n">
        <v>44362</v>
      </c>
      <c r="C309" s="1" t="n">
        <v>45843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30304-2021</t>
        </is>
      </c>
      <c r="B310" s="1" t="n">
        <v>44364</v>
      </c>
      <c r="C310" s="1" t="n">
        <v>45843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30297-2021</t>
        </is>
      </c>
      <c r="B311" s="1" t="n">
        <v>44364</v>
      </c>
      <c r="C311" s="1" t="n">
        <v>45843</v>
      </c>
      <c r="D311" t="inlineStr">
        <is>
          <t>UPPSALA LÄN</t>
        </is>
      </c>
      <c r="E311" t="inlineStr">
        <is>
          <t>HEBY</t>
        </is>
      </c>
      <c r="F311" t="inlineStr">
        <is>
          <t>Övriga Aktiebolag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30293-2021</t>
        </is>
      </c>
      <c r="B312" s="1" t="n">
        <v>44364</v>
      </c>
      <c r="C312" s="1" t="n">
        <v>45843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31108-2021</t>
        </is>
      </c>
      <c r="B313" s="1" t="n">
        <v>44368</v>
      </c>
      <c r="C313" s="1" t="n">
        <v>45843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öst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31113-2021</t>
        </is>
      </c>
      <c r="B314" s="1" t="n">
        <v>44368</v>
      </c>
      <c r="C314" s="1" t="n">
        <v>45843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31283-2021</t>
        </is>
      </c>
      <c r="B315" s="1" t="n">
        <v>44368</v>
      </c>
      <c r="C315" s="1" t="n">
        <v>45843</v>
      </c>
      <c r="D315" t="inlineStr">
        <is>
          <t>UPPSALA LÄN</t>
        </is>
      </c>
      <c r="E315" t="inlineStr">
        <is>
          <t>HEBY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32221-2021</t>
        </is>
      </c>
      <c r="B316" s="1" t="n">
        <v>44371</v>
      </c>
      <c r="C316" s="1" t="n">
        <v>45843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34494-2021</t>
        </is>
      </c>
      <c r="B317" s="1" t="n">
        <v>44382</v>
      </c>
      <c r="C317" s="1" t="n">
        <v>45843</v>
      </c>
      <c r="D317" t="inlineStr">
        <is>
          <t>UPPSALA LÄN</t>
        </is>
      </c>
      <c r="E317" t="inlineStr">
        <is>
          <t>HEBY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36085-2021</t>
        </is>
      </c>
      <c r="B318" s="1" t="n">
        <v>44389</v>
      </c>
      <c r="C318" s="1" t="n">
        <v>45843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36475-2021</t>
        </is>
      </c>
      <c r="B319" s="1" t="n">
        <v>44390</v>
      </c>
      <c r="C319" s="1" t="n">
        <v>45843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36494-2021</t>
        </is>
      </c>
      <c r="B320" s="1" t="n">
        <v>44391</v>
      </c>
      <c r="C320" s="1" t="n">
        <v>45843</v>
      </c>
      <c r="D320" t="inlineStr">
        <is>
          <t>UPPSALA LÄN</t>
        </is>
      </c>
      <c r="E320" t="inlineStr">
        <is>
          <t>HEBY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38050-2021</t>
        </is>
      </c>
      <c r="B321" s="1" t="n">
        <v>44404</v>
      </c>
      <c r="C321" s="1" t="n">
        <v>45843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38051-2021</t>
        </is>
      </c>
      <c r="B322" s="1" t="n">
        <v>44404</v>
      </c>
      <c r="C322" s="1" t="n">
        <v>45843</v>
      </c>
      <c r="D322" t="inlineStr">
        <is>
          <t>UPPSALA LÄN</t>
        </is>
      </c>
      <c r="E322" t="inlineStr">
        <is>
          <t>HEBY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37980-2021</t>
        </is>
      </c>
      <c r="B323" s="1" t="n">
        <v>44404</v>
      </c>
      <c r="C323" s="1" t="n">
        <v>45843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38049-2021</t>
        </is>
      </c>
      <c r="B324" s="1" t="n">
        <v>44404</v>
      </c>
      <c r="C324" s="1" t="n">
        <v>45843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38203-2021</t>
        </is>
      </c>
      <c r="B325" s="1" t="n">
        <v>44405</v>
      </c>
      <c r="C325" s="1" t="n">
        <v>45843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38859-2021</t>
        </is>
      </c>
      <c r="B326" s="1" t="n">
        <v>44411</v>
      </c>
      <c r="C326" s="1" t="n">
        <v>45843</v>
      </c>
      <c r="D326" t="inlineStr">
        <is>
          <t>UPPSALA LÄN</t>
        </is>
      </c>
      <c r="E326" t="inlineStr">
        <is>
          <t>HEBY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40184-2021</t>
        </is>
      </c>
      <c r="B327" s="1" t="n">
        <v>44418</v>
      </c>
      <c r="C327" s="1" t="n">
        <v>45843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42987-2021</t>
        </is>
      </c>
      <c r="B328" s="1" t="n">
        <v>44431</v>
      </c>
      <c r="C328" s="1" t="n">
        <v>45843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43307-2021</t>
        </is>
      </c>
      <c r="B329" s="1" t="n">
        <v>44431</v>
      </c>
      <c r="C329" s="1" t="n">
        <v>45843</v>
      </c>
      <c r="D329" t="inlineStr">
        <is>
          <t>UPPSALA LÄN</t>
        </is>
      </c>
      <c r="E329" t="inlineStr">
        <is>
          <t>HEBY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43179-2021</t>
        </is>
      </c>
      <c r="B330" s="1" t="n">
        <v>44431</v>
      </c>
      <c r="C330" s="1" t="n">
        <v>45843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43714-2021</t>
        </is>
      </c>
      <c r="B331" s="1" t="n">
        <v>44433</v>
      </c>
      <c r="C331" s="1" t="n">
        <v>45843</v>
      </c>
      <c r="D331" t="inlineStr">
        <is>
          <t>UPPSALA LÄN</t>
        </is>
      </c>
      <c r="E331" t="inlineStr">
        <is>
          <t>HEBY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43957-2021</t>
        </is>
      </c>
      <c r="B332" s="1" t="n">
        <v>44434</v>
      </c>
      <c r="C332" s="1" t="n">
        <v>45843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44464-2021</t>
        </is>
      </c>
      <c r="B333" s="1" t="n">
        <v>44435</v>
      </c>
      <c r="C333" s="1" t="n">
        <v>45843</v>
      </c>
      <c r="D333" t="inlineStr">
        <is>
          <t>UPPSALA LÄN</t>
        </is>
      </c>
      <c r="E333" t="inlineStr">
        <is>
          <t>HEBY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45964-2021</t>
        </is>
      </c>
      <c r="B334" s="1" t="n">
        <v>44441</v>
      </c>
      <c r="C334" s="1" t="n">
        <v>45843</v>
      </c>
      <c r="D334" t="inlineStr">
        <is>
          <t>UPPSALA LÄN</t>
        </is>
      </c>
      <c r="E334" t="inlineStr">
        <is>
          <t>HEBY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46560-2021</t>
        </is>
      </c>
      <c r="B335" s="1" t="n">
        <v>44445</v>
      </c>
      <c r="C335" s="1" t="n">
        <v>45843</v>
      </c>
      <c r="D335" t="inlineStr">
        <is>
          <t>UPPSALA LÄN</t>
        </is>
      </c>
      <c r="E335" t="inlineStr">
        <is>
          <t>HEBY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48759-2021</t>
        </is>
      </c>
      <c r="B336" s="1" t="n">
        <v>44452</v>
      </c>
      <c r="C336" s="1" t="n">
        <v>45843</v>
      </c>
      <c r="D336" t="inlineStr">
        <is>
          <t>UPPSALA LÄN</t>
        </is>
      </c>
      <c r="E336" t="inlineStr">
        <is>
          <t>HEBY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49352-2021</t>
        </is>
      </c>
      <c r="B337" s="1" t="n">
        <v>44454</v>
      </c>
      <c r="C337" s="1" t="n">
        <v>45843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50541-2021</t>
        </is>
      </c>
      <c r="B338" s="1" t="n">
        <v>44459</v>
      </c>
      <c r="C338" s="1" t="n">
        <v>45843</v>
      </c>
      <c r="D338" t="inlineStr">
        <is>
          <t>UPPSALA LÄN</t>
        </is>
      </c>
      <c r="E338" t="inlineStr">
        <is>
          <t>HEBY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50546-2021</t>
        </is>
      </c>
      <c r="B339" s="1" t="n">
        <v>44459</v>
      </c>
      <c r="C339" s="1" t="n">
        <v>45843</v>
      </c>
      <c r="D339" t="inlineStr">
        <is>
          <t>UPPSALA LÄN</t>
        </is>
      </c>
      <c r="E339" t="inlineStr">
        <is>
          <t>HEBY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52424-2021</t>
        </is>
      </c>
      <c r="B340" s="1" t="n">
        <v>44466</v>
      </c>
      <c r="C340" s="1" t="n">
        <v>45843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53067-2021</t>
        </is>
      </c>
      <c r="B341" s="1" t="n">
        <v>44467</v>
      </c>
      <c r="C341" s="1" t="n">
        <v>45843</v>
      </c>
      <c r="D341" t="inlineStr">
        <is>
          <t>UPPSALA LÄN</t>
        </is>
      </c>
      <c r="E341" t="inlineStr">
        <is>
          <t>HEBY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56138-2021</t>
        </is>
      </c>
      <c r="B342" s="1" t="n">
        <v>44477</v>
      </c>
      <c r="C342" s="1" t="n">
        <v>45843</v>
      </c>
      <c r="D342" t="inlineStr">
        <is>
          <t>UPPSALA LÄN</t>
        </is>
      </c>
      <c r="E342" t="inlineStr">
        <is>
          <t>HEBY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56302-2021</t>
        </is>
      </c>
      <c r="B343" s="1" t="n">
        <v>44477</v>
      </c>
      <c r="C343" s="1" t="n">
        <v>45843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56376-2021</t>
        </is>
      </c>
      <c r="B344" s="1" t="n">
        <v>44480</v>
      </c>
      <c r="C344" s="1" t="n">
        <v>45843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56352-2021</t>
        </is>
      </c>
      <c r="B345" s="1" t="n">
        <v>44480</v>
      </c>
      <c r="C345" s="1" t="n">
        <v>45843</v>
      </c>
      <c r="D345" t="inlineStr">
        <is>
          <t>UPPSALA LÄN</t>
        </is>
      </c>
      <c r="E345" t="inlineStr">
        <is>
          <t>HEBY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56578-2021</t>
        </is>
      </c>
      <c r="B346" s="1" t="n">
        <v>44480</v>
      </c>
      <c r="C346" s="1" t="n">
        <v>45843</v>
      </c>
      <c r="D346" t="inlineStr">
        <is>
          <t>UPPSALA LÄN</t>
        </is>
      </c>
      <c r="E346" t="inlineStr">
        <is>
          <t>HEBY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59486-2021</t>
        </is>
      </c>
      <c r="B347" s="1" t="n">
        <v>44491</v>
      </c>
      <c r="C347" s="1" t="n">
        <v>45843</v>
      </c>
      <c r="D347" t="inlineStr">
        <is>
          <t>UPPSALA LÄN</t>
        </is>
      </c>
      <c r="E347" t="inlineStr">
        <is>
          <t>HEBY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59599-2021</t>
        </is>
      </c>
      <c r="B348" s="1" t="n">
        <v>44491</v>
      </c>
      <c r="C348" s="1" t="n">
        <v>45843</v>
      </c>
      <c r="D348" t="inlineStr">
        <is>
          <t>UPPSALA LÄN</t>
        </is>
      </c>
      <c r="E348" t="inlineStr">
        <is>
          <t>HEBY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60295-2021</t>
        </is>
      </c>
      <c r="B349" s="1" t="n">
        <v>44495</v>
      </c>
      <c r="C349" s="1" t="n">
        <v>45843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62764-2021</t>
        </is>
      </c>
      <c r="B350" s="1" t="n">
        <v>44504</v>
      </c>
      <c r="C350" s="1" t="n">
        <v>45843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63393-2021</t>
        </is>
      </c>
      <c r="B351" s="1" t="n">
        <v>44508</v>
      </c>
      <c r="C351" s="1" t="n">
        <v>45843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63501-2021</t>
        </is>
      </c>
      <c r="B352" s="1" t="n">
        <v>44508</v>
      </c>
      <c r="C352" s="1" t="n">
        <v>45843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63826-2021</t>
        </is>
      </c>
      <c r="B353" s="1" t="n">
        <v>44509</v>
      </c>
      <c r="C353" s="1" t="n">
        <v>45843</v>
      </c>
      <c r="D353" t="inlineStr">
        <is>
          <t>UPPSALA LÄN</t>
        </is>
      </c>
      <c r="E353" t="inlineStr">
        <is>
          <t>HEBY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63959-2021</t>
        </is>
      </c>
      <c r="B354" s="1" t="n">
        <v>44509</v>
      </c>
      <c r="C354" s="1" t="n">
        <v>45843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63955-2021</t>
        </is>
      </c>
      <c r="B355" s="1" t="n">
        <v>44509</v>
      </c>
      <c r="C355" s="1" t="n">
        <v>45843</v>
      </c>
      <c r="D355" t="inlineStr">
        <is>
          <t>UPPSALA LÄN</t>
        </is>
      </c>
      <c r="E355" t="inlineStr">
        <is>
          <t>HEBY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64364-2021</t>
        </is>
      </c>
      <c r="B356" s="1" t="n">
        <v>44511</v>
      </c>
      <c r="C356" s="1" t="n">
        <v>45843</v>
      </c>
      <c r="D356" t="inlineStr">
        <is>
          <t>UPPSALA LÄN</t>
        </is>
      </c>
      <c r="E356" t="inlineStr">
        <is>
          <t>HEBY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64413-2021</t>
        </is>
      </c>
      <c r="B357" s="1" t="n">
        <v>44511</v>
      </c>
      <c r="C357" s="1" t="n">
        <v>45843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64771-2021</t>
        </is>
      </c>
      <c r="B358" s="1" t="n">
        <v>44512</v>
      </c>
      <c r="C358" s="1" t="n">
        <v>45843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64899-2021</t>
        </is>
      </c>
      <c r="B359" s="1" t="n">
        <v>44512</v>
      </c>
      <c r="C359" s="1" t="n">
        <v>45843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65626-2021</t>
        </is>
      </c>
      <c r="B360" s="1" t="n">
        <v>44516</v>
      </c>
      <c r="C360" s="1" t="n">
        <v>45843</v>
      </c>
      <c r="D360" t="inlineStr">
        <is>
          <t>UPPSALA LÄN</t>
        </is>
      </c>
      <c r="E360" t="inlineStr">
        <is>
          <t>HEBY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65623-2021</t>
        </is>
      </c>
      <c r="B361" s="1" t="n">
        <v>44516</v>
      </c>
      <c r="C361" s="1" t="n">
        <v>45843</v>
      </c>
      <c r="D361" t="inlineStr">
        <is>
          <t>UPPSALA LÄN</t>
        </is>
      </c>
      <c r="E361" t="inlineStr">
        <is>
          <t>HEBY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65631-2021</t>
        </is>
      </c>
      <c r="B362" s="1" t="n">
        <v>44516</v>
      </c>
      <c r="C362" s="1" t="n">
        <v>45843</v>
      </c>
      <c r="D362" t="inlineStr">
        <is>
          <t>UPPSALA LÄN</t>
        </is>
      </c>
      <c r="E362" t="inlineStr">
        <is>
          <t>HEBY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66029-2021</t>
        </is>
      </c>
      <c r="B363" s="1" t="n">
        <v>44517</v>
      </c>
      <c r="C363" s="1" t="n">
        <v>45843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66055-2021</t>
        </is>
      </c>
      <c r="B364" s="1" t="n">
        <v>44517</v>
      </c>
      <c r="C364" s="1" t="n">
        <v>45843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66025-2021</t>
        </is>
      </c>
      <c r="B365" s="1" t="n">
        <v>44517</v>
      </c>
      <c r="C365" s="1" t="n">
        <v>45843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66519-2021</t>
        </is>
      </c>
      <c r="B366" s="1" t="n">
        <v>44519</v>
      </c>
      <c r="C366" s="1" t="n">
        <v>45843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66517-2021</t>
        </is>
      </c>
      <c r="B367" s="1" t="n">
        <v>44519</v>
      </c>
      <c r="C367" s="1" t="n">
        <v>45843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66521-2021</t>
        </is>
      </c>
      <c r="B368" s="1" t="n">
        <v>44519</v>
      </c>
      <c r="C368" s="1" t="n">
        <v>45843</v>
      </c>
      <c r="D368" t="inlineStr">
        <is>
          <t>UPPSALA LÄN</t>
        </is>
      </c>
      <c r="E368" t="inlineStr">
        <is>
          <t>HEBY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66818-2021</t>
        </is>
      </c>
      <c r="B369" s="1" t="n">
        <v>44522</v>
      </c>
      <c r="C369" s="1" t="n">
        <v>45843</v>
      </c>
      <c r="D369" t="inlineStr">
        <is>
          <t>UPPSALA LÄN</t>
        </is>
      </c>
      <c r="E369" t="inlineStr">
        <is>
          <t>HEBY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66873-2021</t>
        </is>
      </c>
      <c r="B370" s="1" t="n">
        <v>44522</v>
      </c>
      <c r="C370" s="1" t="n">
        <v>45843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67664-2021</t>
        </is>
      </c>
      <c r="B371" s="1" t="n">
        <v>44524</v>
      </c>
      <c r="C371" s="1" t="n">
        <v>45843</v>
      </c>
      <c r="D371" t="inlineStr">
        <is>
          <t>UPPSALA LÄN</t>
        </is>
      </c>
      <c r="E371" t="inlineStr">
        <is>
          <t>HEBY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68236-2021</t>
        </is>
      </c>
      <c r="B372" s="1" t="n">
        <v>44526</v>
      </c>
      <c r="C372" s="1" t="n">
        <v>45843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68520-2021</t>
        </is>
      </c>
      <c r="B373" s="1" t="n">
        <v>44529</v>
      </c>
      <c r="C373" s="1" t="n">
        <v>45843</v>
      </c>
      <c r="D373" t="inlineStr">
        <is>
          <t>UPPSALA LÄN</t>
        </is>
      </c>
      <c r="E373" t="inlineStr">
        <is>
          <t>HEBY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68585-2021</t>
        </is>
      </c>
      <c r="B374" s="1" t="n">
        <v>44529</v>
      </c>
      <c r="C374" s="1" t="n">
        <v>45843</v>
      </c>
      <c r="D374" t="inlineStr">
        <is>
          <t>UPPSALA LÄN</t>
        </is>
      </c>
      <c r="E374" t="inlineStr">
        <is>
          <t>HEBY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69377-2021</t>
        </is>
      </c>
      <c r="B375" s="1" t="n">
        <v>44531</v>
      </c>
      <c r="C375" s="1" t="n">
        <v>45843</v>
      </c>
      <c r="D375" t="inlineStr">
        <is>
          <t>UPPSALA LÄN</t>
        </is>
      </c>
      <c r="E375" t="inlineStr">
        <is>
          <t>HEBY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69597-2021</t>
        </is>
      </c>
      <c r="B376" s="1" t="n">
        <v>44532</v>
      </c>
      <c r="C376" s="1" t="n">
        <v>45843</v>
      </c>
      <c r="D376" t="inlineStr">
        <is>
          <t>UPPSALA LÄN</t>
        </is>
      </c>
      <c r="E376" t="inlineStr">
        <is>
          <t>HEBY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70158-2021</t>
        </is>
      </c>
      <c r="B377" s="1" t="n">
        <v>44533</v>
      </c>
      <c r="C377" s="1" t="n">
        <v>45843</v>
      </c>
      <c r="D377" t="inlineStr">
        <is>
          <t>UPPSALA LÄN</t>
        </is>
      </c>
      <c r="E377" t="inlineStr">
        <is>
          <t>HEBY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70154-2021</t>
        </is>
      </c>
      <c r="B378" s="1" t="n">
        <v>44533</v>
      </c>
      <c r="C378" s="1" t="n">
        <v>45843</v>
      </c>
      <c r="D378" t="inlineStr">
        <is>
          <t>UPPSALA LÄN</t>
        </is>
      </c>
      <c r="E378" t="inlineStr">
        <is>
          <t>HEBY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70976-2021</t>
        </is>
      </c>
      <c r="B379" s="1" t="n">
        <v>44538</v>
      </c>
      <c r="C379" s="1" t="n">
        <v>45843</v>
      </c>
      <c r="D379" t="inlineStr">
        <is>
          <t>UPPSALA LÄN</t>
        </is>
      </c>
      <c r="E379" t="inlineStr">
        <is>
          <t>HEBY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72180-2021</t>
        </is>
      </c>
      <c r="B380" s="1" t="n">
        <v>44543</v>
      </c>
      <c r="C380" s="1" t="n">
        <v>45843</v>
      </c>
      <c r="D380" t="inlineStr">
        <is>
          <t>UPPSALA LÄN</t>
        </is>
      </c>
      <c r="E380" t="inlineStr">
        <is>
          <t>HEBY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72179-2021</t>
        </is>
      </c>
      <c r="B381" s="1" t="n">
        <v>44544</v>
      </c>
      <c r="C381" s="1" t="n">
        <v>45843</v>
      </c>
      <c r="D381" t="inlineStr">
        <is>
          <t>UPPSALA LÄN</t>
        </is>
      </c>
      <c r="E381" t="inlineStr">
        <is>
          <t>HEBY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72260-2021</t>
        </is>
      </c>
      <c r="B382" s="1" t="n">
        <v>44545</v>
      </c>
      <c r="C382" s="1" t="n">
        <v>45843</v>
      </c>
      <c r="D382" t="inlineStr">
        <is>
          <t>UPPSALA LÄN</t>
        </is>
      </c>
      <c r="E382" t="inlineStr">
        <is>
          <t>HEBY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73238-2021</t>
        </is>
      </c>
      <c r="B383" s="1" t="n">
        <v>44550</v>
      </c>
      <c r="C383" s="1" t="n">
        <v>45843</v>
      </c>
      <c r="D383" t="inlineStr">
        <is>
          <t>UPPSALA LÄN</t>
        </is>
      </c>
      <c r="E383" t="inlineStr">
        <is>
          <t>HEBY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73385-2021</t>
        </is>
      </c>
      <c r="B384" s="1" t="n">
        <v>44551</v>
      </c>
      <c r="C384" s="1" t="n">
        <v>45843</v>
      </c>
      <c r="D384" t="inlineStr">
        <is>
          <t>UPPSALA LÄN</t>
        </is>
      </c>
      <c r="E384" t="inlineStr">
        <is>
          <t>HEBY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73622-2021</t>
        </is>
      </c>
      <c r="B385" s="1" t="n">
        <v>44552</v>
      </c>
      <c r="C385" s="1" t="n">
        <v>45843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74215-2021</t>
        </is>
      </c>
      <c r="B386" s="1" t="n">
        <v>44558</v>
      </c>
      <c r="C386" s="1" t="n">
        <v>45843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312-2022</t>
        </is>
      </c>
      <c r="B387" s="1" t="n">
        <v>44565</v>
      </c>
      <c r="C387" s="1" t="n">
        <v>45843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279-2022</t>
        </is>
      </c>
      <c r="B388" s="1" t="n">
        <v>44565</v>
      </c>
      <c r="C388" s="1" t="n">
        <v>45843</v>
      </c>
      <c r="D388" t="inlineStr">
        <is>
          <t>UPPSALA LÄN</t>
        </is>
      </c>
      <c r="E388" t="inlineStr">
        <is>
          <t>HEBY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963-2022</t>
        </is>
      </c>
      <c r="B389" s="1" t="n">
        <v>44568</v>
      </c>
      <c r="C389" s="1" t="n">
        <v>45843</v>
      </c>
      <c r="D389" t="inlineStr">
        <is>
          <t>UPPSALA LÄN</t>
        </is>
      </c>
      <c r="E389" t="inlineStr">
        <is>
          <t>HEBY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1462-2022</t>
        </is>
      </c>
      <c r="B390" s="1" t="n">
        <v>44573</v>
      </c>
      <c r="C390" s="1" t="n">
        <v>45843</v>
      </c>
      <c r="D390" t="inlineStr">
        <is>
          <t>UPPSALA LÄN</t>
        </is>
      </c>
      <c r="E390" t="inlineStr">
        <is>
          <t>HEBY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1755-2022</t>
        </is>
      </c>
      <c r="B391" s="1" t="n">
        <v>44574</v>
      </c>
      <c r="C391" s="1" t="n">
        <v>45843</v>
      </c>
      <c r="D391" t="inlineStr">
        <is>
          <t>UPPSALA LÄN</t>
        </is>
      </c>
      <c r="E391" t="inlineStr">
        <is>
          <t>HEBY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1752-2022</t>
        </is>
      </c>
      <c r="B392" s="1" t="n">
        <v>44574</v>
      </c>
      <c r="C392" s="1" t="n">
        <v>45843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1760-2022</t>
        </is>
      </c>
      <c r="B393" s="1" t="n">
        <v>44574</v>
      </c>
      <c r="C393" s="1" t="n">
        <v>45843</v>
      </c>
      <c r="D393" t="inlineStr">
        <is>
          <t>UPPSALA LÄN</t>
        </is>
      </c>
      <c r="E393" t="inlineStr">
        <is>
          <t>HEBY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2128-2022</t>
        </is>
      </c>
      <c r="B394" s="1" t="n">
        <v>44578</v>
      </c>
      <c r="C394" s="1" t="n">
        <v>45843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3496-2022</t>
        </is>
      </c>
      <c r="B395" s="1" t="n">
        <v>44585</v>
      </c>
      <c r="C395" s="1" t="n">
        <v>45843</v>
      </c>
      <c r="D395" t="inlineStr">
        <is>
          <t>UPPSALA LÄN</t>
        </is>
      </c>
      <c r="E395" t="inlineStr">
        <is>
          <t>HEBY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3574-2022</t>
        </is>
      </c>
      <c r="B396" s="1" t="n">
        <v>44586</v>
      </c>
      <c r="C396" s="1" t="n">
        <v>45843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3641-2022</t>
        </is>
      </c>
      <c r="B397" s="1" t="n">
        <v>44586</v>
      </c>
      <c r="C397" s="1" t="n">
        <v>45843</v>
      </c>
      <c r="D397" t="inlineStr">
        <is>
          <t>UPPSALA LÄN</t>
        </is>
      </c>
      <c r="E397" t="inlineStr">
        <is>
          <t>HEBY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3988-2022</t>
        </is>
      </c>
      <c r="B398" s="1" t="n">
        <v>44587</v>
      </c>
      <c r="C398" s="1" t="n">
        <v>45843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5161-2022</t>
        </is>
      </c>
      <c r="B399" s="1" t="n">
        <v>44594</v>
      </c>
      <c r="C399" s="1" t="n">
        <v>45843</v>
      </c>
      <c r="D399" t="inlineStr">
        <is>
          <t>UPPSALA LÄN</t>
        </is>
      </c>
      <c r="E399" t="inlineStr">
        <is>
          <t>HEBY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5589-2022</t>
        </is>
      </c>
      <c r="B400" s="1" t="n">
        <v>44595</v>
      </c>
      <c r="C400" s="1" t="n">
        <v>45843</v>
      </c>
      <c r="D400" t="inlineStr">
        <is>
          <t>UPPSALA LÄN</t>
        </is>
      </c>
      <c r="E400" t="inlineStr">
        <is>
          <t>HEBY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6044-2022</t>
        </is>
      </c>
      <c r="B401" s="1" t="n">
        <v>44599</v>
      </c>
      <c r="C401" s="1" t="n">
        <v>45843</v>
      </c>
      <c r="D401" t="inlineStr">
        <is>
          <t>UPPSALA LÄN</t>
        </is>
      </c>
      <c r="E401" t="inlineStr">
        <is>
          <t>HEBY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6523-2022</t>
        </is>
      </c>
      <c r="B402" s="1" t="n">
        <v>44601</v>
      </c>
      <c r="C402" s="1" t="n">
        <v>45843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6866-2022</t>
        </is>
      </c>
      <c r="B403" s="1" t="n">
        <v>44602</v>
      </c>
      <c r="C403" s="1" t="n">
        <v>45843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8169-2022</t>
        </is>
      </c>
      <c r="B404" s="1" t="n">
        <v>44609</v>
      </c>
      <c r="C404" s="1" t="n">
        <v>45843</v>
      </c>
      <c r="D404" t="inlineStr">
        <is>
          <t>UPPSALA LÄN</t>
        </is>
      </c>
      <c r="E404" t="inlineStr">
        <is>
          <t>HEBY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8182-2022</t>
        </is>
      </c>
      <c r="B405" s="1" t="n">
        <v>44609</v>
      </c>
      <c r="C405" s="1" t="n">
        <v>45843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8660-2022</t>
        </is>
      </c>
      <c r="B406" s="1" t="n">
        <v>44613</v>
      </c>
      <c r="C406" s="1" t="n">
        <v>45843</v>
      </c>
      <c r="D406" t="inlineStr">
        <is>
          <t>UPPSALA LÄN</t>
        </is>
      </c>
      <c r="E406" t="inlineStr">
        <is>
          <t>HEBY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8758-2022</t>
        </is>
      </c>
      <c r="B407" s="1" t="n">
        <v>44614</v>
      </c>
      <c r="C407" s="1" t="n">
        <v>45843</v>
      </c>
      <c r="D407" t="inlineStr">
        <is>
          <t>UPPSALA LÄN</t>
        </is>
      </c>
      <c r="E407" t="inlineStr">
        <is>
          <t>HEBY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8837-2022</t>
        </is>
      </c>
      <c r="B408" s="1" t="n">
        <v>44614</v>
      </c>
      <c r="C408" s="1" t="n">
        <v>45843</v>
      </c>
      <c r="D408" t="inlineStr">
        <is>
          <t>UPPSALA LÄN</t>
        </is>
      </c>
      <c r="E408" t="inlineStr">
        <is>
          <t>HEBY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8762-2022</t>
        </is>
      </c>
      <c r="B409" s="1" t="n">
        <v>44614</v>
      </c>
      <c r="C409" s="1" t="n">
        <v>45843</v>
      </c>
      <c r="D409" t="inlineStr">
        <is>
          <t>UPPSALA LÄN</t>
        </is>
      </c>
      <c r="E409" t="inlineStr">
        <is>
          <t>HEBY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8856-2022</t>
        </is>
      </c>
      <c r="B410" s="1" t="n">
        <v>44614</v>
      </c>
      <c r="C410" s="1" t="n">
        <v>45843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8850-2022</t>
        </is>
      </c>
      <c r="B411" s="1" t="n">
        <v>44614</v>
      </c>
      <c r="C411" s="1" t="n">
        <v>45843</v>
      </c>
      <c r="D411" t="inlineStr">
        <is>
          <t>UPPSALA LÄN</t>
        </is>
      </c>
      <c r="E411" t="inlineStr">
        <is>
          <t>HEBY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9167-2022</t>
        </is>
      </c>
      <c r="B412" s="1" t="n">
        <v>44615</v>
      </c>
      <c r="C412" s="1" t="n">
        <v>45843</v>
      </c>
      <c r="D412" t="inlineStr">
        <is>
          <t>UPPSALA LÄN</t>
        </is>
      </c>
      <c r="E412" t="inlineStr">
        <is>
          <t>HEBY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9246-2022</t>
        </is>
      </c>
      <c r="B413" s="1" t="n">
        <v>44616</v>
      </c>
      <c r="C413" s="1" t="n">
        <v>45843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9794-2022</t>
        </is>
      </c>
      <c r="B414" s="1" t="n">
        <v>44620</v>
      </c>
      <c r="C414" s="1" t="n">
        <v>45843</v>
      </c>
      <c r="D414" t="inlineStr">
        <is>
          <t>UPPSALA LÄN</t>
        </is>
      </c>
      <c r="E414" t="inlineStr">
        <is>
          <t>HEBY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9824-2022</t>
        </is>
      </c>
      <c r="B415" s="1" t="n">
        <v>44620</v>
      </c>
      <c r="C415" s="1" t="n">
        <v>45843</v>
      </c>
      <c r="D415" t="inlineStr">
        <is>
          <t>UPPSALA LÄN</t>
        </is>
      </c>
      <c r="E415" t="inlineStr">
        <is>
          <t>HEBY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9815-2022</t>
        </is>
      </c>
      <c r="B416" s="1" t="n">
        <v>44620</v>
      </c>
      <c r="C416" s="1" t="n">
        <v>45843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10414-2022</t>
        </is>
      </c>
      <c r="B417" s="1" t="n">
        <v>44623</v>
      </c>
      <c r="C417" s="1" t="n">
        <v>45843</v>
      </c>
      <c r="D417" t="inlineStr">
        <is>
          <t>UPPSALA LÄN</t>
        </is>
      </c>
      <c r="E417" t="inlineStr">
        <is>
          <t>HEBY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10447-2022</t>
        </is>
      </c>
      <c r="B418" s="1" t="n">
        <v>44623</v>
      </c>
      <c r="C418" s="1" t="n">
        <v>45843</v>
      </c>
      <c r="D418" t="inlineStr">
        <is>
          <t>UPPSALA LÄN</t>
        </is>
      </c>
      <c r="E418" t="inlineStr">
        <is>
          <t>HEBY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10645-2022</t>
        </is>
      </c>
      <c r="B419" s="1" t="n">
        <v>44624</v>
      </c>
      <c r="C419" s="1" t="n">
        <v>45843</v>
      </c>
      <c r="D419" t="inlineStr">
        <is>
          <t>UPPSALA LÄN</t>
        </is>
      </c>
      <c r="E419" t="inlineStr">
        <is>
          <t>HEBY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10646-2022</t>
        </is>
      </c>
      <c r="B420" s="1" t="n">
        <v>44624</v>
      </c>
      <c r="C420" s="1" t="n">
        <v>45843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13213-2022</t>
        </is>
      </c>
      <c r="B421" s="1" t="n">
        <v>44644</v>
      </c>
      <c r="C421" s="1" t="n">
        <v>45843</v>
      </c>
      <c r="D421" t="inlineStr">
        <is>
          <t>UPPSALA LÄN</t>
        </is>
      </c>
      <c r="E421" t="inlineStr">
        <is>
          <t>HEBY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13243-2022</t>
        </is>
      </c>
      <c r="B422" s="1" t="n">
        <v>44644</v>
      </c>
      <c r="C422" s="1" t="n">
        <v>45843</v>
      </c>
      <c r="D422" t="inlineStr">
        <is>
          <t>UPPSALA LÄN</t>
        </is>
      </c>
      <c r="E422" t="inlineStr">
        <is>
          <t>HEBY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13988-2022</t>
        </is>
      </c>
      <c r="B423" s="1" t="n">
        <v>44650</v>
      </c>
      <c r="C423" s="1" t="n">
        <v>45843</v>
      </c>
      <c r="D423" t="inlineStr">
        <is>
          <t>UPPSALA LÄN</t>
        </is>
      </c>
      <c r="E423" t="inlineStr">
        <is>
          <t>HEBY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14008-2022</t>
        </is>
      </c>
      <c r="B424" s="1" t="n">
        <v>44650</v>
      </c>
      <c r="C424" s="1" t="n">
        <v>45843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14603-2022</t>
        </is>
      </c>
      <c r="B425" s="1" t="n">
        <v>44655</v>
      </c>
      <c r="C425" s="1" t="n">
        <v>45843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14602-2022</t>
        </is>
      </c>
      <c r="B426" s="1" t="n">
        <v>44655</v>
      </c>
      <c r="C426" s="1" t="n">
        <v>45843</v>
      </c>
      <c r="D426" t="inlineStr">
        <is>
          <t>UPPSALA LÄN</t>
        </is>
      </c>
      <c r="E426" t="inlineStr">
        <is>
          <t>HEBY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15326-2022</t>
        </is>
      </c>
      <c r="B427" s="1" t="n">
        <v>44659</v>
      </c>
      <c r="C427" s="1" t="n">
        <v>45843</v>
      </c>
      <c r="D427" t="inlineStr">
        <is>
          <t>UPPSALA LÄN</t>
        </is>
      </c>
      <c r="E427" t="inlineStr">
        <is>
          <t>HEBY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15619-2022</t>
        </is>
      </c>
      <c r="B428" s="1" t="n">
        <v>44662</v>
      </c>
      <c r="C428" s="1" t="n">
        <v>45843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15614-2022</t>
        </is>
      </c>
      <c r="B429" s="1" t="n">
        <v>44662</v>
      </c>
      <c r="C429" s="1" t="n">
        <v>45843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16798-2022</t>
        </is>
      </c>
      <c r="B430" s="1" t="n">
        <v>44673</v>
      </c>
      <c r="C430" s="1" t="n">
        <v>45843</v>
      </c>
      <c r="D430" t="inlineStr">
        <is>
          <t>UPPSALA LÄN</t>
        </is>
      </c>
      <c r="E430" t="inlineStr">
        <is>
          <t>HEBY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17332-2022</t>
        </is>
      </c>
      <c r="B431" s="1" t="n">
        <v>44678</v>
      </c>
      <c r="C431" s="1" t="n">
        <v>45843</v>
      </c>
      <c r="D431" t="inlineStr">
        <is>
          <t>UPPSALA LÄN</t>
        </is>
      </c>
      <c r="E431" t="inlineStr">
        <is>
          <t>HEBY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18144-2022</t>
        </is>
      </c>
      <c r="B432" s="1" t="n">
        <v>44684</v>
      </c>
      <c r="C432" s="1" t="n">
        <v>45843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18336-2022</t>
        </is>
      </c>
      <c r="B433" s="1" t="n">
        <v>44685</v>
      </c>
      <c r="C433" s="1" t="n">
        <v>45843</v>
      </c>
      <c r="D433" t="inlineStr">
        <is>
          <t>UPPSALA LÄN</t>
        </is>
      </c>
      <c r="E433" t="inlineStr">
        <is>
          <t>HEBY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19184-2022</t>
        </is>
      </c>
      <c r="B434" s="1" t="n">
        <v>44691</v>
      </c>
      <c r="C434" s="1" t="n">
        <v>45843</v>
      </c>
      <c r="D434" t="inlineStr">
        <is>
          <t>UPPSALA LÄN</t>
        </is>
      </c>
      <c r="E434" t="inlineStr">
        <is>
          <t>HEBY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19654-2022</t>
        </is>
      </c>
      <c r="B435" s="1" t="n">
        <v>44694</v>
      </c>
      <c r="C435" s="1" t="n">
        <v>45843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19735-2022</t>
        </is>
      </c>
      <c r="B436" s="1" t="n">
        <v>44694</v>
      </c>
      <c r="C436" s="1" t="n">
        <v>45843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19683-2022</t>
        </is>
      </c>
      <c r="B437" s="1" t="n">
        <v>44694</v>
      </c>
      <c r="C437" s="1" t="n">
        <v>45843</v>
      </c>
      <c r="D437" t="inlineStr">
        <is>
          <t>UPPSALA LÄN</t>
        </is>
      </c>
      <c r="E437" t="inlineStr">
        <is>
          <t>HEBY</t>
        </is>
      </c>
      <c r="G437" t="n">
        <v>22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19721-2022</t>
        </is>
      </c>
      <c r="B438" s="1" t="n">
        <v>44694</v>
      </c>
      <c r="C438" s="1" t="n">
        <v>45843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19990-2022</t>
        </is>
      </c>
      <c r="B439" s="1" t="n">
        <v>44697</v>
      </c>
      <c r="C439" s="1" t="n">
        <v>45843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14.3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19896-2022</t>
        </is>
      </c>
      <c r="B440" s="1" t="n">
        <v>44697</v>
      </c>
      <c r="C440" s="1" t="n">
        <v>45843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20627-2022</t>
        </is>
      </c>
      <c r="B441" s="1" t="n">
        <v>44700</v>
      </c>
      <c r="C441" s="1" t="n">
        <v>45843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20882-2022</t>
        </is>
      </c>
      <c r="B442" s="1" t="n">
        <v>44701</v>
      </c>
      <c r="C442" s="1" t="n">
        <v>45843</v>
      </c>
      <c r="D442" t="inlineStr">
        <is>
          <t>UPPSALA LÄN</t>
        </is>
      </c>
      <c r="E442" t="inlineStr">
        <is>
          <t>HEBY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21000-2022</t>
        </is>
      </c>
      <c r="B443" s="1" t="n">
        <v>44701</v>
      </c>
      <c r="C443" s="1" t="n">
        <v>45843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21749-2022</t>
        </is>
      </c>
      <c r="B444" s="1" t="n">
        <v>44708</v>
      </c>
      <c r="C444" s="1" t="n">
        <v>45843</v>
      </c>
      <c r="D444" t="inlineStr">
        <is>
          <t>UPPSALA LÄN</t>
        </is>
      </c>
      <c r="E444" t="inlineStr">
        <is>
          <t>HEBY</t>
        </is>
      </c>
      <c r="F444" t="inlineStr">
        <is>
          <t>Övriga Aktiebolag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21863-2022</t>
        </is>
      </c>
      <c r="B445" s="1" t="n">
        <v>44711</v>
      </c>
      <c r="C445" s="1" t="n">
        <v>45843</v>
      </c>
      <c r="D445" t="inlineStr">
        <is>
          <t>UPPSALA LÄN</t>
        </is>
      </c>
      <c r="E445" t="inlineStr">
        <is>
          <t>HEBY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22031-2022</t>
        </is>
      </c>
      <c r="B446" s="1" t="n">
        <v>44711</v>
      </c>
      <c r="C446" s="1" t="n">
        <v>45843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22216-2022</t>
        </is>
      </c>
      <c r="B447" s="1" t="n">
        <v>44712</v>
      </c>
      <c r="C447" s="1" t="n">
        <v>45843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22580-2022</t>
        </is>
      </c>
      <c r="B448" s="1" t="n">
        <v>44713</v>
      </c>
      <c r="C448" s="1" t="n">
        <v>45843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22873-2022</t>
        </is>
      </c>
      <c r="B449" s="1" t="n">
        <v>44715</v>
      </c>
      <c r="C449" s="1" t="n">
        <v>45843</v>
      </c>
      <c r="D449" t="inlineStr">
        <is>
          <t>UPPSALA LÄN</t>
        </is>
      </c>
      <c r="E449" t="inlineStr">
        <is>
          <t>HEBY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23979-2022</t>
        </is>
      </c>
      <c r="B450" s="1" t="n">
        <v>44722</v>
      </c>
      <c r="C450" s="1" t="n">
        <v>45843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24026-2022</t>
        </is>
      </c>
      <c r="B451" s="1" t="n">
        <v>44723</v>
      </c>
      <c r="C451" s="1" t="n">
        <v>45843</v>
      </c>
      <c r="D451" t="inlineStr">
        <is>
          <t>UPPSALA LÄN</t>
        </is>
      </c>
      <c r="E451" t="inlineStr">
        <is>
          <t>HEBY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24091-2022</t>
        </is>
      </c>
      <c r="B452" s="1" t="n">
        <v>44725</v>
      </c>
      <c r="C452" s="1" t="n">
        <v>45843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25419-2022</t>
        </is>
      </c>
      <c r="B453" s="1" t="n">
        <v>44732</v>
      </c>
      <c r="C453" s="1" t="n">
        <v>45843</v>
      </c>
      <c r="D453" t="inlineStr">
        <is>
          <t>UPPSALA LÄN</t>
        </is>
      </c>
      <c r="E453" t="inlineStr">
        <is>
          <t>HEBY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25917-2022</t>
        </is>
      </c>
      <c r="B454" s="1" t="n">
        <v>44733</v>
      </c>
      <c r="C454" s="1" t="n">
        <v>45843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25998-2022</t>
        </is>
      </c>
      <c r="B455" s="1" t="n">
        <v>44734</v>
      </c>
      <c r="C455" s="1" t="n">
        <v>45843</v>
      </c>
      <c r="D455" t="inlineStr">
        <is>
          <t>UPPSALA LÄN</t>
        </is>
      </c>
      <c r="E455" t="inlineStr">
        <is>
          <t>HEBY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25995-2022</t>
        </is>
      </c>
      <c r="B456" s="1" t="n">
        <v>44734</v>
      </c>
      <c r="C456" s="1" t="n">
        <v>45843</v>
      </c>
      <c r="D456" t="inlineStr">
        <is>
          <t>UPPSALA LÄN</t>
        </is>
      </c>
      <c r="E456" t="inlineStr">
        <is>
          <t>HEBY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25975-2022</t>
        </is>
      </c>
      <c r="B457" s="1" t="n">
        <v>44734</v>
      </c>
      <c r="C457" s="1" t="n">
        <v>45843</v>
      </c>
      <c r="D457" t="inlineStr">
        <is>
          <t>UPPSALA LÄN</t>
        </is>
      </c>
      <c r="E457" t="inlineStr">
        <is>
          <t>HEBY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25997-2022</t>
        </is>
      </c>
      <c r="B458" s="1" t="n">
        <v>44734</v>
      </c>
      <c r="C458" s="1" t="n">
        <v>45843</v>
      </c>
      <c r="D458" t="inlineStr">
        <is>
          <t>UPPSALA LÄN</t>
        </is>
      </c>
      <c r="E458" t="inlineStr">
        <is>
          <t>HEBY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26085-2022</t>
        </is>
      </c>
      <c r="B459" s="1" t="n">
        <v>44734</v>
      </c>
      <c r="C459" s="1" t="n">
        <v>45843</v>
      </c>
      <c r="D459" t="inlineStr">
        <is>
          <t>UPPSALA LÄN</t>
        </is>
      </c>
      <c r="E459" t="inlineStr">
        <is>
          <t>HEBY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26315-2022</t>
        </is>
      </c>
      <c r="B460" s="1" t="n">
        <v>44735</v>
      </c>
      <c r="C460" s="1" t="n">
        <v>45843</v>
      </c>
      <c r="D460" t="inlineStr">
        <is>
          <t>UPPSALA LÄN</t>
        </is>
      </c>
      <c r="E460" t="inlineStr">
        <is>
          <t>HEBY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26316-2022</t>
        </is>
      </c>
      <c r="B461" s="1" t="n">
        <v>44735</v>
      </c>
      <c r="C461" s="1" t="n">
        <v>45843</v>
      </c>
      <c r="D461" t="inlineStr">
        <is>
          <t>UPPSALA LÄN</t>
        </is>
      </c>
      <c r="E461" t="inlineStr">
        <is>
          <t>HEBY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26567-2022</t>
        </is>
      </c>
      <c r="B462" s="1" t="n">
        <v>44739</v>
      </c>
      <c r="C462" s="1" t="n">
        <v>45843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27858-2022</t>
        </is>
      </c>
      <c r="B463" s="1" t="n">
        <v>44743</v>
      </c>
      <c r="C463" s="1" t="n">
        <v>45843</v>
      </c>
      <c r="D463" t="inlineStr">
        <is>
          <t>UPPSALA LÄN</t>
        </is>
      </c>
      <c r="E463" t="inlineStr">
        <is>
          <t>HEBY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28620-2022</t>
        </is>
      </c>
      <c r="B464" s="1" t="n">
        <v>44748</v>
      </c>
      <c r="C464" s="1" t="n">
        <v>45843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29340-2022</t>
        </is>
      </c>
      <c r="B465" s="1" t="n">
        <v>44752</v>
      </c>
      <c r="C465" s="1" t="n">
        <v>45843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29387-2022</t>
        </is>
      </c>
      <c r="B466" s="1" t="n">
        <v>44753</v>
      </c>
      <c r="C466" s="1" t="n">
        <v>45843</v>
      </c>
      <c r="D466" t="inlineStr">
        <is>
          <t>UPPSALA LÄN</t>
        </is>
      </c>
      <c r="E466" t="inlineStr">
        <is>
          <t>HEBY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29391-2022</t>
        </is>
      </c>
      <c r="B467" s="1" t="n">
        <v>44753</v>
      </c>
      <c r="C467" s="1" t="n">
        <v>45843</v>
      </c>
      <c r="D467" t="inlineStr">
        <is>
          <t>UPPSALA LÄN</t>
        </is>
      </c>
      <c r="E467" t="inlineStr">
        <is>
          <t>HEBY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29396-2022</t>
        </is>
      </c>
      <c r="B468" s="1" t="n">
        <v>44753</v>
      </c>
      <c r="C468" s="1" t="n">
        <v>45843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29570-2022</t>
        </is>
      </c>
      <c r="B469" s="1" t="n">
        <v>44754</v>
      </c>
      <c r="C469" s="1" t="n">
        <v>45843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29644-2022</t>
        </is>
      </c>
      <c r="B470" s="1" t="n">
        <v>44754</v>
      </c>
      <c r="C470" s="1" t="n">
        <v>45843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29935-2022</t>
        </is>
      </c>
      <c r="B471" s="1" t="n">
        <v>44756</v>
      </c>
      <c r="C471" s="1" t="n">
        <v>45843</v>
      </c>
      <c r="D471" t="inlineStr">
        <is>
          <t>UPPSALA LÄN</t>
        </is>
      </c>
      <c r="E471" t="inlineStr">
        <is>
          <t>HEBY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30182-2022</t>
        </is>
      </c>
      <c r="B472" s="1" t="n">
        <v>44757</v>
      </c>
      <c r="C472" s="1" t="n">
        <v>45843</v>
      </c>
      <c r="D472" t="inlineStr">
        <is>
          <t>UPPSALA LÄN</t>
        </is>
      </c>
      <c r="E472" t="inlineStr">
        <is>
          <t>HEBY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31049-2022</t>
        </is>
      </c>
      <c r="B473" s="1" t="n">
        <v>44769</v>
      </c>
      <c r="C473" s="1" t="n">
        <v>45843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32245-2022</t>
        </is>
      </c>
      <c r="B474" s="1" t="n">
        <v>44781</v>
      </c>
      <c r="C474" s="1" t="n">
        <v>45843</v>
      </c>
      <c r="D474" t="inlineStr">
        <is>
          <t>UPPSALA LÄN</t>
        </is>
      </c>
      <c r="E474" t="inlineStr">
        <is>
          <t>HEBY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33284-2022</t>
        </is>
      </c>
      <c r="B475" s="1" t="n">
        <v>44788</v>
      </c>
      <c r="C475" s="1" t="n">
        <v>45843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33379-2022</t>
        </is>
      </c>
      <c r="B476" s="1" t="n">
        <v>44788</v>
      </c>
      <c r="C476" s="1" t="n">
        <v>45843</v>
      </c>
      <c r="D476" t="inlineStr">
        <is>
          <t>UPPSALA LÄN</t>
        </is>
      </c>
      <c r="E476" t="inlineStr">
        <is>
          <t>HEBY</t>
        </is>
      </c>
      <c r="G476" t="n">
        <v>18.8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33849-2022</t>
        </is>
      </c>
      <c r="B477" s="1" t="n">
        <v>44790</v>
      </c>
      <c r="C477" s="1" t="n">
        <v>45843</v>
      </c>
      <c r="D477" t="inlineStr">
        <is>
          <t>UPPSALA LÄN</t>
        </is>
      </c>
      <c r="E477" t="inlineStr">
        <is>
          <t>HEBY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34146-2022</t>
        </is>
      </c>
      <c r="B478" s="1" t="n">
        <v>44791</v>
      </c>
      <c r="C478" s="1" t="n">
        <v>45843</v>
      </c>
      <c r="D478" t="inlineStr">
        <is>
          <t>UPPSALA LÄN</t>
        </is>
      </c>
      <c r="E478" t="inlineStr">
        <is>
          <t>HEBY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34386-2022</t>
        </is>
      </c>
      <c r="B479" s="1" t="n">
        <v>44792</v>
      </c>
      <c r="C479" s="1" t="n">
        <v>45843</v>
      </c>
      <c r="D479" t="inlineStr">
        <is>
          <t>UPPSALA LÄN</t>
        </is>
      </c>
      <c r="E479" t="inlineStr">
        <is>
          <t>HEBY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35868-2022</t>
        </is>
      </c>
      <c r="B480" s="1" t="n">
        <v>44802</v>
      </c>
      <c r="C480" s="1" t="n">
        <v>45843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35875-2022</t>
        </is>
      </c>
      <c r="B481" s="1" t="n">
        <v>44802</v>
      </c>
      <c r="C481" s="1" t="n">
        <v>45843</v>
      </c>
      <c r="D481" t="inlineStr">
        <is>
          <t>UPPSALA LÄN</t>
        </is>
      </c>
      <c r="E481" t="inlineStr">
        <is>
          <t>HEBY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35865-2022</t>
        </is>
      </c>
      <c r="B482" s="1" t="n">
        <v>44802</v>
      </c>
      <c r="C482" s="1" t="n">
        <v>45843</v>
      </c>
      <c r="D482" t="inlineStr">
        <is>
          <t>UPPSALA LÄN</t>
        </is>
      </c>
      <c r="E482" t="inlineStr">
        <is>
          <t>HEBY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37766-2022</t>
        </is>
      </c>
      <c r="B483" s="1" t="n">
        <v>44810</v>
      </c>
      <c r="C483" s="1" t="n">
        <v>45843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37782-2022</t>
        </is>
      </c>
      <c r="B484" s="1" t="n">
        <v>44810</v>
      </c>
      <c r="C484" s="1" t="n">
        <v>45843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37781-2022</t>
        </is>
      </c>
      <c r="B485" s="1" t="n">
        <v>44810</v>
      </c>
      <c r="C485" s="1" t="n">
        <v>45843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38085-2022</t>
        </is>
      </c>
      <c r="B486" s="1" t="n">
        <v>44811</v>
      </c>
      <c r="C486" s="1" t="n">
        <v>45843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40038-2022</t>
        </is>
      </c>
      <c r="B487" s="1" t="n">
        <v>44820</v>
      </c>
      <c r="C487" s="1" t="n">
        <v>45843</v>
      </c>
      <c r="D487" t="inlineStr">
        <is>
          <t>UPPSALA LÄN</t>
        </is>
      </c>
      <c r="E487" t="inlineStr">
        <is>
          <t>HEBY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40086-2022</t>
        </is>
      </c>
      <c r="B488" s="1" t="n">
        <v>44820</v>
      </c>
      <c r="C488" s="1" t="n">
        <v>45843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40079-2022</t>
        </is>
      </c>
      <c r="B489" s="1" t="n">
        <v>44820</v>
      </c>
      <c r="C489" s="1" t="n">
        <v>45843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40387-2022</t>
        </is>
      </c>
      <c r="B490" s="1" t="n">
        <v>44823</v>
      </c>
      <c r="C490" s="1" t="n">
        <v>45843</v>
      </c>
      <c r="D490" t="inlineStr">
        <is>
          <t>UPPSALA LÄN</t>
        </is>
      </c>
      <c r="E490" t="inlineStr">
        <is>
          <t>HEBY</t>
        </is>
      </c>
      <c r="G490" t="n">
        <v>25.2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40533-2022</t>
        </is>
      </c>
      <c r="B491" s="1" t="n">
        <v>44823</v>
      </c>
      <c r="C491" s="1" t="n">
        <v>45843</v>
      </c>
      <c r="D491" t="inlineStr">
        <is>
          <t>UPPSALA LÄN</t>
        </is>
      </c>
      <c r="E491" t="inlineStr">
        <is>
          <t>HEBY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41029-2022</t>
        </is>
      </c>
      <c r="B492" s="1" t="n">
        <v>44824</v>
      </c>
      <c r="C492" s="1" t="n">
        <v>45843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45843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45843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45843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45843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45843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45843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45843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45843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45843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45843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45843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45843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45843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45843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45843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45843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45843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45843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45843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45843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45843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45843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45843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45843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45843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45843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45843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45843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45843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45843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45843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45843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45843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45843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45843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45843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45843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45843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45843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45843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45843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45843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45843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45843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45843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45843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45843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45843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45843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45843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45843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45843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45843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45843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45843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45843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45843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45843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45843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45843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45843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45843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45843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45843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45843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45843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45843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45843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45843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45843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45843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45843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45843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45843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45843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45843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45843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45843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45843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45843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45843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45843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45843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45843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45843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45843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45843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45843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45843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45843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45843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45843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45843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45843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45843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45843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45843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45843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45843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45843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45843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45843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45843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45843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45843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45843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45843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45843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45843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45843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45843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45843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45843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45843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45843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45843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45843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45843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45843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45843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45843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45843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45843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45843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45843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45843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45843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45843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45843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45843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45843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45843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45843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45843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45843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45843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45843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45843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45843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45843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45843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45843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45843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45843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45843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45843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45843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45843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45843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45843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45843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45843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45843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45843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45843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45843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45843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45843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45843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45843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45843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45843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45843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45843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45843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45843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45843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45843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45843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45843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45843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45843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45843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45843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45843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45843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45843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45843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45843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45843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45843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45843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45843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45843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45843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45843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45843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45843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45843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45843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45843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45843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45843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45843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45843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45843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45843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45843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45843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45843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45843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45843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45843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45843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45843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45843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45843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45843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45843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45843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45843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45843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45843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45843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45843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45843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45843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45843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45843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45843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45843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45843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45843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45843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45843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45843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45843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45843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45843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45843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45843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45843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45843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45843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45843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45843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45843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45843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45843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45843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45843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45843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45843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45843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45843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45843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45843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45843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45843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45843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45843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45843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45843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45843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45843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45843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45843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45843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45843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45843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45843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45843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45843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45843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45843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45843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45843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45843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45843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45843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45843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45843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45843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45843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45843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45843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45843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45843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45843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45843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45843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45843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45843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45843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45843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45843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45843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45843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45843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45843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45843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45843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45843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45843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45843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45843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45843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45843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45843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45843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45843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45843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45843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45843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45843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45843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45843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45843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45843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45843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45843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45843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45843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45843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45843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45843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45843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45843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45843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45843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45843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45843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45843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45843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45843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45843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45843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45843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45843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45843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45843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45843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45843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45843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45843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45843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45843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45843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45843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45843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45843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45843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45843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45843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45843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45843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45843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45843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45843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45843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45843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45843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45843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45843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45843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45843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45843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45843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45843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45843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45843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45843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45843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45843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45843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45843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45843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45843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45843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45843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45843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45843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45843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45843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45843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45843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45843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45843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45843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45843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45843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45843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45843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45843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45843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45843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45843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45843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45843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45843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45843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45843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45843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45843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45843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45843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45843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45843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45843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45843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45843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45843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45843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45843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45843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45843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45843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45843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45843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45843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45843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45843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45843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45843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45843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45843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45843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45843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45843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45843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45843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45843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45843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45843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45843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45843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45843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45843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45843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45843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45843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45843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45843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45843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45843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45843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45843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45843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45843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45843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45843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45843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45843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45843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45843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45843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45843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45843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45843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45843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45843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45843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45843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45843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45843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45843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45843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45843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45843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45843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45843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45843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45843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45843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45843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45843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45843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45843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45843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45843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45843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45843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45843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45843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45843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45843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45843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45843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45843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45843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45843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45843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45843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45843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45843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45843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45843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45843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45843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45843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45843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45843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45843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45843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45843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45843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45843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45843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45843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45843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45843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45843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45843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45843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45843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45843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45843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45843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45843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45843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45843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45843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45843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45843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45843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45843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45843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45843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45843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45843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45843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45843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45843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45843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45843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45843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45843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45843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45843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45843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45843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45843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45843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45843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45843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45843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45843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45843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45843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45843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45843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45843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45843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45843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45843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45843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45843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45843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45843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45843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45843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45843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45843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45843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45843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45843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45843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45843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45843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45843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45843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45843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45843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45843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45843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45843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45843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45843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45843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45843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45843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45843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45843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45843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45843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45843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45843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45843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45843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45843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45843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45843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45843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45843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45843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45843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45843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45843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45843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45843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45843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45843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45843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45843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45843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45843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45843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45843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45843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45843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45843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45843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45843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45843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45843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45843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45843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45843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45843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45843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45843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45843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45843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45843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45843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45843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45843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45843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45843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45843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45843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45843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45843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45843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45843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45843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45843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45843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45843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45843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45843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45843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45843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45843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45843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45843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45843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45843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45843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45843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45843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45843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45843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45843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45843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45843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45843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45843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45843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45843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45843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45843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45843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45843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45843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45843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45843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45843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45843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45843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45843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45843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45843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45843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45843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45843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45843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45843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45843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45843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45843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45843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45843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45843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45843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45843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45843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45843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45843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45843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45843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45843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28303-2025</t>
        </is>
      </c>
      <c r="B1175" s="1" t="n">
        <v>45818</v>
      </c>
      <c r="C1175" s="1" t="n">
        <v>45843</v>
      </c>
      <c r="D1175" t="inlineStr">
        <is>
          <t>UPPSALA LÄN</t>
        </is>
      </c>
      <c r="E1175" t="inlineStr">
        <is>
          <t>HEBY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28561-2025</t>
        </is>
      </c>
      <c r="B1176" s="1" t="n">
        <v>45818</v>
      </c>
      <c r="C1176" s="1" t="n">
        <v>45843</v>
      </c>
      <c r="D1176" t="inlineStr">
        <is>
          <t>UPPSALA LÄN</t>
        </is>
      </c>
      <c r="E1176" t="inlineStr">
        <is>
          <t>HEBY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28558-2025</t>
        </is>
      </c>
      <c r="B1177" s="1" t="n">
        <v>45818</v>
      </c>
      <c r="C1177" s="1" t="n">
        <v>45843</v>
      </c>
      <c r="D1177" t="inlineStr">
        <is>
          <t>UPPSALA LÄN</t>
        </is>
      </c>
      <c r="E1177" t="inlineStr">
        <is>
          <t>HEBY</t>
        </is>
      </c>
      <c r="F1177" t="inlineStr">
        <is>
          <t>Kyrkan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45843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45843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29671-2025</t>
        </is>
      </c>
      <c r="B1180" s="1" t="n">
        <v>45825</v>
      </c>
      <c r="C1180" s="1" t="n">
        <v>45843</v>
      </c>
      <c r="D1180" t="inlineStr">
        <is>
          <t>UPPSALA LÄN</t>
        </is>
      </c>
      <c r="E1180" t="inlineStr">
        <is>
          <t>HEBY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29570-2025</t>
        </is>
      </c>
      <c r="B1181" s="1" t="n">
        <v>45825</v>
      </c>
      <c r="C1181" s="1" t="n">
        <v>45843</v>
      </c>
      <c r="D1181" t="inlineStr">
        <is>
          <t>UPPSALA LÄN</t>
        </is>
      </c>
      <c r="E1181" t="inlineStr">
        <is>
          <t>HEBY</t>
        </is>
      </c>
      <c r="F1181" t="inlineStr">
        <is>
          <t>Bergvik skog väst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29730-2025</t>
        </is>
      </c>
      <c r="B1182" s="1" t="n">
        <v>45825</v>
      </c>
      <c r="C1182" s="1" t="n">
        <v>45843</v>
      </c>
      <c r="D1182" t="inlineStr">
        <is>
          <t>UPPSALA LÄN</t>
        </is>
      </c>
      <c r="E1182" t="inlineStr">
        <is>
          <t>HEBY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29739-2025</t>
        </is>
      </c>
      <c r="B1183" s="1" t="n">
        <v>45825</v>
      </c>
      <c r="C1183" s="1" t="n">
        <v>45843</v>
      </c>
      <c r="D1183" t="inlineStr">
        <is>
          <t>UPPSALA LÄN</t>
        </is>
      </c>
      <c r="E1183" t="inlineStr">
        <is>
          <t>HEBY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45843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30418-2025</t>
        </is>
      </c>
      <c r="B1185" s="1" t="n">
        <v>45827</v>
      </c>
      <c r="C1185" s="1" t="n">
        <v>45843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30440-2025</t>
        </is>
      </c>
      <c r="B1186" s="1" t="n">
        <v>45827</v>
      </c>
      <c r="C1186" s="1" t="n">
        <v>45843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31058-2025</t>
        </is>
      </c>
      <c r="B1187" s="1" t="n">
        <v>45832</v>
      </c>
      <c r="C1187" s="1" t="n">
        <v>45843</v>
      </c>
      <c r="D1187" t="inlineStr">
        <is>
          <t>UPPSALA LÄN</t>
        </is>
      </c>
      <c r="E1187" t="inlineStr">
        <is>
          <t>HEBY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33103-2025</t>
        </is>
      </c>
      <c r="B1188" s="1" t="n">
        <v>45832</v>
      </c>
      <c r="C1188" s="1" t="n">
        <v>45843</v>
      </c>
      <c r="D1188" t="inlineStr">
        <is>
          <t>UPPSALA LÄN</t>
        </is>
      </c>
      <c r="E1188" t="inlineStr">
        <is>
          <t>HEBY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33092-2025</t>
        </is>
      </c>
      <c r="B1189" s="1" t="n">
        <v>45832</v>
      </c>
      <c r="C1189" s="1" t="n">
        <v>45843</v>
      </c>
      <c r="D1189" t="inlineStr">
        <is>
          <t>UPPSALA LÄN</t>
        </is>
      </c>
      <c r="E1189" t="inlineStr">
        <is>
          <t>HEBY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31330-2025</t>
        </is>
      </c>
      <c r="B1190" s="1" t="n">
        <v>45833</v>
      </c>
      <c r="C1190" s="1" t="n">
        <v>45843</v>
      </c>
      <c r="D1190" t="inlineStr">
        <is>
          <t>UPPSALA LÄN</t>
        </is>
      </c>
      <c r="E1190" t="inlineStr">
        <is>
          <t>HEBY</t>
        </is>
      </c>
      <c r="F1190" t="inlineStr">
        <is>
          <t>Bergvik skog öst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31813-2025</t>
        </is>
      </c>
      <c r="B1191" s="1" t="n">
        <v>45834</v>
      </c>
      <c r="C1191" s="1" t="n">
        <v>45843</v>
      </c>
      <c r="D1191" t="inlineStr">
        <is>
          <t>UPPSALA LÄN</t>
        </is>
      </c>
      <c r="E1191" t="inlineStr">
        <is>
          <t>HEBY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31795-2025</t>
        </is>
      </c>
      <c r="B1192" s="1" t="n">
        <v>45834</v>
      </c>
      <c r="C1192" s="1" t="n">
        <v>45843</v>
      </c>
      <c r="D1192" t="inlineStr">
        <is>
          <t>UPPSALA LÄN</t>
        </is>
      </c>
      <c r="E1192" t="inlineStr">
        <is>
          <t>HEBY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32547-2025</t>
        </is>
      </c>
      <c r="B1193" s="1" t="n">
        <v>45838</v>
      </c>
      <c r="C1193" s="1" t="n">
        <v>45843</v>
      </c>
      <c r="D1193" t="inlineStr">
        <is>
          <t>UPPSALA LÄN</t>
        </is>
      </c>
      <c r="E1193" t="inlineStr">
        <is>
          <t>HEBY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32545-2025</t>
        </is>
      </c>
      <c r="B1194" s="1" t="n">
        <v>45838</v>
      </c>
      <c r="C1194" s="1" t="n">
        <v>45843</v>
      </c>
      <c r="D1194" t="inlineStr">
        <is>
          <t>UPPSALA LÄN</t>
        </is>
      </c>
      <c r="E1194" t="inlineStr">
        <is>
          <t>HEBY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32432-2025</t>
        </is>
      </c>
      <c r="B1195" s="1" t="n">
        <v>45838</v>
      </c>
      <c r="C1195" s="1" t="n">
        <v>45843</v>
      </c>
      <c r="D1195" t="inlineStr">
        <is>
          <t>UPPSALA LÄN</t>
        </is>
      </c>
      <c r="E1195" t="inlineStr">
        <is>
          <t>HEBY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32435-2025</t>
        </is>
      </c>
      <c r="B1196" s="1" t="n">
        <v>45838</v>
      </c>
      <c r="C1196" s="1" t="n">
        <v>45843</v>
      </c>
      <c r="D1196" t="inlineStr">
        <is>
          <t>UPPSALA LÄN</t>
        </is>
      </c>
      <c r="E1196" t="inlineStr">
        <is>
          <t>HEBY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33025-2025</t>
        </is>
      </c>
      <c r="B1197" s="1" t="n">
        <v>45840</v>
      </c>
      <c r="C1197" s="1" t="n">
        <v>45843</v>
      </c>
      <c r="D1197" t="inlineStr">
        <is>
          <t>UPPSALA LÄN</t>
        </is>
      </c>
      <c r="E1197" t="inlineStr">
        <is>
          <t>HEBY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2025-07-05T19:59:59Z</dcterms:created>
  <dcterms:modified xmlns:dcterms="http://purl.org/dc/terms/" xmlns:xsi="http://www.w3.org/2001/XMLSchema-instance" xsi:type="dcterms:W3CDTF">2025-07-05T20:00:00Z</dcterms:modified>
</cp:coreProperties>
</file>
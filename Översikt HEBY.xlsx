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46131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46131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46131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46131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46131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46131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46131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46131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46131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46131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46131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46131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46131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46131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46131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46131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46131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46131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46131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46131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46131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46131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46131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46131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46131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46131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46131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46131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46131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46131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46131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46131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46131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46131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46131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46131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46131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46131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46131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46131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46131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46131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46131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46131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46131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27871-2023</t>
        </is>
      </c>
      <c r="B55" s="1" t="n">
        <v>45098</v>
      </c>
      <c r="C55" s="1" t="n">
        <v>46131</v>
      </c>
      <c r="D55" t="inlineStr">
        <is>
          <t>UPPSALA LÄN</t>
        </is>
      </c>
      <c r="E55" t="inlineStr">
        <is>
          <t>HEBY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HYPERLINK("https://klasma.github.io/Logging_0331/artfynd/A 27871-2023 artfynd.xlsx", "A 27871-2023")</f>
        <v/>
      </c>
      <c r="T55">
        <f>HYPERLINK("https://klasma.github.io/Logging_0331/kartor/A 27871-2023 karta.png", "A 27871-2023")</f>
        <v/>
      </c>
      <c r="V55">
        <f>HYPERLINK("https://klasma.github.io/Logging_0331/klagomål/A 27871-2023 FSC-klagomål.docx", "A 27871-2023")</f>
        <v/>
      </c>
      <c r="W55">
        <f>HYPERLINK("https://klasma.github.io/Logging_0331/klagomålsmail/A 27871-2023 FSC-klagomål mail.docx", "A 27871-2023")</f>
        <v/>
      </c>
      <c r="X55">
        <f>HYPERLINK("https://klasma.github.io/Logging_0331/tillsyn/A 27871-2023 tillsynsbegäran.docx", "A 27871-2023")</f>
        <v/>
      </c>
      <c r="Y55">
        <f>HYPERLINK("https://klasma.github.io/Logging_0331/tillsynsmail/A 27871-2023 tillsynsbegäran mail.docx", "A 27871-2023")</f>
        <v/>
      </c>
    </row>
    <row r="56" ht="15" customHeight="1">
      <c r="A56" t="inlineStr">
        <is>
          <t>A 38417-2025</t>
        </is>
      </c>
      <c r="B56" s="1" t="n">
        <v>45883</v>
      </c>
      <c r="C56" s="1" t="n">
        <v>46131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38417-2025 artfynd.xlsx", "A 38417-2025")</f>
        <v/>
      </c>
      <c r="T56">
        <f>HYPERLINK("https://klasma.github.io/Logging_0331/kartor/A 38417-2025 karta.png", "A 38417-2025")</f>
        <v/>
      </c>
      <c r="U56">
        <f>HYPERLINK("https://klasma.github.io/Logging_0331/knärot/A 38417-2025 karta knärot.png", "A 38417-2025")</f>
        <v/>
      </c>
      <c r="V56">
        <f>HYPERLINK("https://klasma.github.io/Logging_0331/klagomål/A 38417-2025 FSC-klagomål.docx", "A 38417-2025")</f>
        <v/>
      </c>
      <c r="W56">
        <f>HYPERLINK("https://klasma.github.io/Logging_0331/klagomålsmail/A 38417-2025 FSC-klagomål mail.docx", "A 38417-2025")</f>
        <v/>
      </c>
      <c r="X56">
        <f>HYPERLINK("https://klasma.github.io/Logging_0331/tillsyn/A 38417-2025 tillsynsbegäran.docx", "A 38417-2025")</f>
        <v/>
      </c>
      <c r="Y56">
        <f>HYPERLINK("https://klasma.github.io/Logging_0331/tillsynsmail/A 38417-2025 tillsynsbegäran mail.docx", "A 38417-2025")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46131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46131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46131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46131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46131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46131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46131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46131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19139-2021</t>
        </is>
      </c>
      <c r="B65" s="1" t="n">
        <v>44308</v>
      </c>
      <c r="C65" s="1" t="n">
        <v>46131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19139-2021 artfynd.xlsx", "A 19139-2021")</f>
        <v/>
      </c>
      <c r="T65">
        <f>HYPERLINK("https://klasma.github.io/Logging_0331/kartor/A 19139-2021 karta.png", "A 19139-2021")</f>
        <v/>
      </c>
      <c r="U65">
        <f>HYPERLINK("https://klasma.github.io/Logging_0331/knärot/A 19139-2021 karta knärot.png", "A 19139-2021")</f>
        <v/>
      </c>
      <c r="V65">
        <f>HYPERLINK("https://klasma.github.io/Logging_0331/klagomål/A 19139-2021 FSC-klagomål.docx", "A 19139-2021")</f>
        <v/>
      </c>
      <c r="W65">
        <f>HYPERLINK("https://klasma.github.io/Logging_0331/klagomålsmail/A 19139-2021 FSC-klagomål mail.docx", "A 19139-2021")</f>
        <v/>
      </c>
      <c r="X65">
        <f>HYPERLINK("https://klasma.github.io/Logging_0331/tillsyn/A 19139-2021 tillsynsbegäran.docx", "A 19139-2021")</f>
        <v/>
      </c>
      <c r="Y65">
        <f>HYPERLINK("https://klasma.github.io/Logging_0331/tillsynsmail/A 19139-2021 tillsynsbegäran mail.docx", "A 19139-2021")</f>
        <v/>
      </c>
    </row>
    <row r="66" ht="15" customHeight="1">
      <c r="A66" t="inlineStr">
        <is>
          <t>A 63982-2023</t>
        </is>
      </c>
      <c r="B66" s="1" t="n">
        <v>45278.72756944445</v>
      </c>
      <c r="C66" s="1" t="n">
        <v>46131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HYPERLINK("https://klasma.github.io/Logging_0331/artfynd/A 63982-2023 artfynd.xlsx", "A 63982-2023")</f>
        <v/>
      </c>
      <c r="T66">
        <f>HYPERLINK("https://klasma.github.io/Logging_0331/kartor/A 63982-2023 karta.png", "A 63982-2023")</f>
        <v/>
      </c>
      <c r="V66">
        <f>HYPERLINK("https://klasma.github.io/Logging_0331/klagomål/A 63982-2023 FSC-klagomål.docx", "A 63982-2023")</f>
        <v/>
      </c>
      <c r="W66">
        <f>HYPERLINK("https://klasma.github.io/Logging_0331/klagomålsmail/A 63982-2023 FSC-klagomål mail.docx", "A 63982-2023")</f>
        <v/>
      </c>
      <c r="X66">
        <f>HYPERLINK("https://klasma.github.io/Logging_0331/tillsyn/A 63982-2023 tillsynsbegäran.docx", "A 63982-2023")</f>
        <v/>
      </c>
      <c r="Y66">
        <f>HYPERLINK("https://klasma.github.io/Logging_0331/tillsynsmail/A 63982-2023 tillsynsbegäran mail.docx", "A 63982-2023")</f>
        <v/>
      </c>
      <c r="Z66">
        <f>HYPERLINK("https://klasma.github.io/Logging_0331/fåglar/A 63982-2023 prioriterade fågelarter.docx", "A 63982-2023")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46131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61598-2021</t>
        </is>
      </c>
      <c r="B68" s="1" t="n">
        <v>44501.46684027778</v>
      </c>
      <c r="C68" s="1" t="n">
        <v>46131</v>
      </c>
      <c r="D68" t="inlineStr">
        <is>
          <t>UPPSALA LÄN</t>
        </is>
      </c>
      <c r="E68" t="inlineStr">
        <is>
          <t>HEBY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HYPERLINK("https://klasma.github.io/Logging_0331/artfynd/A 61598-2021 artfynd.xlsx", "A 61598-2021")</f>
        <v/>
      </c>
      <c r="T68">
        <f>HYPERLINK("https://klasma.github.io/Logging_0331/kartor/A 61598-2021 karta.png", "A 61598-2021")</f>
        <v/>
      </c>
      <c r="V68">
        <f>HYPERLINK("https://klasma.github.io/Logging_0331/klagomål/A 61598-2021 FSC-klagomål.docx", "A 61598-2021")</f>
        <v/>
      </c>
      <c r="W68">
        <f>HYPERLINK("https://klasma.github.io/Logging_0331/klagomålsmail/A 61598-2021 FSC-klagomål mail.docx", "A 61598-2021")</f>
        <v/>
      </c>
      <c r="X68">
        <f>HYPERLINK("https://klasma.github.io/Logging_0331/tillsyn/A 61598-2021 tillsynsbegäran.docx", "A 61598-2021")</f>
        <v/>
      </c>
      <c r="Y68">
        <f>HYPERLINK("https://klasma.github.io/Logging_0331/tillsynsmail/A 61598-2021 tillsynsbegäran mail.docx", "A 61598-2021")</f>
        <v/>
      </c>
      <c r="Z68">
        <f>HYPERLINK("https://klasma.github.io/Logging_0331/fåglar/A 61598-2021 prioriterade fågelarter.docx", "A 61598-2021")</f>
        <v/>
      </c>
    </row>
    <row r="69" ht="15" customHeight="1">
      <c r="A69" t="inlineStr">
        <is>
          <t>A 55663-2024</t>
        </is>
      </c>
      <c r="B69" s="1" t="n">
        <v>45622</v>
      </c>
      <c r="C69" s="1" t="n">
        <v>46131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55663-2024 artfynd.xlsx", "A 55663-2024")</f>
        <v/>
      </c>
      <c r="T69">
        <f>HYPERLINK("https://klasma.github.io/Logging_0331/kartor/A 55663-2024 karta.png", "A 55663-2024")</f>
        <v/>
      </c>
      <c r="V69">
        <f>HYPERLINK("https://klasma.github.io/Logging_0331/klagomål/A 55663-2024 FSC-klagomål.docx", "A 55663-2024")</f>
        <v/>
      </c>
      <c r="W69">
        <f>HYPERLINK("https://klasma.github.io/Logging_0331/klagomålsmail/A 55663-2024 FSC-klagomål mail.docx", "A 55663-2024")</f>
        <v/>
      </c>
      <c r="X69">
        <f>HYPERLINK("https://klasma.github.io/Logging_0331/tillsyn/A 55663-2024 tillsynsbegäran.docx", "A 55663-2024")</f>
        <v/>
      </c>
      <c r="Y69">
        <f>HYPERLINK("https://klasma.github.io/Logging_0331/tillsynsmail/A 55663-2024 tillsynsbegäran mail.docx", "A 55663-2024")</f>
        <v/>
      </c>
    </row>
    <row r="70" ht="15" customHeight="1">
      <c r="A70" t="inlineStr">
        <is>
          <t>A 21203-2025</t>
        </is>
      </c>
      <c r="B70" s="1" t="n">
        <v>45777</v>
      </c>
      <c r="C70" s="1" t="n">
        <v>46131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HYPERLINK("https://klasma.github.io/Logging_0331/artfynd/A 21203-2025 artfynd.xlsx", "A 21203-2025")</f>
        <v/>
      </c>
      <c r="T70">
        <f>HYPERLINK("https://klasma.github.io/Logging_0331/kartor/A 21203-2025 karta.png", "A 21203-2025")</f>
        <v/>
      </c>
      <c r="V70">
        <f>HYPERLINK("https://klasma.github.io/Logging_0331/klagomål/A 21203-2025 FSC-klagomål.docx", "A 21203-2025")</f>
        <v/>
      </c>
      <c r="W70">
        <f>HYPERLINK("https://klasma.github.io/Logging_0331/klagomålsmail/A 21203-2025 FSC-klagomål mail.docx", "A 21203-2025")</f>
        <v/>
      </c>
      <c r="X70">
        <f>HYPERLINK("https://klasma.github.io/Logging_0331/tillsyn/A 21203-2025 tillsynsbegäran.docx", "A 21203-2025")</f>
        <v/>
      </c>
      <c r="Y70">
        <f>HYPERLINK("https://klasma.github.io/Logging_0331/tillsynsmail/A 21203-2025 tillsynsbegäran mail.docx", "A 21203-2025")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46131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46131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46131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46131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46131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46131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46131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46131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46131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46131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46131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46131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46131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46131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46131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46131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46131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46131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46131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46131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46131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46131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46131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46131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46131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46131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46131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46131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46131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46131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46131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46131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46131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46131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46131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46131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46131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46131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46131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46131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46131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46131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46131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46131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46131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46131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46131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46131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46131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46131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46131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46131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46131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46131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46131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46131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46131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46131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46131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46131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46131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46131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46131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46131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46131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46131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46131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26789-2021</t>
        </is>
      </c>
      <c r="B138" s="1" t="n">
        <v>44349</v>
      </c>
      <c r="C138" s="1" t="n">
        <v>46131</v>
      </c>
      <c r="D138" t="inlineStr">
        <is>
          <t>UPPSALA LÄN</t>
        </is>
      </c>
      <c r="E138" t="inlineStr">
        <is>
          <t>HEBY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46131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34494-2021</t>
        </is>
      </c>
      <c r="B140" s="1" t="n">
        <v>44382.32331018519</v>
      </c>
      <c r="C140" s="1" t="n">
        <v>46131</v>
      </c>
      <c r="D140" t="inlineStr">
        <is>
          <t>UPPSALA LÄN</t>
        </is>
      </c>
      <c r="E140" t="inlineStr">
        <is>
          <t>HEBY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46131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46131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46131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44700.53931712963</v>
      </c>
      <c r="C144" s="1" t="n">
        <v>46131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23979-2022</t>
        </is>
      </c>
      <c r="B145" s="1" t="n">
        <v>44722.88414351852</v>
      </c>
      <c r="C145" s="1" t="n">
        <v>46131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46131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46131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46131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1462-2022</t>
        </is>
      </c>
      <c r="B149" s="1" t="n">
        <v>44573</v>
      </c>
      <c r="C149" s="1" t="n">
        <v>46131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4666-2025</t>
        </is>
      </c>
      <c r="B150" s="1" t="n">
        <v>45687</v>
      </c>
      <c r="C150" s="1" t="n">
        <v>46131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4737-2025</t>
        </is>
      </c>
      <c r="B151" s="1" t="n">
        <v>45688</v>
      </c>
      <c r="C151" s="1" t="n">
        <v>46131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46131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46131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46131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46131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46131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46131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6882-2024</t>
        </is>
      </c>
      <c r="B158" s="1" t="n">
        <v>45342.88319444445</v>
      </c>
      <c r="C158" s="1" t="n">
        <v>46131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6885-2024</t>
        </is>
      </c>
      <c r="B159" s="1" t="n">
        <v>45342.88614583333</v>
      </c>
      <c r="C159" s="1" t="n">
        <v>46131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46131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24562-2023</t>
        </is>
      </c>
      <c r="B161" s="1" t="n">
        <v>45083</v>
      </c>
      <c r="C161" s="1" t="n">
        <v>46131</v>
      </c>
      <c r="D161" t="inlineStr">
        <is>
          <t>UPPSALA LÄN</t>
        </is>
      </c>
      <c r="E161" t="inlineStr">
        <is>
          <t>HEBY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46131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20990-2025</t>
        </is>
      </c>
      <c r="B163" s="1" t="n">
        <v>45777</v>
      </c>
      <c r="C163" s="1" t="n">
        <v>46131</v>
      </c>
      <c r="D163" t="inlineStr">
        <is>
          <t>UPPSALA LÄN</t>
        </is>
      </c>
      <c r="E163" t="inlineStr">
        <is>
          <t>HEBY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13679-2024</t>
        </is>
      </c>
      <c r="B164" s="1" t="n">
        <v>45390.55424768518</v>
      </c>
      <c r="C164" s="1" t="n">
        <v>46131</v>
      </c>
      <c r="D164" t="inlineStr">
        <is>
          <t>UPPSALA LÄN</t>
        </is>
      </c>
      <c r="E164" t="inlineStr">
        <is>
          <t>HEBY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13688-2024</t>
        </is>
      </c>
      <c r="B165" s="1" t="n">
        <v>45390</v>
      </c>
      <c r="C165" s="1" t="n">
        <v>46131</v>
      </c>
      <c r="D165" t="inlineStr">
        <is>
          <t>UPPSALA LÄN</t>
        </is>
      </c>
      <c r="E165" t="inlineStr">
        <is>
          <t>HEBY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38479-2025</t>
        </is>
      </c>
      <c r="B166" s="1" t="n">
        <v>45884.32216435186</v>
      </c>
      <c r="C166" s="1" t="n">
        <v>46131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50954-2025</t>
        </is>
      </c>
      <c r="B167" s="1" t="n">
        <v>45946.7803125</v>
      </c>
      <c r="C167" s="1" t="n">
        <v>46131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37781-2022</t>
        </is>
      </c>
      <c r="B168" s="1" t="n">
        <v>44810</v>
      </c>
      <c r="C168" s="1" t="n">
        <v>46131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51333-2025</t>
        </is>
      </c>
      <c r="B169" s="1" t="n">
        <v>45950.42271990741</v>
      </c>
      <c r="C169" s="1" t="n">
        <v>46131</v>
      </c>
      <c r="D169" t="inlineStr">
        <is>
          <t>UPPSALA LÄN</t>
        </is>
      </c>
      <c r="E169" t="inlineStr">
        <is>
          <t>HEBY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46131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38432-2025</t>
        </is>
      </c>
      <c r="B171" s="1" t="n">
        <v>45883.63840277777</v>
      </c>
      <c r="C171" s="1" t="n">
        <v>46131</v>
      </c>
      <c r="D171" t="inlineStr">
        <is>
          <t>UPPSALA LÄN</t>
        </is>
      </c>
      <c r="E171" t="inlineStr">
        <is>
          <t>HEBY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38474-2025</t>
        </is>
      </c>
      <c r="B172" s="1" t="n">
        <v>45884.31611111111</v>
      </c>
      <c r="C172" s="1" t="n">
        <v>46131</v>
      </c>
      <c r="D172" t="inlineStr">
        <is>
          <t>UPPSALA LÄN</t>
        </is>
      </c>
      <c r="E172" t="inlineStr">
        <is>
          <t>HEBY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22334-2025</t>
        </is>
      </c>
      <c r="B173" s="1" t="n">
        <v>45786.4380787037</v>
      </c>
      <c r="C173" s="1" t="n">
        <v>46131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46131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52106-2025</t>
        </is>
      </c>
      <c r="B175" s="1" t="n">
        <v>45952.68802083333</v>
      </c>
      <c r="C175" s="1" t="n">
        <v>46131</v>
      </c>
      <c r="D175" t="inlineStr">
        <is>
          <t>UPPSALA LÄN</t>
        </is>
      </c>
      <c r="E175" t="inlineStr">
        <is>
          <t>HEBY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14437-2024</t>
        </is>
      </c>
      <c r="B176" s="1" t="n">
        <v>45394</v>
      </c>
      <c r="C176" s="1" t="n">
        <v>46131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62084-2023</t>
        </is>
      </c>
      <c r="B177" s="1" t="n">
        <v>45266.82302083333</v>
      </c>
      <c r="C177" s="1" t="n">
        <v>46131</v>
      </c>
      <c r="D177" t="inlineStr">
        <is>
          <t>UPPSALA LÄN</t>
        </is>
      </c>
      <c r="E177" t="inlineStr">
        <is>
          <t>HEBY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31108-2021</t>
        </is>
      </c>
      <c r="B178" s="1" t="n">
        <v>44368</v>
      </c>
      <c r="C178" s="1" t="n">
        <v>46131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52109-2025</t>
        </is>
      </c>
      <c r="B179" s="1" t="n">
        <v>45952.69247685185</v>
      </c>
      <c r="C179" s="1" t="n">
        <v>46131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22455-2025</t>
        </is>
      </c>
      <c r="B180" s="1" t="n">
        <v>45786.60577546297</v>
      </c>
      <c r="C180" s="1" t="n">
        <v>46131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49971-2022</t>
        </is>
      </c>
      <c r="B181" s="1" t="n">
        <v>44865.38575231482</v>
      </c>
      <c r="C181" s="1" t="n">
        <v>46131</v>
      </c>
      <c r="D181" t="inlineStr">
        <is>
          <t>UPPSALA LÄN</t>
        </is>
      </c>
      <c r="E181" t="inlineStr">
        <is>
          <t>HEBY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56398-2023</t>
        </is>
      </c>
      <c r="B182" s="1" t="n">
        <v>45243.42628472222</v>
      </c>
      <c r="C182" s="1" t="n">
        <v>46131</v>
      </c>
      <c r="D182" t="inlineStr">
        <is>
          <t>UPPSALA LÄN</t>
        </is>
      </c>
      <c r="E182" t="inlineStr">
        <is>
          <t>HEBY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46647-2022</t>
        </is>
      </c>
      <c r="B183" s="1" t="n">
        <v>44849.86905092592</v>
      </c>
      <c r="C183" s="1" t="n">
        <v>46131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40533-2022</t>
        </is>
      </c>
      <c r="B184" s="1" t="n">
        <v>44823</v>
      </c>
      <c r="C184" s="1" t="n">
        <v>46131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38049-2021</t>
        </is>
      </c>
      <c r="B185" s="1" t="n">
        <v>44404</v>
      </c>
      <c r="C185" s="1" t="n">
        <v>46131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58332-2023</t>
        </is>
      </c>
      <c r="B186" s="1" t="n">
        <v>45250</v>
      </c>
      <c r="C186" s="1" t="n">
        <v>46131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51685-2025</t>
        </is>
      </c>
      <c r="B187" s="1" t="n">
        <v>45951.52226851852</v>
      </c>
      <c r="C187" s="1" t="n">
        <v>46131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8699-2024</t>
        </is>
      </c>
      <c r="B188" s="1" t="n">
        <v>45355</v>
      </c>
      <c r="C188" s="1" t="n">
        <v>46131</v>
      </c>
      <c r="D188" t="inlineStr">
        <is>
          <t>UPPSALA LÄN</t>
        </is>
      </c>
      <c r="E188" t="inlineStr">
        <is>
          <t>HEBY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13601-2024</t>
        </is>
      </c>
      <c r="B189" s="1" t="n">
        <v>45390.31896990741</v>
      </c>
      <c r="C189" s="1" t="n">
        <v>46131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37073-2024</t>
        </is>
      </c>
      <c r="B190" s="1" t="n">
        <v>45539.47310185185</v>
      </c>
      <c r="C190" s="1" t="n">
        <v>46131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13213-2022</t>
        </is>
      </c>
      <c r="B191" s="1" t="n">
        <v>44644</v>
      </c>
      <c r="C191" s="1" t="n">
        <v>46131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53911-2023</t>
        </is>
      </c>
      <c r="B192" s="1" t="n">
        <v>45231.56061342593</v>
      </c>
      <c r="C192" s="1" t="n">
        <v>46131</v>
      </c>
      <c r="D192" t="inlineStr">
        <is>
          <t>UPPSALA LÄN</t>
        </is>
      </c>
      <c r="E192" t="inlineStr">
        <is>
          <t>HEBY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22460-2025</t>
        </is>
      </c>
      <c r="B193" s="1" t="n">
        <v>45786.60734953704</v>
      </c>
      <c r="C193" s="1" t="n">
        <v>46131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3355-2024</t>
        </is>
      </c>
      <c r="B194" s="1" t="n">
        <v>45317</v>
      </c>
      <c r="C194" s="1" t="n">
        <v>46131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42938-2022</t>
        </is>
      </c>
      <c r="B195" s="1" t="n">
        <v>44833</v>
      </c>
      <c r="C195" s="1" t="n">
        <v>46131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22333-2025</t>
        </is>
      </c>
      <c r="B196" s="1" t="n">
        <v>45786.43655092592</v>
      </c>
      <c r="C196" s="1" t="n">
        <v>46131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39409-2025</t>
        </is>
      </c>
      <c r="B197" s="1" t="n">
        <v>45889</v>
      </c>
      <c r="C197" s="1" t="n">
        <v>46131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8805-2023</t>
        </is>
      </c>
      <c r="B198" s="1" t="n">
        <v>44978.61866898148</v>
      </c>
      <c r="C198" s="1" t="n">
        <v>46131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9761-2023</t>
        </is>
      </c>
      <c r="B199" s="1" t="n">
        <v>44984.57246527778</v>
      </c>
      <c r="C199" s="1" t="n">
        <v>46131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9773-2023</t>
        </is>
      </c>
      <c r="B200" s="1" t="n">
        <v>44984</v>
      </c>
      <c r="C200" s="1" t="n">
        <v>46131</v>
      </c>
      <c r="D200" t="inlineStr">
        <is>
          <t>UPPSALA LÄN</t>
        </is>
      </c>
      <c r="E200" t="inlineStr">
        <is>
          <t>HEBY</t>
        </is>
      </c>
      <c r="F200" t="inlineStr">
        <is>
          <t>Allmännings- och besparingsskogar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62650-2022</t>
        </is>
      </c>
      <c r="B201" s="1" t="n">
        <v>44925.48966435185</v>
      </c>
      <c r="C201" s="1" t="n">
        <v>46131</v>
      </c>
      <c r="D201" t="inlineStr">
        <is>
          <t>UPPSALA LÄN</t>
        </is>
      </c>
      <c r="E201" t="inlineStr">
        <is>
          <t>HEBY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39831-2025</t>
        </is>
      </c>
      <c r="B202" s="1" t="n">
        <v>45891.55961805556</v>
      </c>
      <c r="C202" s="1" t="n">
        <v>46131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39892-2025</t>
        </is>
      </c>
      <c r="B203" s="1" t="n">
        <v>45891.6290162037</v>
      </c>
      <c r="C203" s="1" t="n">
        <v>46131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55204-2022</t>
        </is>
      </c>
      <c r="B204" s="1" t="n">
        <v>44886</v>
      </c>
      <c r="C204" s="1" t="n">
        <v>46131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41556-2023</t>
        </is>
      </c>
      <c r="B205" s="1" t="n">
        <v>45175.58421296296</v>
      </c>
      <c r="C205" s="1" t="n">
        <v>46131</v>
      </c>
      <c r="D205" t="inlineStr">
        <is>
          <t>UPPSALA LÄN</t>
        </is>
      </c>
      <c r="E205" t="inlineStr">
        <is>
          <t>HEBY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69377-2021</t>
        </is>
      </c>
      <c r="B206" s="1" t="n">
        <v>44531</v>
      </c>
      <c r="C206" s="1" t="n">
        <v>46131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6497-2024</t>
        </is>
      </c>
      <c r="B207" s="1" t="n">
        <v>45339.74579861111</v>
      </c>
      <c r="C207" s="1" t="n">
        <v>46131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31101-2024</t>
        </is>
      </c>
      <c r="B208" s="1" t="n">
        <v>45502</v>
      </c>
      <c r="C208" s="1" t="n">
        <v>46131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3234-2023</t>
        </is>
      </c>
      <c r="B209" s="1" t="n">
        <v>44946.81241898148</v>
      </c>
      <c r="C209" s="1" t="n">
        <v>46131</v>
      </c>
      <c r="D209" t="inlineStr">
        <is>
          <t>UPPSALA LÄN</t>
        </is>
      </c>
      <c r="E209" t="inlineStr">
        <is>
          <t>HEBY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4740-2024</t>
        </is>
      </c>
      <c r="B210" s="1" t="n">
        <v>45328</v>
      </c>
      <c r="C210" s="1" t="n">
        <v>46131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33734-2023</t>
        </is>
      </c>
      <c r="B211" s="1" t="n">
        <v>45133.32862268519</v>
      </c>
      <c r="C211" s="1" t="n">
        <v>46131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32867-2023</t>
        </is>
      </c>
      <c r="B212" s="1" t="n">
        <v>45112</v>
      </c>
      <c r="C212" s="1" t="n">
        <v>46131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48948-2023</t>
        </is>
      </c>
      <c r="B213" s="1" t="n">
        <v>45209.58063657407</v>
      </c>
      <c r="C213" s="1" t="n">
        <v>46131</v>
      </c>
      <c r="D213" t="inlineStr">
        <is>
          <t>UPPSALA LÄN</t>
        </is>
      </c>
      <c r="E213" t="inlineStr">
        <is>
          <t>HEBY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56302-2021</t>
        </is>
      </c>
      <c r="B214" s="1" t="n">
        <v>44477</v>
      </c>
      <c r="C214" s="1" t="n">
        <v>46131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52796-2024</t>
        </is>
      </c>
      <c r="B215" s="1" t="n">
        <v>45610.56269675926</v>
      </c>
      <c r="C215" s="1" t="n">
        <v>46131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33350-2024</t>
        </is>
      </c>
      <c r="B216" s="1" t="n">
        <v>45519</v>
      </c>
      <c r="C216" s="1" t="n">
        <v>46131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24381-2025</t>
        </is>
      </c>
      <c r="B217" s="1" t="n">
        <v>45797</v>
      </c>
      <c r="C217" s="1" t="n">
        <v>46131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41216-2025</t>
        </is>
      </c>
      <c r="B218" s="1" t="n">
        <v>45898.58221064815</v>
      </c>
      <c r="C218" s="1" t="n">
        <v>46131</v>
      </c>
      <c r="D218" t="inlineStr">
        <is>
          <t>UPPSALA LÄN</t>
        </is>
      </c>
      <c r="E218" t="inlineStr">
        <is>
          <t>HEBY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41219-2025</t>
        </is>
      </c>
      <c r="B219" s="1" t="n">
        <v>45898</v>
      </c>
      <c r="C219" s="1" t="n">
        <v>46131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41246-2025</t>
        </is>
      </c>
      <c r="B220" s="1" t="n">
        <v>45898.6009375</v>
      </c>
      <c r="C220" s="1" t="n">
        <v>46131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45313-2022</t>
        </is>
      </c>
      <c r="B221" s="1" t="n">
        <v>44844.57619212963</v>
      </c>
      <c r="C221" s="1" t="n">
        <v>46131</v>
      </c>
      <c r="D221" t="inlineStr">
        <is>
          <t>UPPSALA LÄN</t>
        </is>
      </c>
      <c r="E221" t="inlineStr">
        <is>
          <t>HEBY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8783-2023</t>
        </is>
      </c>
      <c r="B222" s="1" t="n">
        <v>44978.58017361111</v>
      </c>
      <c r="C222" s="1" t="n">
        <v>46131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52861-2025</t>
        </is>
      </c>
      <c r="B223" s="1" t="n">
        <v>45957.50532407407</v>
      </c>
      <c r="C223" s="1" t="n">
        <v>46131</v>
      </c>
      <c r="D223" t="inlineStr">
        <is>
          <t>UPPSALA LÄN</t>
        </is>
      </c>
      <c r="E223" t="inlineStr">
        <is>
          <t>HEBY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36483-2024</t>
        </is>
      </c>
      <c r="B224" s="1" t="n">
        <v>45537</v>
      </c>
      <c r="C224" s="1" t="n">
        <v>46131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23890-2025</t>
        </is>
      </c>
      <c r="B225" s="1" t="n">
        <v>45793</v>
      </c>
      <c r="C225" s="1" t="n">
        <v>46131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35.2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38831-2024</t>
        </is>
      </c>
      <c r="B226" s="1" t="n">
        <v>45547.57539351852</v>
      </c>
      <c r="C226" s="1" t="n">
        <v>46131</v>
      </c>
      <c r="D226" t="inlineStr">
        <is>
          <t>UPPSALA LÄN</t>
        </is>
      </c>
      <c r="E226" t="inlineStr">
        <is>
          <t>HEBY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1755-2022</t>
        </is>
      </c>
      <c r="B227" s="1" t="n">
        <v>44574</v>
      </c>
      <c r="C227" s="1" t="n">
        <v>46131</v>
      </c>
      <c r="D227" t="inlineStr">
        <is>
          <t>UPPSALA LÄN</t>
        </is>
      </c>
      <c r="E227" t="inlineStr">
        <is>
          <t>HEBY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20935-2024</t>
        </is>
      </c>
      <c r="B228" s="1" t="n">
        <v>45439.5318287037</v>
      </c>
      <c r="C228" s="1" t="n">
        <v>46131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25968-2025</t>
        </is>
      </c>
      <c r="B229" s="1" t="n">
        <v>45804.62293981481</v>
      </c>
      <c r="C229" s="1" t="n">
        <v>46131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23410-2024</t>
        </is>
      </c>
      <c r="B230" s="1" t="n">
        <v>45453</v>
      </c>
      <c r="C230" s="1" t="n">
        <v>46131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25969-2025</t>
        </is>
      </c>
      <c r="B231" s="1" t="n">
        <v>45804.62568287037</v>
      </c>
      <c r="C231" s="1" t="n">
        <v>46131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25675-2025</t>
        </is>
      </c>
      <c r="B232" s="1" t="n">
        <v>45803.63481481482</v>
      </c>
      <c r="C232" s="1" t="n">
        <v>46131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25677-2025</t>
        </is>
      </c>
      <c r="B233" s="1" t="n">
        <v>45803.6384375</v>
      </c>
      <c r="C233" s="1" t="n">
        <v>46131</v>
      </c>
      <c r="D233" t="inlineStr">
        <is>
          <t>UPPSALA LÄN</t>
        </is>
      </c>
      <c r="E233" t="inlineStr">
        <is>
          <t>HEBY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64899-2021</t>
        </is>
      </c>
      <c r="B234" s="1" t="n">
        <v>44512</v>
      </c>
      <c r="C234" s="1" t="n">
        <v>46131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53186-2025</t>
        </is>
      </c>
      <c r="B235" s="1" t="n">
        <v>45958.55548611111</v>
      </c>
      <c r="C235" s="1" t="n">
        <v>46131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7497-2025</t>
        </is>
      </c>
      <c r="B236" s="1" t="n">
        <v>45705</v>
      </c>
      <c r="C236" s="1" t="n">
        <v>46131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60722-2022</t>
        </is>
      </c>
      <c r="B237" s="1" t="n">
        <v>44913</v>
      </c>
      <c r="C237" s="1" t="n">
        <v>46131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26100-2025</t>
        </is>
      </c>
      <c r="B238" s="1" t="n">
        <v>45805.35634259259</v>
      </c>
      <c r="C238" s="1" t="n">
        <v>46131</v>
      </c>
      <c r="D238" t="inlineStr">
        <is>
          <t>UPPSALA LÄN</t>
        </is>
      </c>
      <c r="E238" t="inlineStr">
        <is>
          <t>HEBY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23065-2023</t>
        </is>
      </c>
      <c r="B239" s="1" t="n">
        <v>45075</v>
      </c>
      <c r="C239" s="1" t="n">
        <v>46131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26099-2025</t>
        </is>
      </c>
      <c r="B240" s="1" t="n">
        <v>45805.35449074074</v>
      </c>
      <c r="C240" s="1" t="n">
        <v>46131</v>
      </c>
      <c r="D240" t="inlineStr">
        <is>
          <t>UPPSALA LÄN</t>
        </is>
      </c>
      <c r="E240" t="inlineStr">
        <is>
          <t>HEBY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27842-2025</t>
        </is>
      </c>
      <c r="B241" s="1" t="n">
        <v>45817.38511574074</v>
      </c>
      <c r="C241" s="1" t="n">
        <v>46131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26849-2025</t>
        </is>
      </c>
      <c r="B242" s="1" t="n">
        <v>45810.66966435185</v>
      </c>
      <c r="C242" s="1" t="n">
        <v>46131</v>
      </c>
      <c r="D242" t="inlineStr">
        <is>
          <t>UPPSALA LÄN</t>
        </is>
      </c>
      <c r="E242" t="inlineStr">
        <is>
          <t>HEBY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13676-2024</t>
        </is>
      </c>
      <c r="B243" s="1" t="n">
        <v>45390.54846064815</v>
      </c>
      <c r="C243" s="1" t="n">
        <v>46131</v>
      </c>
      <c r="D243" t="inlineStr">
        <is>
          <t>UPPSALA LÄN</t>
        </is>
      </c>
      <c r="E243" t="inlineStr">
        <is>
          <t>HEBY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10241-2025</t>
        </is>
      </c>
      <c r="B244" s="1" t="n">
        <v>45720.3462037037</v>
      </c>
      <c r="C244" s="1" t="n">
        <v>46131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14884-2024</t>
        </is>
      </c>
      <c r="B245" s="1" t="n">
        <v>45398.54893518519</v>
      </c>
      <c r="C245" s="1" t="n">
        <v>46131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46131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46131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3641-2022</t>
        </is>
      </c>
      <c r="B248" s="1" t="n">
        <v>44586.45454861111</v>
      </c>
      <c r="C248" s="1" t="n">
        <v>46131</v>
      </c>
      <c r="D248" t="inlineStr">
        <is>
          <t>UPPSALA LÄN</t>
        </is>
      </c>
      <c r="E248" t="inlineStr">
        <is>
          <t>HEBY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9758-2023</t>
        </is>
      </c>
      <c r="B249" s="1" t="n">
        <v>44984.56869212963</v>
      </c>
      <c r="C249" s="1" t="n">
        <v>46131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46131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25525-2023</t>
        </is>
      </c>
      <c r="B251" s="1" t="n">
        <v>45089</v>
      </c>
      <c r="C251" s="1" t="n">
        <v>46131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26830-2025</t>
        </is>
      </c>
      <c r="B252" s="1" t="n">
        <v>45810.65658564815</v>
      </c>
      <c r="C252" s="1" t="n">
        <v>46131</v>
      </c>
      <c r="D252" t="inlineStr">
        <is>
          <t>UPPSALA LÄN</t>
        </is>
      </c>
      <c r="E252" t="inlineStr">
        <is>
          <t>HEBY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53588-2025</t>
        </is>
      </c>
      <c r="B253" s="1" t="n">
        <v>45960.43714120371</v>
      </c>
      <c r="C253" s="1" t="n">
        <v>46131</v>
      </c>
      <c r="D253" t="inlineStr">
        <is>
          <t>UPPSALA LÄN</t>
        </is>
      </c>
      <c r="E253" t="inlineStr">
        <is>
          <t>HEBY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43855-2025</t>
        </is>
      </c>
      <c r="B254" s="1" t="n">
        <v>45912.64322916666</v>
      </c>
      <c r="C254" s="1" t="n">
        <v>46131</v>
      </c>
      <c r="D254" t="inlineStr">
        <is>
          <t>UPPSALA LÄN</t>
        </is>
      </c>
      <c r="E254" t="inlineStr">
        <is>
          <t>HEBY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56795-2024</t>
        </is>
      </c>
      <c r="B255" s="1" t="n">
        <v>45628.46144675926</v>
      </c>
      <c r="C255" s="1" t="n">
        <v>46131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8199-2025</t>
        </is>
      </c>
      <c r="B256" s="1" t="n">
        <v>45708</v>
      </c>
      <c r="C256" s="1" t="n">
        <v>46131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49536-2024</t>
        </is>
      </c>
      <c r="B257" s="1" t="n">
        <v>45596</v>
      </c>
      <c r="C257" s="1" t="n">
        <v>46131</v>
      </c>
      <c r="D257" t="inlineStr">
        <is>
          <t>UPPSALA LÄN</t>
        </is>
      </c>
      <c r="E257" t="inlineStr">
        <is>
          <t>HEBY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42859-2024</t>
        </is>
      </c>
      <c r="B258" s="1" t="n">
        <v>45566.65292824074</v>
      </c>
      <c r="C258" s="1" t="n">
        <v>46131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26797-2025</t>
        </is>
      </c>
      <c r="B259" s="1" t="n">
        <v>45810.60292824074</v>
      </c>
      <c r="C259" s="1" t="n">
        <v>46131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54212-2025</t>
        </is>
      </c>
      <c r="B260" s="1" t="n">
        <v>45964.59248842593</v>
      </c>
      <c r="C260" s="1" t="n">
        <v>46131</v>
      </c>
      <c r="D260" t="inlineStr">
        <is>
          <t>UPPSALA LÄN</t>
        </is>
      </c>
      <c r="E260" t="inlineStr">
        <is>
          <t>HEBY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59015-2022</t>
        </is>
      </c>
      <c r="B261" s="1" t="n">
        <v>44903</v>
      </c>
      <c r="C261" s="1" t="n">
        <v>46131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29536-2023</t>
        </is>
      </c>
      <c r="B262" s="1" t="n">
        <v>45106.63622685185</v>
      </c>
      <c r="C262" s="1" t="n">
        <v>46131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206-2024</t>
        </is>
      </c>
      <c r="B263" s="1" t="n">
        <v>45294.65653935185</v>
      </c>
      <c r="C263" s="1" t="n">
        <v>46131</v>
      </c>
      <c r="D263" t="inlineStr">
        <is>
          <t>UPPSALA LÄN</t>
        </is>
      </c>
      <c r="E263" t="inlineStr">
        <is>
          <t>HEBY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26421-2023</t>
        </is>
      </c>
      <c r="B264" s="1" t="n">
        <v>45092</v>
      </c>
      <c r="C264" s="1" t="n">
        <v>46131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26449-2023</t>
        </is>
      </c>
      <c r="B265" s="1" t="n">
        <v>45092</v>
      </c>
      <c r="C265" s="1" t="n">
        <v>46131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54318-2025</t>
        </is>
      </c>
      <c r="B266" s="1" t="n">
        <v>45965.33782407407</v>
      </c>
      <c r="C266" s="1" t="n">
        <v>46131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52254-2024</t>
        </is>
      </c>
      <c r="B267" s="1" t="n">
        <v>45608</v>
      </c>
      <c r="C267" s="1" t="n">
        <v>46131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54653-2025</t>
        </is>
      </c>
      <c r="B268" s="1" t="n">
        <v>45966.38270833333</v>
      </c>
      <c r="C268" s="1" t="n">
        <v>46131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54635-2025</t>
        </is>
      </c>
      <c r="B269" s="1" t="n">
        <v>45966.35333333333</v>
      </c>
      <c r="C269" s="1" t="n">
        <v>46131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54822-2025</t>
        </is>
      </c>
      <c r="B270" s="1" t="n">
        <v>45966.65951388889</v>
      </c>
      <c r="C270" s="1" t="n">
        <v>46131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1752-2022</t>
        </is>
      </c>
      <c r="B271" s="1" t="n">
        <v>44574</v>
      </c>
      <c r="C271" s="1" t="n">
        <v>46131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55250-2025</t>
        </is>
      </c>
      <c r="B272" s="1" t="n">
        <v>45968.6285300926</v>
      </c>
      <c r="C272" s="1" t="n">
        <v>46131</v>
      </c>
      <c r="D272" t="inlineStr">
        <is>
          <t>UPPSALA LÄN</t>
        </is>
      </c>
      <c r="E272" t="inlineStr">
        <is>
          <t>HEBY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55018-2025</t>
        </is>
      </c>
      <c r="B273" s="1" t="n">
        <v>45967.62387731481</v>
      </c>
      <c r="C273" s="1" t="n">
        <v>46131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55019-2025</t>
        </is>
      </c>
      <c r="B274" s="1" t="n">
        <v>45967.62597222222</v>
      </c>
      <c r="C274" s="1" t="n">
        <v>46131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55021-2025</t>
        </is>
      </c>
      <c r="B275" s="1" t="n">
        <v>45967.628125</v>
      </c>
      <c r="C275" s="1" t="n">
        <v>46131</v>
      </c>
      <c r="D275" t="inlineStr">
        <is>
          <t>UPPSALA LÄN</t>
        </is>
      </c>
      <c r="E275" t="inlineStr">
        <is>
          <t>HEBY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33394-2024</t>
        </is>
      </c>
      <c r="B276" s="1" t="n">
        <v>45519</v>
      </c>
      <c r="C276" s="1" t="n">
        <v>46131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45440-2025</t>
        </is>
      </c>
      <c r="B277" s="1" t="n">
        <v>45922.47185185185</v>
      </c>
      <c r="C277" s="1" t="n">
        <v>46131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55380-2025</t>
        </is>
      </c>
      <c r="B278" s="1" t="n">
        <v>45971.42809027778</v>
      </c>
      <c r="C278" s="1" t="n">
        <v>46131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28288-2025</t>
        </is>
      </c>
      <c r="B279" s="1" t="n">
        <v>45818.59078703704</v>
      </c>
      <c r="C279" s="1" t="n">
        <v>46131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28296-2025</t>
        </is>
      </c>
      <c r="B280" s="1" t="n">
        <v>45818.59925925926</v>
      </c>
      <c r="C280" s="1" t="n">
        <v>46131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28558-2025</t>
        </is>
      </c>
      <c r="B281" s="1" t="n">
        <v>45818</v>
      </c>
      <c r="C281" s="1" t="n">
        <v>46131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45382-2025</t>
        </is>
      </c>
      <c r="B282" s="1" t="n">
        <v>45922.40297453704</v>
      </c>
      <c r="C282" s="1" t="n">
        <v>46131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46131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45417-2025</t>
        </is>
      </c>
      <c r="B284" s="1" t="n">
        <v>45922.44664351852</v>
      </c>
      <c r="C284" s="1" t="n">
        <v>46131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28561-2025</t>
        </is>
      </c>
      <c r="B285" s="1" t="n">
        <v>45818</v>
      </c>
      <c r="C285" s="1" t="n">
        <v>46131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55488-2025</t>
        </is>
      </c>
      <c r="B286" s="1" t="n">
        <v>45971.57480324074</v>
      </c>
      <c r="C286" s="1" t="n">
        <v>46131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55496-2025</t>
        </is>
      </c>
      <c r="B287" s="1" t="n">
        <v>45971.58236111111</v>
      </c>
      <c r="C287" s="1" t="n">
        <v>46131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2860-2023</t>
        </is>
      </c>
      <c r="B288" s="1" t="n">
        <v>44945.40924768519</v>
      </c>
      <c r="C288" s="1" t="n">
        <v>46131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55763-2025</t>
        </is>
      </c>
      <c r="B289" s="1" t="n">
        <v>45972.60763888889</v>
      </c>
      <c r="C289" s="1" t="n">
        <v>46131</v>
      </c>
      <c r="D289" t="inlineStr">
        <is>
          <t>UPPSALA LÄN</t>
        </is>
      </c>
      <c r="E289" t="inlineStr">
        <is>
          <t>HEBY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52292-2022</t>
        </is>
      </c>
      <c r="B290" s="1" t="n">
        <v>44873.67304398148</v>
      </c>
      <c r="C290" s="1" t="n">
        <v>46131</v>
      </c>
      <c r="D290" t="inlineStr">
        <is>
          <t>UPPSALA LÄN</t>
        </is>
      </c>
      <c r="E290" t="inlineStr">
        <is>
          <t>HEBY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43089-2024</t>
        </is>
      </c>
      <c r="B291" s="1" t="n">
        <v>45567</v>
      </c>
      <c r="C291" s="1" t="n">
        <v>46131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28812-2025</t>
        </is>
      </c>
      <c r="B292" s="1" t="n">
        <v>45820</v>
      </c>
      <c r="C292" s="1" t="n">
        <v>46131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46530-2025</t>
        </is>
      </c>
      <c r="B293" s="1" t="n">
        <v>45926.33668981482</v>
      </c>
      <c r="C293" s="1" t="n">
        <v>46131</v>
      </c>
      <c r="D293" t="inlineStr">
        <is>
          <t>UPPSALA LÄN</t>
        </is>
      </c>
      <c r="E293" t="inlineStr">
        <is>
          <t>HEBY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46407-2025</t>
        </is>
      </c>
      <c r="B294" s="1" t="n">
        <v>45925</v>
      </c>
      <c r="C294" s="1" t="n">
        <v>46131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385-2025</t>
        </is>
      </c>
      <c r="B295" s="1" t="n">
        <v>45662.65241898148</v>
      </c>
      <c r="C295" s="1" t="n">
        <v>46131</v>
      </c>
      <c r="D295" t="inlineStr">
        <is>
          <t>UPPSALA LÄN</t>
        </is>
      </c>
      <c r="E295" t="inlineStr">
        <is>
          <t>HEBY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46131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55574-2025</t>
        </is>
      </c>
      <c r="B297" s="1" t="n">
        <v>45971.66030092593</v>
      </c>
      <c r="C297" s="1" t="n">
        <v>46131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5340-2024</t>
        </is>
      </c>
      <c r="B298" s="1" t="n">
        <v>45331.44074074074</v>
      </c>
      <c r="C298" s="1" t="n">
        <v>46131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21143-2023</t>
        </is>
      </c>
      <c r="B299" s="1" t="n">
        <v>45062</v>
      </c>
      <c r="C299" s="1" t="n">
        <v>46131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19764-2023</t>
        </is>
      </c>
      <c r="B300" s="1" t="n">
        <v>45050</v>
      </c>
      <c r="C300" s="1" t="n">
        <v>46131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2553-2023</t>
        </is>
      </c>
      <c r="B301" s="1" t="n">
        <v>44943.67108796296</v>
      </c>
      <c r="C301" s="1" t="n">
        <v>46131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2617-2023</t>
        </is>
      </c>
      <c r="B302" s="1" t="n">
        <v>44944</v>
      </c>
      <c r="C302" s="1" t="n">
        <v>46131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2641-2023</t>
        </is>
      </c>
      <c r="B303" s="1" t="n">
        <v>44944.41800925926</v>
      </c>
      <c r="C303" s="1" t="n">
        <v>46131</v>
      </c>
      <c r="D303" t="inlineStr">
        <is>
          <t>UPPSALA LÄN</t>
        </is>
      </c>
      <c r="E303" t="inlineStr">
        <is>
          <t>HEBY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46131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55810-2025</t>
        </is>
      </c>
      <c r="B305" s="1" t="n">
        <v>45972.67861111111</v>
      </c>
      <c r="C305" s="1" t="n">
        <v>46131</v>
      </c>
      <c r="D305" t="inlineStr">
        <is>
          <t>UPPSALA LÄN</t>
        </is>
      </c>
      <c r="E305" t="inlineStr">
        <is>
          <t>HEBY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55571-2025</t>
        </is>
      </c>
      <c r="B306" s="1" t="n">
        <v>45971.65747685185</v>
      </c>
      <c r="C306" s="1" t="n">
        <v>46131</v>
      </c>
      <c r="D306" t="inlineStr">
        <is>
          <t>UPPSALA LÄN</t>
        </is>
      </c>
      <c r="E306" t="inlineStr">
        <is>
          <t>HEBY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47072-2024</t>
        </is>
      </c>
      <c r="B307" s="1" t="n">
        <v>45586</v>
      </c>
      <c r="C307" s="1" t="n">
        <v>46131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29739-2025</t>
        </is>
      </c>
      <c r="B308" s="1" t="n">
        <v>45825.59010416667</v>
      </c>
      <c r="C308" s="1" t="n">
        <v>46131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47491-2025</t>
        </is>
      </c>
      <c r="B309" s="1" t="n">
        <v>45930.70885416667</v>
      </c>
      <c r="C309" s="1" t="n">
        <v>46131</v>
      </c>
      <c r="D309" t="inlineStr">
        <is>
          <t>UPPSALA LÄN</t>
        </is>
      </c>
      <c r="E309" t="inlineStr">
        <is>
          <t>HEBY</t>
        </is>
      </c>
      <c r="F309" t="inlineStr">
        <is>
          <t>Allmännings- och besparingsskogar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47410-2025</t>
        </is>
      </c>
      <c r="B310" s="1" t="n">
        <v>45930.61623842592</v>
      </c>
      <c r="C310" s="1" t="n">
        <v>46131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29968-2025</t>
        </is>
      </c>
      <c r="B311" s="1" t="n">
        <v>45826.48962962963</v>
      </c>
      <c r="C311" s="1" t="n">
        <v>46131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46863-2025</t>
        </is>
      </c>
      <c r="B312" s="1" t="n">
        <v>45929</v>
      </c>
      <c r="C312" s="1" t="n">
        <v>46131</v>
      </c>
      <c r="D312" t="inlineStr">
        <is>
          <t>UPPSALA LÄN</t>
        </is>
      </c>
      <c r="E312" t="inlineStr">
        <is>
          <t>HEBY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8046-2023</t>
        </is>
      </c>
      <c r="B313" s="1" t="n">
        <v>44974</v>
      </c>
      <c r="C313" s="1" t="n">
        <v>46131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29671-2025</t>
        </is>
      </c>
      <c r="B314" s="1" t="n">
        <v>45825.49863425926</v>
      </c>
      <c r="C314" s="1" t="n">
        <v>46131</v>
      </c>
      <c r="D314" t="inlineStr">
        <is>
          <t>UPPSALA LÄN</t>
        </is>
      </c>
      <c r="E314" t="inlineStr">
        <is>
          <t>HEBY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29730-2025</t>
        </is>
      </c>
      <c r="B315" s="1" t="n">
        <v>45825.58105324074</v>
      </c>
      <c r="C315" s="1" t="n">
        <v>46131</v>
      </c>
      <c r="D315" t="inlineStr">
        <is>
          <t>UPPSALA LÄN</t>
        </is>
      </c>
      <c r="E315" t="inlineStr">
        <is>
          <t>HEBY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47846-2025</t>
        </is>
      </c>
      <c r="B316" s="1" t="n">
        <v>45932.38228009259</v>
      </c>
      <c r="C316" s="1" t="n">
        <v>46131</v>
      </c>
      <c r="D316" t="inlineStr">
        <is>
          <t>UPPSALA LÄN</t>
        </is>
      </c>
      <c r="E316" t="inlineStr">
        <is>
          <t>HEBY</t>
        </is>
      </c>
      <c r="F316" t="inlineStr">
        <is>
          <t>Allmännings- och besparingsskogar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2541-2023</t>
        </is>
      </c>
      <c r="B317" s="1" t="n">
        <v>44943.64856481482</v>
      </c>
      <c r="C317" s="1" t="n">
        <v>46131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15787-2025</t>
        </is>
      </c>
      <c r="B318" s="1" t="n">
        <v>45748.62291666667</v>
      </c>
      <c r="C318" s="1" t="n">
        <v>46131</v>
      </c>
      <c r="D318" t="inlineStr">
        <is>
          <t>UPPSALA LÄN</t>
        </is>
      </c>
      <c r="E318" t="inlineStr">
        <is>
          <t>HEBY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30418-2025</t>
        </is>
      </c>
      <c r="B319" s="1" t="n">
        <v>45827.60844907408</v>
      </c>
      <c r="C319" s="1" t="n">
        <v>46131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30440-2025</t>
        </is>
      </c>
      <c r="B320" s="1" t="n">
        <v>45827.64317129629</v>
      </c>
      <c r="C320" s="1" t="n">
        <v>46131</v>
      </c>
      <c r="D320" t="inlineStr">
        <is>
          <t>UPPSALA LÄN</t>
        </is>
      </c>
      <c r="E320" t="inlineStr">
        <is>
          <t>HEBY</t>
        </is>
      </c>
      <c r="F320" t="inlineStr">
        <is>
          <t>Övriga Aktiebolag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46131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55665-2025</t>
        </is>
      </c>
      <c r="B322" s="1" t="n">
        <v>45972.39640046296</v>
      </c>
      <c r="C322" s="1" t="n">
        <v>46131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46131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47861-2025</t>
        </is>
      </c>
      <c r="B324" s="1" t="n">
        <v>45932.42315972222</v>
      </c>
      <c r="C324" s="1" t="n">
        <v>46131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31058-2025</t>
        </is>
      </c>
      <c r="B325" s="1" t="n">
        <v>45832.57018518518</v>
      </c>
      <c r="C325" s="1" t="n">
        <v>46131</v>
      </c>
      <c r="D325" t="inlineStr">
        <is>
          <t>UPPSALA LÄN</t>
        </is>
      </c>
      <c r="E325" t="inlineStr">
        <is>
          <t>HEBY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10069-2024</t>
        </is>
      </c>
      <c r="B326" s="1" t="n">
        <v>45364</v>
      </c>
      <c r="C326" s="1" t="n">
        <v>46131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10072-2024</t>
        </is>
      </c>
      <c r="B327" s="1" t="n">
        <v>45364</v>
      </c>
      <c r="C327" s="1" t="n">
        <v>46131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33103-2025</t>
        </is>
      </c>
      <c r="B328" s="1" t="n">
        <v>45832</v>
      </c>
      <c r="C328" s="1" t="n">
        <v>46131</v>
      </c>
      <c r="D328" t="inlineStr">
        <is>
          <t>UPPSALA LÄN</t>
        </is>
      </c>
      <c r="E328" t="inlineStr">
        <is>
          <t>HEBY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48689-2025</t>
        </is>
      </c>
      <c r="B329" s="1" t="n">
        <v>45936.60976851852</v>
      </c>
      <c r="C329" s="1" t="n">
        <v>46131</v>
      </c>
      <c r="D329" t="inlineStr">
        <is>
          <t>UPPSALA LÄN</t>
        </is>
      </c>
      <c r="E329" t="inlineStr">
        <is>
          <t>HEBY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47508-2025</t>
        </is>
      </c>
      <c r="B330" s="1" t="n">
        <v>45930.87245370371</v>
      </c>
      <c r="C330" s="1" t="n">
        <v>46131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33092-2025</t>
        </is>
      </c>
      <c r="B331" s="1" t="n">
        <v>45832</v>
      </c>
      <c r="C331" s="1" t="n">
        <v>46131</v>
      </c>
      <c r="D331" t="inlineStr">
        <is>
          <t>UPPSALA LÄN</t>
        </is>
      </c>
      <c r="E331" t="inlineStr">
        <is>
          <t>HEBY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46131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47506-2025</t>
        </is>
      </c>
      <c r="B333" s="1" t="n">
        <v>45930.86828703704</v>
      </c>
      <c r="C333" s="1" t="n">
        <v>46131</v>
      </c>
      <c r="D333" t="inlineStr">
        <is>
          <t>UPPSALA LÄN</t>
        </is>
      </c>
      <c r="E333" t="inlineStr">
        <is>
          <t>HEBY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56884-2022</t>
        </is>
      </c>
      <c r="B334" s="1" t="n">
        <v>44888</v>
      </c>
      <c r="C334" s="1" t="n">
        <v>46131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19132-2025</t>
        </is>
      </c>
      <c r="B335" s="1" t="n">
        <v>45764</v>
      </c>
      <c r="C335" s="1" t="n">
        <v>46131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13603-2023</t>
        </is>
      </c>
      <c r="B336" s="1" t="n">
        <v>45006</v>
      </c>
      <c r="C336" s="1" t="n">
        <v>46131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31330-2025</t>
        </is>
      </c>
      <c r="B337" s="1" t="n">
        <v>45833.41546296296</v>
      </c>
      <c r="C337" s="1" t="n">
        <v>46131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21293-2023</t>
        </is>
      </c>
      <c r="B338" s="1" t="n">
        <v>45058</v>
      </c>
      <c r="C338" s="1" t="n">
        <v>46131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21000-2022</t>
        </is>
      </c>
      <c r="B339" s="1" t="n">
        <v>44701</v>
      </c>
      <c r="C339" s="1" t="n">
        <v>46131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19132-2025</t>
        </is>
      </c>
      <c r="B340" s="1" t="n">
        <v>45764</v>
      </c>
      <c r="C340" s="1" t="n">
        <v>46131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43.4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31795-2025</t>
        </is>
      </c>
      <c r="B341" s="1" t="n">
        <v>45834.54577546296</v>
      </c>
      <c r="C341" s="1" t="n">
        <v>46131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31813-2025</t>
        </is>
      </c>
      <c r="B342" s="1" t="n">
        <v>45834.56706018518</v>
      </c>
      <c r="C342" s="1" t="n">
        <v>46131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32435-2025</t>
        </is>
      </c>
      <c r="B343" s="1" t="n">
        <v>45838</v>
      </c>
      <c r="C343" s="1" t="n">
        <v>46131</v>
      </c>
      <c r="D343" t="inlineStr">
        <is>
          <t>UPPSALA LÄN</t>
        </is>
      </c>
      <c r="E343" t="inlineStr">
        <is>
          <t>HEBY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6523-2022</t>
        </is>
      </c>
      <c r="B344" s="1" t="n">
        <v>44601</v>
      </c>
      <c r="C344" s="1" t="n">
        <v>46131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32432-2025</t>
        </is>
      </c>
      <c r="B345" s="1" t="n">
        <v>45838.37053240741</v>
      </c>
      <c r="C345" s="1" t="n">
        <v>46131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32545-2025</t>
        </is>
      </c>
      <c r="B346" s="1" t="n">
        <v>45838</v>
      </c>
      <c r="C346" s="1" t="n">
        <v>46131</v>
      </c>
      <c r="D346" t="inlineStr">
        <is>
          <t>UPPSALA LÄN</t>
        </is>
      </c>
      <c r="E346" t="inlineStr">
        <is>
          <t>HEBY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18278-2024</t>
        </is>
      </c>
      <c r="B347" s="1" t="n">
        <v>45422.31803240741</v>
      </c>
      <c r="C347" s="1" t="n">
        <v>46131</v>
      </c>
      <c r="D347" t="inlineStr">
        <is>
          <t>UPPSALA LÄN</t>
        </is>
      </c>
      <c r="E347" t="inlineStr">
        <is>
          <t>HEBY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32547-2025</t>
        </is>
      </c>
      <c r="B348" s="1" t="n">
        <v>45838.53759259259</v>
      </c>
      <c r="C348" s="1" t="n">
        <v>46131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50206-2025</t>
        </is>
      </c>
      <c r="B349" s="1" t="n">
        <v>45943.66027777778</v>
      </c>
      <c r="C349" s="1" t="n">
        <v>46131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19990-2022</t>
        </is>
      </c>
      <c r="B350" s="1" t="n">
        <v>44697</v>
      </c>
      <c r="C350" s="1" t="n">
        <v>46131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33025-2025</t>
        </is>
      </c>
      <c r="B351" s="1" t="n">
        <v>45840</v>
      </c>
      <c r="C351" s="1" t="n">
        <v>46131</v>
      </c>
      <c r="D351" t="inlineStr">
        <is>
          <t>UPPSALA LÄN</t>
        </is>
      </c>
      <c r="E351" t="inlineStr">
        <is>
          <t>HEBY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50077-2025</t>
        </is>
      </c>
      <c r="B352" s="1" t="n">
        <v>45943.46789351852</v>
      </c>
      <c r="C352" s="1" t="n">
        <v>46131</v>
      </c>
      <c r="D352" t="inlineStr">
        <is>
          <t>UPPSALA LÄN</t>
        </is>
      </c>
      <c r="E352" t="inlineStr">
        <is>
          <t>HEBY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50255-2025</t>
        </is>
      </c>
      <c r="B353" s="1" t="n">
        <v>45944.34373842592</v>
      </c>
      <c r="C353" s="1" t="n">
        <v>46131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59486-2021</t>
        </is>
      </c>
      <c r="B354" s="1" t="n">
        <v>44491</v>
      </c>
      <c r="C354" s="1" t="n">
        <v>46131</v>
      </c>
      <c r="D354" t="inlineStr">
        <is>
          <t>UPPSALA LÄN</t>
        </is>
      </c>
      <c r="E354" t="inlineStr">
        <is>
          <t>HEBY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26559-2023</t>
        </is>
      </c>
      <c r="B355" s="1" t="n">
        <v>45092.61706018518</v>
      </c>
      <c r="C355" s="1" t="n">
        <v>46131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30891-2023</t>
        </is>
      </c>
      <c r="B356" s="1" t="n">
        <v>45113</v>
      </c>
      <c r="C356" s="1" t="n">
        <v>46131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50657-2025</t>
        </is>
      </c>
      <c r="B357" s="1" t="n">
        <v>45945</v>
      </c>
      <c r="C357" s="1" t="n">
        <v>46131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46131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4487-2023</t>
        </is>
      </c>
      <c r="B359" s="1" t="n">
        <v>44956</v>
      </c>
      <c r="C359" s="1" t="n">
        <v>46131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55644-2024</t>
        </is>
      </c>
      <c r="B360" s="1" t="n">
        <v>45622.6241087963</v>
      </c>
      <c r="C360" s="1" t="n">
        <v>46131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5570-2023</t>
        </is>
      </c>
      <c r="B361" s="1" t="n">
        <v>44960.48622685186</v>
      </c>
      <c r="C361" s="1" t="n">
        <v>46131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59382-2024</t>
        </is>
      </c>
      <c r="B362" s="1" t="n">
        <v>45638.35512731481</v>
      </c>
      <c r="C362" s="1" t="n">
        <v>46131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34072-2025</t>
        </is>
      </c>
      <c r="B363" s="1" t="n">
        <v>45845</v>
      </c>
      <c r="C363" s="1" t="n">
        <v>46131</v>
      </c>
      <c r="D363" t="inlineStr">
        <is>
          <t>UPPSALA LÄN</t>
        </is>
      </c>
      <c r="E363" t="inlineStr">
        <is>
          <t>HEBY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51180-2025</t>
        </is>
      </c>
      <c r="B364" s="1" t="n">
        <v>45947.61815972222</v>
      </c>
      <c r="C364" s="1" t="n">
        <v>46131</v>
      </c>
      <c r="D364" t="inlineStr">
        <is>
          <t>UPPSALA LÄN</t>
        </is>
      </c>
      <c r="E364" t="inlineStr">
        <is>
          <t>HEBY</t>
        </is>
      </c>
      <c r="F364" t="inlineStr">
        <is>
          <t>Allmännings- och besparingsskogar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29747-2025</t>
        </is>
      </c>
      <c r="B365" s="1" t="n">
        <v>45825</v>
      </c>
      <c r="C365" s="1" t="n">
        <v>46131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34016-2025</t>
        </is>
      </c>
      <c r="B366" s="1" t="n">
        <v>45845</v>
      </c>
      <c r="C366" s="1" t="n">
        <v>46131</v>
      </c>
      <c r="D366" t="inlineStr">
        <is>
          <t>UPPSALA LÄN</t>
        </is>
      </c>
      <c r="E366" t="inlineStr">
        <is>
          <t>HEBY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3371-2024</t>
        </is>
      </c>
      <c r="B367" s="1" t="n">
        <v>45317</v>
      </c>
      <c r="C367" s="1" t="n">
        <v>46131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3374-2024</t>
        </is>
      </c>
      <c r="B368" s="1" t="n">
        <v>45317</v>
      </c>
      <c r="C368" s="1" t="n">
        <v>46131</v>
      </c>
      <c r="D368" t="inlineStr">
        <is>
          <t>UPPSALA LÄN</t>
        </is>
      </c>
      <c r="E368" t="inlineStr">
        <is>
          <t>HEBY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9675-2023</t>
        </is>
      </c>
      <c r="B369" s="1" t="n">
        <v>44984.43454861111</v>
      </c>
      <c r="C369" s="1" t="n">
        <v>46131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46131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34559-2025</t>
        </is>
      </c>
      <c r="B371" s="1" t="n">
        <v>45847.574375</v>
      </c>
      <c r="C371" s="1" t="n">
        <v>46131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34596-2025</t>
        </is>
      </c>
      <c r="B372" s="1" t="n">
        <v>45847.64015046296</v>
      </c>
      <c r="C372" s="1" t="n">
        <v>46131</v>
      </c>
      <c r="D372" t="inlineStr">
        <is>
          <t>UPPSALA LÄN</t>
        </is>
      </c>
      <c r="E372" t="inlineStr">
        <is>
          <t>HEBY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35265-2025</t>
        </is>
      </c>
      <c r="B373" s="1" t="n">
        <v>45852</v>
      </c>
      <c r="C373" s="1" t="n">
        <v>46131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191-2024</t>
        </is>
      </c>
      <c r="B374" s="1" t="n">
        <v>45294</v>
      </c>
      <c r="C374" s="1" t="n">
        <v>46131</v>
      </c>
      <c r="D374" t="inlineStr">
        <is>
          <t>UPPSALA LÄN</t>
        </is>
      </c>
      <c r="E374" t="inlineStr">
        <is>
          <t>HEBY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35106-2025</t>
        </is>
      </c>
      <c r="B375" s="1" t="n">
        <v>45852</v>
      </c>
      <c r="C375" s="1" t="n">
        <v>46131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34886-2025</t>
        </is>
      </c>
      <c r="B376" s="1" t="n">
        <v>45849.47375</v>
      </c>
      <c r="C376" s="1" t="n">
        <v>46131</v>
      </c>
      <c r="D376" t="inlineStr">
        <is>
          <t>UPPSALA LÄN</t>
        </is>
      </c>
      <c r="E376" t="inlineStr">
        <is>
          <t>HEBY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46131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35296-2025</t>
        </is>
      </c>
      <c r="B378" s="1" t="n">
        <v>45854.40615740741</v>
      </c>
      <c r="C378" s="1" t="n">
        <v>46131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2491-2025</t>
        </is>
      </c>
      <c r="B379" s="1" t="n">
        <v>45674</v>
      </c>
      <c r="C379" s="1" t="n">
        <v>46131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35257-2025</t>
        </is>
      </c>
      <c r="B380" s="1" t="n">
        <v>45853.7616087963</v>
      </c>
      <c r="C380" s="1" t="n">
        <v>46131</v>
      </c>
      <c r="D380" t="inlineStr">
        <is>
          <t>UPPSALA LÄN</t>
        </is>
      </c>
      <c r="E380" t="inlineStr">
        <is>
          <t>HEBY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43957-2021</t>
        </is>
      </c>
      <c r="B381" s="1" t="n">
        <v>44434.43853009259</v>
      </c>
      <c r="C381" s="1" t="n">
        <v>46131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20230-2021</t>
        </is>
      </c>
      <c r="B382" s="1" t="n">
        <v>44314</v>
      </c>
      <c r="C382" s="1" t="n">
        <v>46131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57403-2025</t>
        </is>
      </c>
      <c r="B383" s="1" t="n">
        <v>45980.43474537037</v>
      </c>
      <c r="C383" s="1" t="n">
        <v>46131</v>
      </c>
      <c r="D383" t="inlineStr">
        <is>
          <t>UPPSALA LÄN</t>
        </is>
      </c>
      <c r="E383" t="inlineStr">
        <is>
          <t>HEBY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35868-2022</t>
        </is>
      </c>
      <c r="B384" s="1" t="n">
        <v>44802.4437962963</v>
      </c>
      <c r="C384" s="1" t="n">
        <v>46131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57377-2025</t>
        </is>
      </c>
      <c r="B385" s="1" t="n">
        <v>45980.39798611111</v>
      </c>
      <c r="C385" s="1" t="n">
        <v>46131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57397-2025</t>
        </is>
      </c>
      <c r="B386" s="1" t="n">
        <v>45980.43013888889</v>
      </c>
      <c r="C386" s="1" t="n">
        <v>46131</v>
      </c>
      <c r="D386" t="inlineStr">
        <is>
          <t>UPPSALA LÄN</t>
        </is>
      </c>
      <c r="E386" t="inlineStr">
        <is>
          <t>HEBY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23836-2024</t>
        </is>
      </c>
      <c r="B387" s="1" t="n">
        <v>45455</v>
      </c>
      <c r="C387" s="1" t="n">
        <v>46131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16083-2025</t>
        </is>
      </c>
      <c r="B388" s="1" t="n">
        <v>45749.80582175926</v>
      </c>
      <c r="C388" s="1" t="n">
        <v>46131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36164-2025</t>
        </is>
      </c>
      <c r="B389" s="1" t="n">
        <v>45867.3707175926</v>
      </c>
      <c r="C389" s="1" t="n">
        <v>46131</v>
      </c>
      <c r="D389" t="inlineStr">
        <is>
          <t>UPPSALA LÄN</t>
        </is>
      </c>
      <c r="E389" t="inlineStr">
        <is>
          <t>HEBY</t>
        </is>
      </c>
      <c r="F389" t="inlineStr">
        <is>
          <t>Övriga Aktiebolag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43179-2021</t>
        </is>
      </c>
      <c r="B390" s="1" t="n">
        <v>44431</v>
      </c>
      <c r="C390" s="1" t="n">
        <v>46131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57704-2024</t>
        </is>
      </c>
      <c r="B391" s="1" t="n">
        <v>45630</v>
      </c>
      <c r="C391" s="1" t="n">
        <v>46131</v>
      </c>
      <c r="D391" t="inlineStr">
        <is>
          <t>UPPSALA LÄN</t>
        </is>
      </c>
      <c r="E391" t="inlineStr">
        <is>
          <t>HEBY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27836-2025</t>
        </is>
      </c>
      <c r="B392" s="1" t="n">
        <v>45817.37181712963</v>
      </c>
      <c r="C392" s="1" t="n">
        <v>46131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21302-2023</t>
        </is>
      </c>
      <c r="B393" s="1" t="n">
        <v>45058</v>
      </c>
      <c r="C393" s="1" t="n">
        <v>46131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6450-2025</t>
        </is>
      </c>
      <c r="B394" s="1" t="n">
        <v>45699.54886574074</v>
      </c>
      <c r="C394" s="1" t="n">
        <v>46131</v>
      </c>
      <c r="D394" t="inlineStr">
        <is>
          <t>UPPSALA LÄN</t>
        </is>
      </c>
      <c r="E394" t="inlineStr">
        <is>
          <t>HEBY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719-2025</t>
        </is>
      </c>
      <c r="B395" s="1" t="n">
        <v>45665.37409722222</v>
      </c>
      <c r="C395" s="1" t="n">
        <v>46131</v>
      </c>
      <c r="D395" t="inlineStr">
        <is>
          <t>UPPSALA LÄN</t>
        </is>
      </c>
      <c r="E395" t="inlineStr">
        <is>
          <t>HEBY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13535-2025</t>
        </is>
      </c>
      <c r="B396" s="1" t="n">
        <v>45736.51150462963</v>
      </c>
      <c r="C396" s="1" t="n">
        <v>46131</v>
      </c>
      <c r="D396" t="inlineStr">
        <is>
          <t>UPPSALA LÄN</t>
        </is>
      </c>
      <c r="E396" t="inlineStr">
        <is>
          <t>HEBY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57803-2025</t>
        </is>
      </c>
      <c r="B397" s="1" t="n">
        <v>45981.58480324074</v>
      </c>
      <c r="C397" s="1" t="n">
        <v>46131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16660-2023</t>
        </is>
      </c>
      <c r="B398" s="1" t="n">
        <v>45030.54038194445</v>
      </c>
      <c r="C398" s="1" t="n">
        <v>46131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1086-2025</t>
        </is>
      </c>
      <c r="B399" s="1" t="n">
        <v>45666</v>
      </c>
      <c r="C399" s="1" t="n">
        <v>46131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37782-2022</t>
        </is>
      </c>
      <c r="B400" s="1" t="n">
        <v>44810</v>
      </c>
      <c r="C400" s="1" t="n">
        <v>46131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30293-2021</t>
        </is>
      </c>
      <c r="B401" s="1" t="n">
        <v>44364.3353587963</v>
      </c>
      <c r="C401" s="1" t="n">
        <v>46131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9766-2023</t>
        </is>
      </c>
      <c r="B402" s="1" t="n">
        <v>44984.57643518518</v>
      </c>
      <c r="C402" s="1" t="n">
        <v>46131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46131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46131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57973-2025</t>
        </is>
      </c>
      <c r="B405" s="1" t="n">
        <v>45982.39260416666</v>
      </c>
      <c r="C405" s="1" t="n">
        <v>46131</v>
      </c>
      <c r="D405" t="inlineStr">
        <is>
          <t>UPPSALA LÄN</t>
        </is>
      </c>
      <c r="E405" t="inlineStr">
        <is>
          <t>HEBY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37316-2025</t>
        </is>
      </c>
      <c r="B406" s="1" t="n">
        <v>45876.61597222222</v>
      </c>
      <c r="C406" s="1" t="n">
        <v>46131</v>
      </c>
      <c r="D406" t="inlineStr">
        <is>
          <t>UPPSALA LÄN</t>
        </is>
      </c>
      <c r="E406" t="inlineStr">
        <is>
          <t>HEBY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33705-2023</t>
        </is>
      </c>
      <c r="B407" s="1" t="n">
        <v>45132.79101851852</v>
      </c>
      <c r="C407" s="1" t="n">
        <v>46131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33706-2023</t>
        </is>
      </c>
      <c r="B408" s="1" t="n">
        <v>45132.80835648148</v>
      </c>
      <c r="C408" s="1" t="n">
        <v>46131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57971-2025</t>
        </is>
      </c>
      <c r="B409" s="1" t="n">
        <v>45982.3860300926</v>
      </c>
      <c r="C409" s="1" t="n">
        <v>46131</v>
      </c>
      <c r="D409" t="inlineStr">
        <is>
          <t>UPPSALA LÄN</t>
        </is>
      </c>
      <c r="E409" t="inlineStr">
        <is>
          <t>HEBY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19683-2022</t>
        </is>
      </c>
      <c r="B410" s="1" t="n">
        <v>44694</v>
      </c>
      <c r="C410" s="1" t="n">
        <v>46131</v>
      </c>
      <c r="D410" t="inlineStr">
        <is>
          <t>UPPSALA LÄN</t>
        </is>
      </c>
      <c r="E410" t="inlineStr">
        <is>
          <t>HEBY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48165-2022</t>
        </is>
      </c>
      <c r="B411" s="1" t="n">
        <v>44858.36759259259</v>
      </c>
      <c r="C411" s="1" t="n">
        <v>46131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33707-2023</t>
        </is>
      </c>
      <c r="B412" s="1" t="n">
        <v>45132.82081018519</v>
      </c>
      <c r="C412" s="1" t="n">
        <v>46131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58192-2025</t>
        </is>
      </c>
      <c r="B413" s="1" t="n">
        <v>45983.78957175926</v>
      </c>
      <c r="C413" s="1" t="n">
        <v>46131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8182-2022</t>
        </is>
      </c>
      <c r="B414" s="1" t="n">
        <v>44609.66260416667</v>
      </c>
      <c r="C414" s="1" t="n">
        <v>46131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27840-2023</t>
        </is>
      </c>
      <c r="B415" s="1" t="n">
        <v>45098</v>
      </c>
      <c r="C415" s="1" t="n">
        <v>46131</v>
      </c>
      <c r="D415" t="inlineStr">
        <is>
          <t>UPPSALA LÄN</t>
        </is>
      </c>
      <c r="E415" t="inlineStr">
        <is>
          <t>HEBY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38309-2025</t>
        </is>
      </c>
      <c r="B416" s="1" t="n">
        <v>45883.47369212963</v>
      </c>
      <c r="C416" s="1" t="n">
        <v>46131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40455-2025</t>
        </is>
      </c>
      <c r="B417" s="1" t="n">
        <v>45895.63981481481</v>
      </c>
      <c r="C417" s="1" t="n">
        <v>46131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35111-2025</t>
        </is>
      </c>
      <c r="B418" s="1" t="n">
        <v>45852.58091435185</v>
      </c>
      <c r="C418" s="1" t="n">
        <v>46131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51652-2025</t>
        </is>
      </c>
      <c r="B419" s="1" t="n">
        <v>45951.46150462963</v>
      </c>
      <c r="C419" s="1" t="n">
        <v>46131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43549-2025</t>
        </is>
      </c>
      <c r="B420" s="1" t="n">
        <v>45911.61762731482</v>
      </c>
      <c r="C420" s="1" t="n">
        <v>46131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51733-2025</t>
        </is>
      </c>
      <c r="B421" s="1" t="n">
        <v>45951.59496527778</v>
      </c>
      <c r="C421" s="1" t="n">
        <v>46131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38380-2025</t>
        </is>
      </c>
      <c r="B422" s="1" t="n">
        <v>45883.5737962963</v>
      </c>
      <c r="C422" s="1" t="n">
        <v>46131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51745-2025</t>
        </is>
      </c>
      <c r="B423" s="1" t="n">
        <v>45951.61320601852</v>
      </c>
      <c r="C423" s="1" t="n">
        <v>46131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35519-2025</t>
        </is>
      </c>
      <c r="B424" s="1" t="n">
        <v>45856.41048611111</v>
      </c>
      <c r="C424" s="1" t="n">
        <v>46131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40435-2025</t>
        </is>
      </c>
      <c r="B425" s="1" t="n">
        <v>45895.61859953704</v>
      </c>
      <c r="C425" s="1" t="n">
        <v>46131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40475-2025</t>
        </is>
      </c>
      <c r="B426" s="1" t="n">
        <v>45895.68223379629</v>
      </c>
      <c r="C426" s="1" t="n">
        <v>46131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35080-2025</t>
        </is>
      </c>
      <c r="B427" s="1" t="n">
        <v>45852.48943287037</v>
      </c>
      <c r="C427" s="1" t="n">
        <v>46131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35517-2025</t>
        </is>
      </c>
      <c r="B428" s="1" t="n">
        <v>45856.40909722223</v>
      </c>
      <c r="C428" s="1" t="n">
        <v>46131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35083-2025</t>
        </is>
      </c>
      <c r="B429" s="1" t="n">
        <v>45852.49586805556</v>
      </c>
      <c r="C429" s="1" t="n">
        <v>46131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40567-2025</t>
        </is>
      </c>
      <c r="B430" s="1" t="n">
        <v>45896.47104166666</v>
      </c>
      <c r="C430" s="1" t="n">
        <v>46131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42215-2025</t>
        </is>
      </c>
      <c r="B431" s="1" t="n">
        <v>45904.50881944445</v>
      </c>
      <c r="C431" s="1" t="n">
        <v>46131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42216-2025</t>
        </is>
      </c>
      <c r="B432" s="1" t="n">
        <v>45904.51081018519</v>
      </c>
      <c r="C432" s="1" t="n">
        <v>46131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38168-2025</t>
        </is>
      </c>
      <c r="B433" s="1" t="n">
        <v>45882</v>
      </c>
      <c r="C433" s="1" t="n">
        <v>46131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20995-2025</t>
        </is>
      </c>
      <c r="B434" s="1" t="n">
        <v>45777</v>
      </c>
      <c r="C434" s="1" t="n">
        <v>46131</v>
      </c>
      <c r="D434" t="inlineStr">
        <is>
          <t>UPPSALA LÄN</t>
        </is>
      </c>
      <c r="E434" t="inlineStr">
        <is>
          <t>HEBY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38392-2025</t>
        </is>
      </c>
      <c r="B435" s="1" t="n">
        <v>45883.57503472222</v>
      </c>
      <c r="C435" s="1" t="n">
        <v>46131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35528-2025</t>
        </is>
      </c>
      <c r="B436" s="1" t="n">
        <v>45856.43204861111</v>
      </c>
      <c r="C436" s="1" t="n">
        <v>46131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38521-2025</t>
        </is>
      </c>
      <c r="B437" s="1" t="n">
        <v>45884</v>
      </c>
      <c r="C437" s="1" t="n">
        <v>46131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59837-2025</t>
        </is>
      </c>
      <c r="B438" s="1" t="n">
        <v>45992.67348379629</v>
      </c>
      <c r="C438" s="1" t="n">
        <v>46131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38371-2025</t>
        </is>
      </c>
      <c r="B439" s="1" t="n">
        <v>45883.56189814815</v>
      </c>
      <c r="C439" s="1" t="n">
        <v>46131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38472-2025</t>
        </is>
      </c>
      <c r="B440" s="1" t="n">
        <v>45884.30456018518</v>
      </c>
      <c r="C440" s="1" t="n">
        <v>46131</v>
      </c>
      <c r="D440" t="inlineStr">
        <is>
          <t>UPPSALA LÄN</t>
        </is>
      </c>
      <c r="E440" t="inlineStr">
        <is>
          <t>HEBY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14916-2025</t>
        </is>
      </c>
      <c r="B441" s="1" t="n">
        <v>45743</v>
      </c>
      <c r="C441" s="1" t="n">
        <v>46131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60282-2025</t>
        </is>
      </c>
      <c r="B442" s="1" t="n">
        <v>45994.64087962963</v>
      </c>
      <c r="C442" s="1" t="n">
        <v>46131</v>
      </c>
      <c r="D442" t="inlineStr">
        <is>
          <t>UPPSALA LÄN</t>
        </is>
      </c>
      <c r="E442" t="inlineStr">
        <is>
          <t>HEBY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60217-2025</t>
        </is>
      </c>
      <c r="B443" s="1" t="n">
        <v>45994.54125</v>
      </c>
      <c r="C443" s="1" t="n">
        <v>46131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60102-2025</t>
        </is>
      </c>
      <c r="B444" s="1" t="n">
        <v>45993.98945601852</v>
      </c>
      <c r="C444" s="1" t="n">
        <v>46131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60272-2025</t>
        </is>
      </c>
      <c r="B445" s="1" t="n">
        <v>45994.62863425926</v>
      </c>
      <c r="C445" s="1" t="n">
        <v>46131</v>
      </c>
      <c r="D445" t="inlineStr">
        <is>
          <t>UPPSALA LÄN</t>
        </is>
      </c>
      <c r="E445" t="inlineStr">
        <is>
          <t>HEBY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44464-2021</t>
        </is>
      </c>
      <c r="B446" s="1" t="n">
        <v>44435</v>
      </c>
      <c r="C446" s="1" t="n">
        <v>46131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60146-2025</t>
        </is>
      </c>
      <c r="B447" s="1" t="n">
        <v>45994.38209490741</v>
      </c>
      <c r="C447" s="1" t="n">
        <v>46131</v>
      </c>
      <c r="D447" t="inlineStr">
        <is>
          <t>UPPSALA LÄN</t>
        </is>
      </c>
      <c r="E447" t="inlineStr">
        <is>
          <t>HEBY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8056-2024</t>
        </is>
      </c>
      <c r="B448" s="1" t="n">
        <v>45351</v>
      </c>
      <c r="C448" s="1" t="n">
        <v>46131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51082-2023</t>
        </is>
      </c>
      <c r="B449" s="1" t="n">
        <v>45218</v>
      </c>
      <c r="C449" s="1" t="n">
        <v>46131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51091-2023</t>
        </is>
      </c>
      <c r="B450" s="1" t="n">
        <v>45218</v>
      </c>
      <c r="C450" s="1" t="n">
        <v>46131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60847-2025</t>
        </is>
      </c>
      <c r="B451" s="1" t="n">
        <v>45999.50025462963</v>
      </c>
      <c r="C451" s="1" t="n">
        <v>46131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60836-2025</t>
        </is>
      </c>
      <c r="B452" s="1" t="n">
        <v>45999.47586805555</v>
      </c>
      <c r="C452" s="1" t="n">
        <v>46131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50281-2023</t>
        </is>
      </c>
      <c r="B453" s="1" t="n">
        <v>45216.45452546296</v>
      </c>
      <c r="C453" s="1" t="n">
        <v>46131</v>
      </c>
      <c r="D453" t="inlineStr">
        <is>
          <t>UPPSALA LÄN</t>
        </is>
      </c>
      <c r="E453" t="inlineStr">
        <is>
          <t>HEBY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13893-2025</t>
        </is>
      </c>
      <c r="B454" s="1" t="n">
        <v>45737.62077546296</v>
      </c>
      <c r="C454" s="1" t="n">
        <v>46131</v>
      </c>
      <c r="D454" t="inlineStr">
        <is>
          <t>UPPSALA LÄN</t>
        </is>
      </c>
      <c r="E454" t="inlineStr">
        <is>
          <t>HEBY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13900-2025</t>
        </is>
      </c>
      <c r="B455" s="1" t="n">
        <v>45737.63353009259</v>
      </c>
      <c r="C455" s="1" t="n">
        <v>46131</v>
      </c>
      <c r="D455" t="inlineStr">
        <is>
          <t>UPPSALA LÄN</t>
        </is>
      </c>
      <c r="E455" t="inlineStr">
        <is>
          <t>HEBY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44525-2022</t>
        </is>
      </c>
      <c r="B456" s="1" t="n">
        <v>44840.43806712963</v>
      </c>
      <c r="C456" s="1" t="n">
        <v>46131</v>
      </c>
      <c r="D456" t="inlineStr">
        <is>
          <t>UPPSALA LÄN</t>
        </is>
      </c>
      <c r="E456" t="inlineStr">
        <is>
          <t>HEBY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HYPERLINK("https://klasma.github.io/Logging_0331/knärot/A 44525-2022 karta knärot.png", "A 44525-2022")</f>
        <v/>
      </c>
      <c r="V456">
        <f>HYPERLINK("https://klasma.github.io/Logging_0331/klagomål/A 44525-2022 FSC-klagomål.docx", "A 44525-2022")</f>
        <v/>
      </c>
      <c r="W456">
        <f>HYPERLINK("https://klasma.github.io/Logging_0331/klagomålsmail/A 44525-2022 FSC-klagomål mail.docx", "A 44525-2022")</f>
        <v/>
      </c>
      <c r="X456">
        <f>HYPERLINK("https://klasma.github.io/Logging_0331/tillsyn/A 44525-2022 tillsynsbegäran.docx", "A 44525-2022")</f>
        <v/>
      </c>
      <c r="Y456">
        <f>HYPERLINK("https://klasma.github.io/Logging_0331/tillsynsmail/A 44525-2022 tillsynsbegäran mail.docx", "A 44525-2022")</f>
        <v/>
      </c>
    </row>
    <row r="457" ht="15" customHeight="1">
      <c r="A457" t="inlineStr">
        <is>
          <t>A 18144-2022</t>
        </is>
      </c>
      <c r="B457" s="1" t="n">
        <v>44684</v>
      </c>
      <c r="C457" s="1" t="n">
        <v>46131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2039-2023</t>
        </is>
      </c>
      <c r="B458" s="1" t="n">
        <v>44939</v>
      </c>
      <c r="C458" s="1" t="n">
        <v>46131</v>
      </c>
      <c r="D458" t="inlineStr">
        <is>
          <t>UPPSALA LÄN</t>
        </is>
      </c>
      <c r="E458" t="inlineStr">
        <is>
          <t>HEBY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61884-2025</t>
        </is>
      </c>
      <c r="B459" s="1" t="n">
        <v>46003.43225694444</v>
      </c>
      <c r="C459" s="1" t="n">
        <v>46131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61886-2025</t>
        </is>
      </c>
      <c r="B460" s="1" t="n">
        <v>46003.43425925926</v>
      </c>
      <c r="C460" s="1" t="n">
        <v>46131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62042-2025</t>
        </is>
      </c>
      <c r="B461" s="1" t="n">
        <v>46005</v>
      </c>
      <c r="C461" s="1" t="n">
        <v>46131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61883-2025</t>
        </is>
      </c>
      <c r="B462" s="1" t="n">
        <v>46003.42837962963</v>
      </c>
      <c r="C462" s="1" t="n">
        <v>46131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62105-2025</t>
        </is>
      </c>
      <c r="B463" s="1" t="n">
        <v>46006.42108796296</v>
      </c>
      <c r="C463" s="1" t="n">
        <v>46131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62475-2025</t>
        </is>
      </c>
      <c r="B464" s="1" t="n">
        <v>46007.55006944444</v>
      </c>
      <c r="C464" s="1" t="n">
        <v>46131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70976-2021</t>
        </is>
      </c>
      <c r="B465" s="1" t="n">
        <v>44538</v>
      </c>
      <c r="C465" s="1" t="n">
        <v>46131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46131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38203-2021</t>
        </is>
      </c>
      <c r="B467" s="1" t="n">
        <v>44405</v>
      </c>
      <c r="C467" s="1" t="n">
        <v>46131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28226-2023</t>
        </is>
      </c>
      <c r="B468" s="1" t="n">
        <v>45099.57417824074</v>
      </c>
      <c r="C468" s="1" t="n">
        <v>46131</v>
      </c>
      <c r="D468" t="inlineStr">
        <is>
          <t>UPPSALA LÄN</t>
        </is>
      </c>
      <c r="E468" t="inlineStr">
        <is>
          <t>HEBY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1471-2025</t>
        </is>
      </c>
      <c r="B469" s="1" t="n">
        <v>45670</v>
      </c>
      <c r="C469" s="1" t="n">
        <v>46131</v>
      </c>
      <c r="D469" t="inlineStr">
        <is>
          <t>UPPSALA LÄN</t>
        </is>
      </c>
      <c r="E469" t="inlineStr">
        <is>
          <t>HEBY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2611-2023</t>
        </is>
      </c>
      <c r="B470" s="1" t="n">
        <v>44944.34613425926</v>
      </c>
      <c r="C470" s="1" t="n">
        <v>46131</v>
      </c>
      <c r="D470" t="inlineStr">
        <is>
          <t>UPPSALA LÄN</t>
        </is>
      </c>
      <c r="E470" t="inlineStr">
        <is>
          <t>HEBY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61807-2022</t>
        </is>
      </c>
      <c r="B471" s="1" t="n">
        <v>44917</v>
      </c>
      <c r="C471" s="1" t="n">
        <v>46131</v>
      </c>
      <c r="D471" t="inlineStr">
        <is>
          <t>UPPSALA LÄN</t>
        </is>
      </c>
      <c r="E471" t="inlineStr">
        <is>
          <t>HEBY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50859-2022</t>
        </is>
      </c>
      <c r="B472" s="1" t="n">
        <v>44862</v>
      </c>
      <c r="C472" s="1" t="n">
        <v>46131</v>
      </c>
      <c r="D472" t="inlineStr">
        <is>
          <t>UPPSALA LÄN</t>
        </is>
      </c>
      <c r="E472" t="inlineStr">
        <is>
          <t>HEBY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64191-2023</t>
        </is>
      </c>
      <c r="B473" s="1" t="n">
        <v>45279</v>
      </c>
      <c r="C473" s="1" t="n">
        <v>46131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946-2023</t>
        </is>
      </c>
      <c r="B474" s="1" t="n">
        <v>44934.47055555556</v>
      </c>
      <c r="C474" s="1" t="n">
        <v>46131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3771-2024</t>
        </is>
      </c>
      <c r="B475" s="1" t="n">
        <v>45321</v>
      </c>
      <c r="C475" s="1" t="n">
        <v>46131</v>
      </c>
      <c r="D475" t="inlineStr">
        <is>
          <t>UPPSALA LÄN</t>
        </is>
      </c>
      <c r="E475" t="inlineStr">
        <is>
          <t>HEBY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61875-2022</t>
        </is>
      </c>
      <c r="B476" s="1" t="n">
        <v>44917.65171296296</v>
      </c>
      <c r="C476" s="1" t="n">
        <v>46131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7-2026</t>
        </is>
      </c>
      <c r="B477" s="1" t="n">
        <v>46023.47561342592</v>
      </c>
      <c r="C477" s="1" t="n">
        <v>46131</v>
      </c>
      <c r="D477" t="inlineStr">
        <is>
          <t>UPPSALA LÄN</t>
        </is>
      </c>
      <c r="E477" t="inlineStr">
        <is>
          <t>HEBY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5-2026</t>
        </is>
      </c>
      <c r="B478" s="1" t="n">
        <v>46023.45719907407</v>
      </c>
      <c r="C478" s="1" t="n">
        <v>46131</v>
      </c>
      <c r="D478" t="inlineStr">
        <is>
          <t>UPPSALA LÄN</t>
        </is>
      </c>
      <c r="E478" t="inlineStr">
        <is>
          <t>HEBY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6-2026</t>
        </is>
      </c>
      <c r="B479" s="1" t="n">
        <v>46023.47248842593</v>
      </c>
      <c r="C479" s="1" t="n">
        <v>46131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25971-2023</t>
        </is>
      </c>
      <c r="B480" s="1" t="n">
        <v>45090.80862268519</v>
      </c>
      <c r="C480" s="1" t="n">
        <v>46131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66055-2021</t>
        </is>
      </c>
      <c r="B481" s="1" t="n">
        <v>44517.6352662037</v>
      </c>
      <c r="C481" s="1" t="n">
        <v>46131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31143-2023</t>
        </is>
      </c>
      <c r="B482" s="1" t="n">
        <v>45103</v>
      </c>
      <c r="C482" s="1" t="n">
        <v>46131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18056-2025</t>
        </is>
      </c>
      <c r="B483" s="1" t="n">
        <v>45761</v>
      </c>
      <c r="C483" s="1" t="n">
        <v>46131</v>
      </c>
      <c r="D483" t="inlineStr">
        <is>
          <t>UPPSALA LÄN</t>
        </is>
      </c>
      <c r="E483" t="inlineStr">
        <is>
          <t>HEBY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72180-2021</t>
        </is>
      </c>
      <c r="B484" s="1" t="n">
        <v>44543</v>
      </c>
      <c r="C484" s="1" t="n">
        <v>46131</v>
      </c>
      <c r="D484" t="inlineStr">
        <is>
          <t>UPPSALA LÄN</t>
        </is>
      </c>
      <c r="E484" t="inlineStr">
        <is>
          <t>HEBY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59702-2023</t>
        </is>
      </c>
      <c r="B485" s="1" t="n">
        <v>45256.91207175926</v>
      </c>
      <c r="C485" s="1" t="n">
        <v>46131</v>
      </c>
      <c r="D485" t="inlineStr">
        <is>
          <t>UPPSALA LÄN</t>
        </is>
      </c>
      <c r="E485" t="inlineStr">
        <is>
          <t>HEBY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62145-2022</t>
        </is>
      </c>
      <c r="B486" s="1" t="n">
        <v>44914</v>
      </c>
      <c r="C486" s="1" t="n">
        <v>46131</v>
      </c>
      <c r="D486" t="inlineStr">
        <is>
          <t>UPPSALA LÄN</t>
        </is>
      </c>
      <c r="E486" t="inlineStr">
        <is>
          <t>HEBY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31566-2023</t>
        </is>
      </c>
      <c r="B487" s="1" t="n">
        <v>45117</v>
      </c>
      <c r="C487" s="1" t="n">
        <v>46131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31567-2023</t>
        </is>
      </c>
      <c r="B488" s="1" t="n">
        <v>45117</v>
      </c>
      <c r="C488" s="1" t="n">
        <v>46131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31586-2023</t>
        </is>
      </c>
      <c r="B489" s="1" t="n">
        <v>45117</v>
      </c>
      <c r="C489" s="1" t="n">
        <v>46131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61033-2024</t>
        </is>
      </c>
      <c r="B490" s="1" t="n">
        <v>45645.46418981482</v>
      </c>
      <c r="C490" s="1" t="n">
        <v>46131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3376-2024</t>
        </is>
      </c>
      <c r="B491" s="1" t="n">
        <v>45317</v>
      </c>
      <c r="C491" s="1" t="n">
        <v>46131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3377-2024</t>
        </is>
      </c>
      <c r="B492" s="1" t="n">
        <v>45317</v>
      </c>
      <c r="C492" s="1" t="n">
        <v>46131</v>
      </c>
      <c r="D492" t="inlineStr">
        <is>
          <t>UPPSALA LÄN</t>
        </is>
      </c>
      <c r="E492" t="inlineStr">
        <is>
          <t>HEBY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73622-2021</t>
        </is>
      </c>
      <c r="B493" s="1" t="n">
        <v>44552</v>
      </c>
      <c r="C493" s="1" t="n">
        <v>46131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62083-2023</t>
        </is>
      </c>
      <c r="B494" s="1" t="n">
        <v>45266.80237268518</v>
      </c>
      <c r="C494" s="1" t="n">
        <v>46131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2562-2026</t>
        </is>
      </c>
      <c r="B495" s="1" t="n">
        <v>46037</v>
      </c>
      <c r="C495" s="1" t="n">
        <v>46131</v>
      </c>
      <c r="D495" t="inlineStr">
        <is>
          <t>UPPSALA LÄN</t>
        </is>
      </c>
      <c r="E495" t="inlineStr">
        <is>
          <t>HEBY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64057-2025</t>
        </is>
      </c>
      <c r="B496" s="1" t="n">
        <v>46010</v>
      </c>
      <c r="C496" s="1" t="n">
        <v>46131</v>
      </c>
      <c r="D496" t="inlineStr">
        <is>
          <t>UPPSALA LÄN</t>
        </is>
      </c>
      <c r="E496" t="inlineStr">
        <is>
          <t>HEBY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2563-2026</t>
        </is>
      </c>
      <c r="B497" s="1" t="n">
        <v>46037</v>
      </c>
      <c r="C497" s="1" t="n">
        <v>46131</v>
      </c>
      <c r="D497" t="inlineStr">
        <is>
          <t>UPPSALA LÄN</t>
        </is>
      </c>
      <c r="E497" t="inlineStr">
        <is>
          <t>HEBY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2564-2026</t>
        </is>
      </c>
      <c r="B498" s="1" t="n">
        <v>46037</v>
      </c>
      <c r="C498" s="1" t="n">
        <v>46131</v>
      </c>
      <c r="D498" t="inlineStr">
        <is>
          <t>UPPSALA LÄN</t>
        </is>
      </c>
      <c r="E498" t="inlineStr">
        <is>
          <t>HEBY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2695-2026</t>
        </is>
      </c>
      <c r="B499" s="1" t="n">
        <v>46037.67167824074</v>
      </c>
      <c r="C499" s="1" t="n">
        <v>46131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13593-2023</t>
        </is>
      </c>
      <c r="B500" s="1" t="n">
        <v>45006.57304398148</v>
      </c>
      <c r="C500" s="1" t="n">
        <v>46131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16404-2023</t>
        </is>
      </c>
      <c r="B501" s="1" t="n">
        <v>45029</v>
      </c>
      <c r="C501" s="1" t="n">
        <v>46131</v>
      </c>
      <c r="D501" t="inlineStr">
        <is>
          <t>UPPSALA LÄN</t>
        </is>
      </c>
      <c r="E501" t="inlineStr">
        <is>
          <t>HEBY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963-2022</t>
        </is>
      </c>
      <c r="B502" s="1" t="n">
        <v>44568</v>
      </c>
      <c r="C502" s="1" t="n">
        <v>46131</v>
      </c>
      <c r="D502" t="inlineStr">
        <is>
          <t>UPPSALA LÄN</t>
        </is>
      </c>
      <c r="E502" t="inlineStr">
        <is>
          <t>HEBY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27879-2023</t>
        </is>
      </c>
      <c r="B503" s="1" t="n">
        <v>45098.59533564815</v>
      </c>
      <c r="C503" s="1" t="n">
        <v>46131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8051-2023</t>
        </is>
      </c>
      <c r="B504" s="1" t="n">
        <v>44974</v>
      </c>
      <c r="C504" s="1" t="n">
        <v>46131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35644-2024</t>
        </is>
      </c>
      <c r="B505" s="1" t="n">
        <v>45532</v>
      </c>
      <c r="C505" s="1" t="n">
        <v>46131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11715-2024</t>
        </is>
      </c>
      <c r="B506" s="1" t="n">
        <v>45373.63015046297</v>
      </c>
      <c r="C506" s="1" t="n">
        <v>46131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4093-2026</t>
        </is>
      </c>
      <c r="B507" s="1" t="n">
        <v>46044.56475694444</v>
      </c>
      <c r="C507" s="1" t="n">
        <v>46131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11379-2025</t>
        </is>
      </c>
      <c r="B508" s="1" t="n">
        <v>45726.55914351852</v>
      </c>
      <c r="C508" s="1" t="n">
        <v>46131</v>
      </c>
      <c r="D508" t="inlineStr">
        <is>
          <t>UPPSALA LÄN</t>
        </is>
      </c>
      <c r="E508" t="inlineStr">
        <is>
          <t>HEBY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39157-2023</t>
        </is>
      </c>
      <c r="B509" s="1" t="n">
        <v>45166</v>
      </c>
      <c r="C509" s="1" t="n">
        <v>46131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11503-2023</t>
        </is>
      </c>
      <c r="B510" s="1" t="n">
        <v>44993</v>
      </c>
      <c r="C510" s="1" t="n">
        <v>46131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32181-2024</t>
        </is>
      </c>
      <c r="B511" s="1" t="n">
        <v>45511</v>
      </c>
      <c r="C511" s="1" t="n">
        <v>46131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59824-2024</t>
        </is>
      </c>
      <c r="B512" s="1" t="n">
        <v>45639.64104166667</v>
      </c>
      <c r="C512" s="1" t="n">
        <v>46131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46131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1160-2024</t>
        </is>
      </c>
      <c r="B514" s="1" t="n">
        <v>45302.52365740741</v>
      </c>
      <c r="C514" s="1" t="n">
        <v>46131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64364-2021</t>
        </is>
      </c>
      <c r="B515" s="1" t="n">
        <v>44511</v>
      </c>
      <c r="C515" s="1" t="n">
        <v>46131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4641-2026</t>
        </is>
      </c>
      <c r="B516" s="1" t="n">
        <v>46048.39959490741</v>
      </c>
      <c r="C516" s="1" t="n">
        <v>46131</v>
      </c>
      <c r="D516" t="inlineStr">
        <is>
          <t>UPPSALA LÄN</t>
        </is>
      </c>
      <c r="E516" t="inlineStr">
        <is>
          <t>HEBY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4669-2026</t>
        </is>
      </c>
      <c r="B517" s="1" t="n">
        <v>46048.41511574074</v>
      </c>
      <c r="C517" s="1" t="n">
        <v>46131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56073-2024</t>
        </is>
      </c>
      <c r="B518" s="1" t="n">
        <v>45624</v>
      </c>
      <c r="C518" s="1" t="n">
        <v>46131</v>
      </c>
      <c r="D518" t="inlineStr">
        <is>
          <t>UPPSALA LÄN</t>
        </is>
      </c>
      <c r="E518" t="inlineStr">
        <is>
          <t>HEBY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13099-2026</t>
        </is>
      </c>
      <c r="B519" s="1" t="n">
        <v>46093.41048611111</v>
      </c>
      <c r="C519" s="1" t="n">
        <v>46131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13302-2026</t>
        </is>
      </c>
      <c r="B520" s="1" t="n">
        <v>46094.3197337963</v>
      </c>
      <c r="C520" s="1" t="n">
        <v>46131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5855-2026</t>
        </is>
      </c>
      <c r="B521" s="1" t="n">
        <v>46052.3639699074</v>
      </c>
      <c r="C521" s="1" t="n">
        <v>46131</v>
      </c>
      <c r="D521" t="inlineStr">
        <is>
          <t>UPPSALA LÄN</t>
        </is>
      </c>
      <c r="E521" t="inlineStr">
        <is>
          <t>HEBY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5966-2026</t>
        </is>
      </c>
      <c r="B522" s="1" t="n">
        <v>46052.53197916667</v>
      </c>
      <c r="C522" s="1" t="n">
        <v>46131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6305-2026</t>
        </is>
      </c>
      <c r="B523" s="1" t="n">
        <v>46051</v>
      </c>
      <c r="C523" s="1" t="n">
        <v>46131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7429-2025</t>
        </is>
      </c>
      <c r="B524" s="1" t="n">
        <v>45705</v>
      </c>
      <c r="C524" s="1" t="n">
        <v>46131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13097-2026</t>
        </is>
      </c>
      <c r="B525" s="1" t="n">
        <v>46093.40854166666</v>
      </c>
      <c r="C525" s="1" t="n">
        <v>46131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13089-2026</t>
        </is>
      </c>
      <c r="B526" s="1" t="n">
        <v>46093.40275462963</v>
      </c>
      <c r="C526" s="1" t="n">
        <v>46131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31560-2023</t>
        </is>
      </c>
      <c r="B527" s="1" t="n">
        <v>45117</v>
      </c>
      <c r="C527" s="1" t="n">
        <v>46131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31569-2023</t>
        </is>
      </c>
      <c r="B528" s="1" t="n">
        <v>45117</v>
      </c>
      <c r="C528" s="1" t="n">
        <v>46131</v>
      </c>
      <c r="D528" t="inlineStr">
        <is>
          <t>UPPSALA LÄN</t>
        </is>
      </c>
      <c r="E528" t="inlineStr">
        <is>
          <t>HEBY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HYPERLINK("https://klasma.github.io/Logging_0331/knärot/A 31569-2023 karta knärot.png", "A 31569-2023")</f>
        <v/>
      </c>
      <c r="V528">
        <f>HYPERLINK("https://klasma.github.io/Logging_0331/klagomål/A 31569-2023 FSC-klagomål.docx", "A 31569-2023")</f>
        <v/>
      </c>
      <c r="W528">
        <f>HYPERLINK("https://klasma.github.io/Logging_0331/klagomålsmail/A 31569-2023 FSC-klagomål mail.docx", "A 31569-2023")</f>
        <v/>
      </c>
      <c r="X528">
        <f>HYPERLINK("https://klasma.github.io/Logging_0331/tillsyn/A 31569-2023 tillsynsbegäran.docx", "A 31569-2023")</f>
        <v/>
      </c>
      <c r="Y528">
        <f>HYPERLINK("https://klasma.github.io/Logging_0331/tillsynsmail/A 31569-2023 tillsynsbegäran mail.docx", "A 31569-2023")</f>
        <v/>
      </c>
    </row>
    <row r="529" ht="15" customHeight="1">
      <c r="A529" t="inlineStr">
        <is>
          <t>A 13092-2026</t>
        </is>
      </c>
      <c r="B529" s="1" t="n">
        <v>46093.40673611111</v>
      </c>
      <c r="C529" s="1" t="n">
        <v>46131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6043-2026</t>
        </is>
      </c>
      <c r="B530" s="1" t="n">
        <v>46052.62479166667</v>
      </c>
      <c r="C530" s="1" t="n">
        <v>46131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48029-2024</t>
        </is>
      </c>
      <c r="B531" s="1" t="n">
        <v>45589.48607638889</v>
      </c>
      <c r="C531" s="1" t="n">
        <v>46131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9815-2022</t>
        </is>
      </c>
      <c r="B532" s="1" t="n">
        <v>44620.42810185185</v>
      </c>
      <c r="C532" s="1" t="n">
        <v>46131</v>
      </c>
      <c r="D532" t="inlineStr">
        <is>
          <t>UPPSALA LÄN</t>
        </is>
      </c>
      <c r="E532" t="inlineStr">
        <is>
          <t>HEBY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4213-2023</t>
        </is>
      </c>
      <c r="B533" s="1" t="n">
        <v>44951</v>
      </c>
      <c r="C533" s="1" t="n">
        <v>46131</v>
      </c>
      <c r="D533" t="inlineStr">
        <is>
          <t>UPPSALA LÄN</t>
        </is>
      </c>
      <c r="E533" t="inlineStr">
        <is>
          <t>HEBY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8660-2022</t>
        </is>
      </c>
      <c r="B534" s="1" t="n">
        <v>44613.66513888889</v>
      </c>
      <c r="C534" s="1" t="n">
        <v>46131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11555-2026</t>
        </is>
      </c>
      <c r="B535" s="1" t="n">
        <v>46084</v>
      </c>
      <c r="C535" s="1" t="n">
        <v>46131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6622-2026</t>
        </is>
      </c>
      <c r="B536" s="1" t="n">
        <v>46056.49887731481</v>
      </c>
      <c r="C536" s="1" t="n">
        <v>46131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5390-2024</t>
        </is>
      </c>
      <c r="B537" s="1" t="n">
        <v>45331</v>
      </c>
      <c r="C537" s="1" t="n">
        <v>46131</v>
      </c>
      <c r="D537" t="inlineStr">
        <is>
          <t>UPPSALA LÄN</t>
        </is>
      </c>
      <c r="E537" t="inlineStr">
        <is>
          <t>HEBY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74215-2021</t>
        </is>
      </c>
      <c r="B538" s="1" t="n">
        <v>44558.56614583333</v>
      </c>
      <c r="C538" s="1" t="n">
        <v>46131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9352-2026</t>
        </is>
      </c>
      <c r="B539" s="1" t="n">
        <v>46070</v>
      </c>
      <c r="C539" s="1" t="n">
        <v>46131</v>
      </c>
      <c r="D539" t="inlineStr">
        <is>
          <t>UPPSALA LÄN</t>
        </is>
      </c>
      <c r="E539" t="inlineStr">
        <is>
          <t>HEBY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2309-2025</t>
        </is>
      </c>
      <c r="B540" s="1" t="n">
        <v>45673</v>
      </c>
      <c r="C540" s="1" t="n">
        <v>46131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7320-2026</t>
        </is>
      </c>
      <c r="B541" s="1" t="n">
        <v>46058.67237268519</v>
      </c>
      <c r="C541" s="1" t="n">
        <v>46131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40924-2023</t>
        </is>
      </c>
      <c r="B542" s="1" t="n">
        <v>45173.4337962963</v>
      </c>
      <c r="C542" s="1" t="n">
        <v>46131</v>
      </c>
      <c r="D542" t="inlineStr">
        <is>
          <t>UPPSALA LÄN</t>
        </is>
      </c>
      <c r="E542" t="inlineStr">
        <is>
          <t>HEBY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40926-2023</t>
        </is>
      </c>
      <c r="B543" s="1" t="n">
        <v>45173.43603009259</v>
      </c>
      <c r="C543" s="1" t="n">
        <v>46131</v>
      </c>
      <c r="D543" t="inlineStr">
        <is>
          <t>UPPSALA LÄN</t>
        </is>
      </c>
      <c r="E543" t="inlineStr">
        <is>
          <t>HEBY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13978-2023</t>
        </is>
      </c>
      <c r="B544" s="1" t="n">
        <v>45008</v>
      </c>
      <c r="C544" s="1" t="n">
        <v>46131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7222-2026</t>
        </is>
      </c>
      <c r="B545" s="1" t="n">
        <v>46058.56256944445</v>
      </c>
      <c r="C545" s="1" t="n">
        <v>46131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38670-2024</t>
        </is>
      </c>
      <c r="B546" s="1" t="n">
        <v>45547.32439814815</v>
      </c>
      <c r="C546" s="1" t="n">
        <v>46131</v>
      </c>
      <c r="D546" t="inlineStr">
        <is>
          <t>UPPSALA LÄN</t>
        </is>
      </c>
      <c r="E546" t="inlineStr">
        <is>
          <t>HEBY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6996-2026</t>
        </is>
      </c>
      <c r="B547" s="1" t="n">
        <v>46057.61201388889</v>
      </c>
      <c r="C547" s="1" t="n">
        <v>46131</v>
      </c>
      <c r="D547" t="inlineStr">
        <is>
          <t>UPPSALA LÄN</t>
        </is>
      </c>
      <c r="E547" t="inlineStr">
        <is>
          <t>HEBY</t>
        </is>
      </c>
      <c r="F547" t="inlineStr">
        <is>
          <t>Kommuner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6969-2026</t>
        </is>
      </c>
      <c r="B548" s="1" t="n">
        <v>46057.5896412037</v>
      </c>
      <c r="C548" s="1" t="n">
        <v>46131</v>
      </c>
      <c r="D548" t="inlineStr">
        <is>
          <t>UPPSALA LÄN</t>
        </is>
      </c>
      <c r="E548" t="inlineStr">
        <is>
          <t>HEBY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7216-2026</t>
        </is>
      </c>
      <c r="B549" s="1" t="n">
        <v>46058.55431712963</v>
      </c>
      <c r="C549" s="1" t="n">
        <v>46131</v>
      </c>
      <c r="D549" t="inlineStr">
        <is>
          <t>UPPSALA LÄN</t>
        </is>
      </c>
      <c r="E549" t="inlineStr">
        <is>
          <t>HEBY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7473-2026</t>
        </is>
      </c>
      <c r="B550" s="1" t="n">
        <v>46059</v>
      </c>
      <c r="C550" s="1" t="n">
        <v>46131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6226-2024</t>
        </is>
      </c>
      <c r="B551" s="1" t="n">
        <v>45337</v>
      </c>
      <c r="C551" s="1" t="n">
        <v>46131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42725-2023</t>
        </is>
      </c>
      <c r="B552" s="1" t="n">
        <v>45181.63969907408</v>
      </c>
      <c r="C552" s="1" t="n">
        <v>46131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50163-2024</t>
        </is>
      </c>
      <c r="B553" s="1" t="n">
        <v>45599</v>
      </c>
      <c r="C553" s="1" t="n">
        <v>46131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31139-2023</t>
        </is>
      </c>
      <c r="B554" s="1" t="n">
        <v>45103</v>
      </c>
      <c r="C554" s="1" t="n">
        <v>46131</v>
      </c>
      <c r="D554" t="inlineStr">
        <is>
          <t>UPPSALA LÄN</t>
        </is>
      </c>
      <c r="E554" t="inlineStr">
        <is>
          <t>HEBY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11573-2025</t>
        </is>
      </c>
      <c r="B555" s="1" t="n">
        <v>45727.38081018518</v>
      </c>
      <c r="C555" s="1" t="n">
        <v>46131</v>
      </c>
      <c r="D555" t="inlineStr">
        <is>
          <t>UPPSALA LÄN</t>
        </is>
      </c>
      <c r="E555" t="inlineStr">
        <is>
          <t>HEBY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15427-2025</t>
        </is>
      </c>
      <c r="B556" s="1" t="n">
        <v>45747.46694444444</v>
      </c>
      <c r="C556" s="1" t="n">
        <v>46131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14765-2026</t>
        </is>
      </c>
      <c r="B557" s="1" t="n">
        <v>46101.63482638889</v>
      </c>
      <c r="C557" s="1" t="n">
        <v>46131</v>
      </c>
      <c r="D557" t="inlineStr">
        <is>
          <t>UPPSALA LÄN</t>
        </is>
      </c>
      <c r="E557" t="inlineStr">
        <is>
          <t>HEBY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2487-2025</t>
        </is>
      </c>
      <c r="B558" s="1" t="n">
        <v>45674</v>
      </c>
      <c r="C558" s="1" t="n">
        <v>46131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35865-2022</t>
        </is>
      </c>
      <c r="B559" s="1" t="n">
        <v>44802.44090277778</v>
      </c>
      <c r="C559" s="1" t="n">
        <v>46131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35875-2022</t>
        </is>
      </c>
      <c r="B560" s="1" t="n">
        <v>44802</v>
      </c>
      <c r="C560" s="1" t="n">
        <v>46131</v>
      </c>
      <c r="D560" t="inlineStr">
        <is>
          <t>UPPSALA LÄN</t>
        </is>
      </c>
      <c r="E560" t="inlineStr">
        <is>
          <t>HEBY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15321-2026</t>
        </is>
      </c>
      <c r="B561" s="1" t="n">
        <v>46105.6546875</v>
      </c>
      <c r="C561" s="1" t="n">
        <v>46131</v>
      </c>
      <c r="D561" t="inlineStr">
        <is>
          <t>UPPSALA LÄN</t>
        </is>
      </c>
      <c r="E561" t="inlineStr">
        <is>
          <t>HEBY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39154-2023</t>
        </is>
      </c>
      <c r="B562" s="1" t="n">
        <v>45166</v>
      </c>
      <c r="C562" s="1" t="n">
        <v>46131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10414-2022</t>
        </is>
      </c>
      <c r="B563" s="1" t="n">
        <v>44623.45859953704</v>
      </c>
      <c r="C563" s="1" t="n">
        <v>46131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8003-2026</t>
        </is>
      </c>
      <c r="B564" s="1" t="n">
        <v>46063.51101851852</v>
      </c>
      <c r="C564" s="1" t="n">
        <v>46131</v>
      </c>
      <c r="D564" t="inlineStr">
        <is>
          <t>UPPSALA LÄN</t>
        </is>
      </c>
      <c r="E564" t="inlineStr">
        <is>
          <t>HEBY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7986-2026</t>
        </is>
      </c>
      <c r="B565" s="1" t="n">
        <v>46063.49122685185</v>
      </c>
      <c r="C565" s="1" t="n">
        <v>46131</v>
      </c>
      <c r="D565" t="inlineStr">
        <is>
          <t>UPPSALA LÄN</t>
        </is>
      </c>
      <c r="E565" t="inlineStr">
        <is>
          <t>HEBY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19718-2023</t>
        </is>
      </c>
      <c r="B566" s="1" t="n">
        <v>45050</v>
      </c>
      <c r="C566" s="1" t="n">
        <v>46131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16506-2026</t>
        </is>
      </c>
      <c r="B567" s="1" t="n">
        <v>46112.44569444445</v>
      </c>
      <c r="C567" s="1" t="n">
        <v>46131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16511-2026</t>
        </is>
      </c>
      <c r="B568" s="1" t="n">
        <v>46112.44861111111</v>
      </c>
      <c r="C568" s="1" t="n">
        <v>46131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16515-2026</t>
        </is>
      </c>
      <c r="B569" s="1" t="n">
        <v>46112.45194444444</v>
      </c>
      <c r="C569" s="1" t="n">
        <v>46131</v>
      </c>
      <c r="D569" t="inlineStr">
        <is>
          <t>UPPSALA LÄN</t>
        </is>
      </c>
      <c r="E569" t="inlineStr">
        <is>
          <t>HEBY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9356-2026</t>
        </is>
      </c>
      <c r="B570" s="1" t="n">
        <v>46070.71038194445</v>
      </c>
      <c r="C570" s="1" t="n">
        <v>46131</v>
      </c>
      <c r="D570" t="inlineStr">
        <is>
          <t>UPPSALA LÄN</t>
        </is>
      </c>
      <c r="E570" t="inlineStr">
        <is>
          <t>HEBY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45821-2023</t>
        </is>
      </c>
      <c r="B571" s="1" t="n">
        <v>45195.52546296296</v>
      </c>
      <c r="C571" s="1" t="n">
        <v>46131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9348-2026</t>
        </is>
      </c>
      <c r="B572" s="1" t="n">
        <v>46070</v>
      </c>
      <c r="C572" s="1" t="n">
        <v>46131</v>
      </c>
      <c r="D572" t="inlineStr">
        <is>
          <t>UPPSALA LÄN</t>
        </is>
      </c>
      <c r="E572" t="inlineStr">
        <is>
          <t>HEBY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16509-2026</t>
        </is>
      </c>
      <c r="B573" s="1" t="n">
        <v>46112.44731481482</v>
      </c>
      <c r="C573" s="1" t="n">
        <v>46131</v>
      </c>
      <c r="D573" t="inlineStr">
        <is>
          <t>UPPSALA LÄN</t>
        </is>
      </c>
      <c r="E573" t="inlineStr">
        <is>
          <t>HEBY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9357-2026</t>
        </is>
      </c>
      <c r="B574" s="1" t="n">
        <v>46070.71199074074</v>
      </c>
      <c r="C574" s="1" t="n">
        <v>46131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9358-2026</t>
        </is>
      </c>
      <c r="B575" s="1" t="n">
        <v>46070.72292824074</v>
      </c>
      <c r="C575" s="1" t="n">
        <v>46131</v>
      </c>
      <c r="D575" t="inlineStr">
        <is>
          <t>UPPSALA LÄN</t>
        </is>
      </c>
      <c r="E575" t="inlineStr">
        <is>
          <t>HEBY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16164-2026</t>
        </is>
      </c>
      <c r="B576" s="1" t="n">
        <v>46110.73532407408</v>
      </c>
      <c r="C576" s="1" t="n">
        <v>46131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45917-2023</t>
        </is>
      </c>
      <c r="B577" s="1" t="n">
        <v>45195</v>
      </c>
      <c r="C577" s="1" t="n">
        <v>46131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33729-2023</t>
        </is>
      </c>
      <c r="B578" s="1" t="n">
        <v>45133.31494212963</v>
      </c>
      <c r="C578" s="1" t="n">
        <v>46131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16513-2026</t>
        </is>
      </c>
      <c r="B579" s="1" t="n">
        <v>46112.45064814815</v>
      </c>
      <c r="C579" s="1" t="n">
        <v>46131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9345-2026</t>
        </is>
      </c>
      <c r="B580" s="1" t="n">
        <v>46070.68413194444</v>
      </c>
      <c r="C580" s="1" t="n">
        <v>46131</v>
      </c>
      <c r="D580" t="inlineStr">
        <is>
          <t>UPPSALA LÄN</t>
        </is>
      </c>
      <c r="E580" t="inlineStr">
        <is>
          <t>HEBY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19896-2022</t>
        </is>
      </c>
      <c r="B581" s="1" t="n">
        <v>44697.39297453704</v>
      </c>
      <c r="C581" s="1" t="n">
        <v>46131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45009-2022</t>
        </is>
      </c>
      <c r="B582" s="1" t="n">
        <v>44841.6265625</v>
      </c>
      <c r="C582" s="1" t="n">
        <v>46131</v>
      </c>
      <c r="D582" t="inlineStr">
        <is>
          <t>UPPSALA LÄN</t>
        </is>
      </c>
      <c r="E582" t="inlineStr">
        <is>
          <t>HEBY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16357-2026</t>
        </is>
      </c>
      <c r="B583" s="1" t="n">
        <v>46111.60099537037</v>
      </c>
      <c r="C583" s="1" t="n">
        <v>46131</v>
      </c>
      <c r="D583" t="inlineStr">
        <is>
          <t>UPPSALA LÄN</t>
        </is>
      </c>
      <c r="E583" t="inlineStr">
        <is>
          <t>HEBY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34593-2023</t>
        </is>
      </c>
      <c r="B584" s="1" t="n">
        <v>45138</v>
      </c>
      <c r="C584" s="1" t="n">
        <v>46131</v>
      </c>
      <c r="D584" t="inlineStr">
        <is>
          <t>UPPSALA LÄN</t>
        </is>
      </c>
      <c r="E584" t="inlineStr">
        <is>
          <t>HEBY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61038-2024</t>
        </is>
      </c>
      <c r="B585" s="1" t="n">
        <v>45645.47047453704</v>
      </c>
      <c r="C585" s="1" t="n">
        <v>46131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9456-2026</t>
        </is>
      </c>
      <c r="B586" s="1" t="n">
        <v>46071.48775462963</v>
      </c>
      <c r="C586" s="1" t="n">
        <v>46131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19654-2022</t>
        </is>
      </c>
      <c r="B587" s="1" t="n">
        <v>44694</v>
      </c>
      <c r="C587" s="1" t="n">
        <v>46131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17078-2026</t>
        </is>
      </c>
      <c r="B588" s="1" t="n">
        <v>46114.55724537037</v>
      </c>
      <c r="C588" s="1" t="n">
        <v>46131</v>
      </c>
      <c r="D588" t="inlineStr">
        <is>
          <t>UPPSALA LÄN</t>
        </is>
      </c>
      <c r="E588" t="inlineStr">
        <is>
          <t>HEBY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6660-2026</t>
        </is>
      </c>
      <c r="B589" s="1" t="n">
        <v>46056</v>
      </c>
      <c r="C589" s="1" t="n">
        <v>46131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14266-2026</t>
        </is>
      </c>
      <c r="B590" s="1" t="n">
        <v>46099</v>
      </c>
      <c r="C590" s="1" t="n">
        <v>46131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29777-2021</t>
        </is>
      </c>
      <c r="B591" s="1" t="n">
        <v>44362</v>
      </c>
      <c r="C591" s="1" t="n">
        <v>46131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17077-2026</t>
        </is>
      </c>
      <c r="B592" s="1" t="n">
        <v>46114.55546296296</v>
      </c>
      <c r="C592" s="1" t="n">
        <v>46131</v>
      </c>
      <c r="D592" t="inlineStr">
        <is>
          <t>UPPSALA LÄN</t>
        </is>
      </c>
      <c r="E592" t="inlineStr">
        <is>
          <t>HEBY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33379-2022</t>
        </is>
      </c>
      <c r="B593" s="1" t="n">
        <v>44788</v>
      </c>
      <c r="C593" s="1" t="n">
        <v>46131</v>
      </c>
      <c r="D593" t="inlineStr">
        <is>
          <t>UPPSALA LÄN</t>
        </is>
      </c>
      <c r="E593" t="inlineStr">
        <is>
          <t>HEBY</t>
        </is>
      </c>
      <c r="G593" t="n">
        <v>18.8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9895-2026</t>
        </is>
      </c>
      <c r="B594" s="1" t="n">
        <v>46073.37952546297</v>
      </c>
      <c r="C594" s="1" t="n">
        <v>46131</v>
      </c>
      <c r="D594" t="inlineStr">
        <is>
          <t>UPPSALA LÄN</t>
        </is>
      </c>
      <c r="E594" t="inlineStr">
        <is>
          <t>HEBY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56623-2023</t>
        </is>
      </c>
      <c r="B595" s="1" t="n">
        <v>45243.68689814815</v>
      </c>
      <c r="C595" s="1" t="n">
        <v>46131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9877-2026</t>
        </is>
      </c>
      <c r="B596" s="1" t="n">
        <v>46073.32519675926</v>
      </c>
      <c r="C596" s="1" t="n">
        <v>46131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10131-2026</t>
        </is>
      </c>
      <c r="B597" s="1" t="n">
        <v>46076.31298611111</v>
      </c>
      <c r="C597" s="1" t="n">
        <v>46131</v>
      </c>
      <c r="D597" t="inlineStr">
        <is>
          <t>UPPSALA LÄN</t>
        </is>
      </c>
      <c r="E597" t="inlineStr">
        <is>
          <t>HEBY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58913-2023</t>
        </is>
      </c>
      <c r="B598" s="1" t="n">
        <v>45250</v>
      </c>
      <c r="C598" s="1" t="n">
        <v>46131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17239-2026</t>
        </is>
      </c>
      <c r="B599" s="1" t="n">
        <v>46119.42392361111</v>
      </c>
      <c r="C599" s="1" t="n">
        <v>46131</v>
      </c>
      <c r="D599" t="inlineStr">
        <is>
          <t>UPPSALA LÄN</t>
        </is>
      </c>
      <c r="E599" t="inlineStr">
        <is>
          <t>HEBY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29340-2022</t>
        </is>
      </c>
      <c r="B600" s="1" t="n">
        <v>44752.8631712963</v>
      </c>
      <c r="C600" s="1" t="n">
        <v>46131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41546-2023</t>
        </is>
      </c>
      <c r="B601" s="1" t="n">
        <v>45175.573125</v>
      </c>
      <c r="C601" s="1" t="n">
        <v>46131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34146-2022</t>
        </is>
      </c>
      <c r="B602" s="1" t="n">
        <v>44791</v>
      </c>
      <c r="C602" s="1" t="n">
        <v>46131</v>
      </c>
      <c r="D602" t="inlineStr">
        <is>
          <t>UPPSALA LÄN</t>
        </is>
      </c>
      <c r="E602" t="inlineStr">
        <is>
          <t>HEBY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42731-2023</t>
        </is>
      </c>
      <c r="B603" s="1" t="n">
        <v>45181.64949074074</v>
      </c>
      <c r="C603" s="1" t="n">
        <v>46131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7128-2026</t>
        </is>
      </c>
      <c r="B604" s="1" t="n">
        <v>46058</v>
      </c>
      <c r="C604" s="1" t="n">
        <v>46131</v>
      </c>
      <c r="D604" t="inlineStr">
        <is>
          <t>UPPSALA LÄN</t>
        </is>
      </c>
      <c r="E604" t="inlineStr">
        <is>
          <t>HEBY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17349-2025</t>
        </is>
      </c>
      <c r="B605" s="1" t="n">
        <v>45756</v>
      </c>
      <c r="C605" s="1" t="n">
        <v>46131</v>
      </c>
      <c r="D605" t="inlineStr">
        <is>
          <t>UPPSALA LÄN</t>
        </is>
      </c>
      <c r="E605" t="inlineStr">
        <is>
          <t>HEBY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63940-2023</t>
        </is>
      </c>
      <c r="B606" s="1" t="n">
        <v>45278</v>
      </c>
      <c r="C606" s="1" t="n">
        <v>46131</v>
      </c>
      <c r="D606" t="inlineStr">
        <is>
          <t>UPPSALA LÄN</t>
        </is>
      </c>
      <c r="E606" t="inlineStr">
        <is>
          <t>HEBY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11056-2026</t>
        </is>
      </c>
      <c r="B607" s="1" t="n">
        <v>46079.59508101852</v>
      </c>
      <c r="C607" s="1" t="n">
        <v>46131</v>
      </c>
      <c r="D607" t="inlineStr">
        <is>
          <t>UPPSALA LÄN</t>
        </is>
      </c>
      <c r="E607" t="inlineStr">
        <is>
          <t>HEBY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9623-2026</t>
        </is>
      </c>
      <c r="B608" s="1" t="n">
        <v>46072.33219907407</v>
      </c>
      <c r="C608" s="1" t="n">
        <v>46131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9618-2026</t>
        </is>
      </c>
      <c r="B609" s="1" t="n">
        <v>46072.32482638889</v>
      </c>
      <c r="C609" s="1" t="n">
        <v>46131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25997-2022</t>
        </is>
      </c>
      <c r="B610" s="1" t="n">
        <v>44734.5185300926</v>
      </c>
      <c r="C610" s="1" t="n">
        <v>46131</v>
      </c>
      <c r="D610" t="inlineStr">
        <is>
          <t>UPPSALA LÄN</t>
        </is>
      </c>
      <c r="E610" t="inlineStr">
        <is>
          <t>HEBY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11074-2025</t>
        </is>
      </c>
      <c r="B611" s="1" t="n">
        <v>45723.55184027777</v>
      </c>
      <c r="C611" s="1" t="n">
        <v>46131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3368-2024</t>
        </is>
      </c>
      <c r="B612" s="1" t="n">
        <v>45317</v>
      </c>
      <c r="C612" s="1" t="n">
        <v>46131</v>
      </c>
      <c r="D612" t="inlineStr">
        <is>
          <t>UPPSALA LÄN</t>
        </is>
      </c>
      <c r="E612" t="inlineStr">
        <is>
          <t>HEBY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26085-2022</t>
        </is>
      </c>
      <c r="B613" s="1" t="n">
        <v>44734.72414351852</v>
      </c>
      <c r="C613" s="1" t="n">
        <v>46131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29396-2022</t>
        </is>
      </c>
      <c r="B614" s="1" t="n">
        <v>44753.43458333334</v>
      </c>
      <c r="C614" s="1" t="n">
        <v>46131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11560-2026</t>
        </is>
      </c>
      <c r="B615" s="1" t="n">
        <v>46084</v>
      </c>
      <c r="C615" s="1" t="n">
        <v>46131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18380-2026</t>
        </is>
      </c>
      <c r="B616" s="1" t="n">
        <v>46126.62872685185</v>
      </c>
      <c r="C616" s="1" t="n">
        <v>46131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387-2025</t>
        </is>
      </c>
      <c r="B617" s="1" t="n">
        <v>45662.6995949074</v>
      </c>
      <c r="C617" s="1" t="n">
        <v>46131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18374-2026</t>
        </is>
      </c>
      <c r="B618" s="1" t="n">
        <v>46126.61813657408</v>
      </c>
      <c r="C618" s="1" t="n">
        <v>46131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11830-2026</t>
        </is>
      </c>
      <c r="B619" s="1" t="n">
        <v>46085.42673611111</v>
      </c>
      <c r="C619" s="1" t="n">
        <v>46131</v>
      </c>
      <c r="D619" t="inlineStr">
        <is>
          <t>UPPSALA LÄN</t>
        </is>
      </c>
      <c r="E619" t="inlineStr">
        <is>
          <t>HEBY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18545-2026</t>
        </is>
      </c>
      <c r="B620" s="1" t="n">
        <v>46127.56548611111</v>
      </c>
      <c r="C620" s="1" t="n">
        <v>46131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13463-2025</t>
        </is>
      </c>
      <c r="B621" s="1" t="n">
        <v>45736.3927662037</v>
      </c>
      <c r="C621" s="1" t="n">
        <v>46131</v>
      </c>
      <c r="D621" t="inlineStr">
        <is>
          <t>UPPSALA LÄN</t>
        </is>
      </c>
      <c r="E621" t="inlineStr">
        <is>
          <t>HEBY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11841-2026</t>
        </is>
      </c>
      <c r="B622" s="1" t="n">
        <v>46085.44862268519</v>
      </c>
      <c r="C622" s="1" t="n">
        <v>46131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31903-2023</t>
        </is>
      </c>
      <c r="B623" s="1" t="n">
        <v>45118</v>
      </c>
      <c r="C623" s="1" t="n">
        <v>46131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17-2024</t>
        </is>
      </c>
      <c r="B624" s="1" t="n">
        <v>45293</v>
      </c>
      <c r="C624" s="1" t="n">
        <v>46131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5633-2025</t>
        </is>
      </c>
      <c r="B625" s="1" t="n">
        <v>45693.66539351852</v>
      </c>
      <c r="C625" s="1" t="n">
        <v>46131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32245-2022</t>
        </is>
      </c>
      <c r="B626" s="1" t="n">
        <v>44781.48400462963</v>
      </c>
      <c r="C626" s="1" t="n">
        <v>46131</v>
      </c>
      <c r="D626" t="inlineStr">
        <is>
          <t>UPPSALA LÄN</t>
        </is>
      </c>
      <c r="E626" t="inlineStr">
        <is>
          <t>HEBY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46131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33385-2023</t>
        </is>
      </c>
      <c r="B628" s="1" t="n">
        <v>45128.58974537037</v>
      </c>
      <c r="C628" s="1" t="n">
        <v>46131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46430-2023</t>
        </is>
      </c>
      <c r="B629" s="1" t="n">
        <v>45197.5709375</v>
      </c>
      <c r="C629" s="1" t="n">
        <v>46131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46131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25419-2022</t>
        </is>
      </c>
      <c r="B631" s="1" t="n">
        <v>44732</v>
      </c>
      <c r="C631" s="1" t="n">
        <v>46131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19555-2025</t>
        </is>
      </c>
      <c r="B632" s="1" t="n">
        <v>45770.51020833333</v>
      </c>
      <c r="C632" s="1" t="n">
        <v>46131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46408-2024</t>
        </is>
      </c>
      <c r="B633" s="1" t="n">
        <v>45582.44432870371</v>
      </c>
      <c r="C633" s="1" t="n">
        <v>46131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46131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37111-2024</t>
        </is>
      </c>
      <c r="B635" s="1" t="n">
        <v>45539.51753472222</v>
      </c>
      <c r="C635" s="1" t="n">
        <v>46131</v>
      </c>
      <c r="D635" t="inlineStr">
        <is>
          <t>UPPSALA LÄN</t>
        </is>
      </c>
      <c r="E635" t="inlineStr">
        <is>
          <t>HEBY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16167-2024</t>
        </is>
      </c>
      <c r="B636" s="1" t="n">
        <v>45406.61835648148</v>
      </c>
      <c r="C636" s="1" t="n">
        <v>46131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60461-2022</t>
        </is>
      </c>
      <c r="B637" s="1" t="n">
        <v>44911</v>
      </c>
      <c r="C637" s="1" t="n">
        <v>46131</v>
      </c>
      <c r="D637" t="inlineStr">
        <is>
          <t>UPPSALA LÄN</t>
        </is>
      </c>
      <c r="E637" t="inlineStr">
        <is>
          <t>HEBY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19721-2022</t>
        </is>
      </c>
      <c r="B638" s="1" t="n">
        <v>44694</v>
      </c>
      <c r="C638" s="1" t="n">
        <v>46131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8790-2023</t>
        </is>
      </c>
      <c r="B639" s="1" t="n">
        <v>44978.58922453703</v>
      </c>
      <c r="C639" s="1" t="n">
        <v>46131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62086-2023</t>
        </is>
      </c>
      <c r="B640" s="1" t="n">
        <v>45266.83394675926</v>
      </c>
      <c r="C640" s="1" t="n">
        <v>46131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60295-2021</t>
        </is>
      </c>
      <c r="B641" s="1" t="n">
        <v>44495</v>
      </c>
      <c r="C641" s="1" t="n">
        <v>46131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46131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15326-2022</t>
        </is>
      </c>
      <c r="B643" s="1" t="n">
        <v>44659</v>
      </c>
      <c r="C643" s="1" t="n">
        <v>46131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18849-2024</t>
        </is>
      </c>
      <c r="B644" s="1" t="n">
        <v>45426.68497685185</v>
      </c>
      <c r="C644" s="1" t="n">
        <v>46131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8856-2022</t>
        </is>
      </c>
      <c r="B645" s="1" t="n">
        <v>44614.54268518519</v>
      </c>
      <c r="C645" s="1" t="n">
        <v>46131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23411-2024</t>
        </is>
      </c>
      <c r="B646" s="1" t="n">
        <v>45453</v>
      </c>
      <c r="C646" s="1" t="n">
        <v>46131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2212-2023</t>
        </is>
      </c>
      <c r="B647" s="1" t="n">
        <v>44942.40657407408</v>
      </c>
      <c r="C647" s="1" t="n">
        <v>46131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37103-2024</t>
        </is>
      </c>
      <c r="B648" s="1" t="n">
        <v>45539.50813657408</v>
      </c>
      <c r="C648" s="1" t="n">
        <v>46131</v>
      </c>
      <c r="D648" t="inlineStr">
        <is>
          <t>UPPSALA LÄN</t>
        </is>
      </c>
      <c r="E648" t="inlineStr">
        <is>
          <t>HEBY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2227-2023</t>
        </is>
      </c>
      <c r="B649" s="1" t="n">
        <v>44942.44016203703</v>
      </c>
      <c r="C649" s="1" t="n">
        <v>46131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49621-2024</t>
        </is>
      </c>
      <c r="B650" s="1" t="n">
        <v>45596</v>
      </c>
      <c r="C650" s="1" t="n">
        <v>46131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478-2025</t>
        </is>
      </c>
      <c r="B651" s="1" t="n">
        <v>45664.44835648148</v>
      </c>
      <c r="C651" s="1" t="n">
        <v>46131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6866-2022</t>
        </is>
      </c>
      <c r="B652" s="1" t="n">
        <v>44602.72481481481</v>
      </c>
      <c r="C652" s="1" t="n">
        <v>46131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30901-2023</t>
        </is>
      </c>
      <c r="B653" s="1" t="n">
        <v>45113</v>
      </c>
      <c r="C653" s="1" t="n">
        <v>46131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18148-2022</t>
        </is>
      </c>
      <c r="B654" s="1" t="n">
        <v>44684</v>
      </c>
      <c r="C654" s="1" t="n">
        <v>46131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41.8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66873-2021</t>
        </is>
      </c>
      <c r="B655" s="1" t="n">
        <v>44522</v>
      </c>
      <c r="C655" s="1" t="n">
        <v>46131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29387-2022</t>
        </is>
      </c>
      <c r="B656" s="1" t="n">
        <v>44753</v>
      </c>
      <c r="C656" s="1" t="n">
        <v>46131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13634-2023</t>
        </is>
      </c>
      <c r="B657" s="1" t="n">
        <v>45006.6362962963</v>
      </c>
      <c r="C657" s="1" t="n">
        <v>46131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36494-2021</t>
        </is>
      </c>
      <c r="B658" s="1" t="n">
        <v>44391</v>
      </c>
      <c r="C658" s="1" t="n">
        <v>46131</v>
      </c>
      <c r="D658" t="inlineStr">
        <is>
          <t>UPPSALA LÄN</t>
        </is>
      </c>
      <c r="E658" t="inlineStr">
        <is>
          <t>HEBY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25995-2022</t>
        </is>
      </c>
      <c r="B659" s="1" t="n">
        <v>44734.51694444445</v>
      </c>
      <c r="C659" s="1" t="n">
        <v>46131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24558-2023</t>
        </is>
      </c>
      <c r="B660" s="1" t="n">
        <v>45083</v>
      </c>
      <c r="C660" s="1" t="n">
        <v>46131</v>
      </c>
      <c r="D660" t="inlineStr">
        <is>
          <t>UPPSALA LÄN</t>
        </is>
      </c>
      <c r="E660" t="inlineStr">
        <is>
          <t>HEBY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6203-2023</t>
        </is>
      </c>
      <c r="B661" s="1" t="n">
        <v>44964.74861111111</v>
      </c>
      <c r="C661" s="1" t="n">
        <v>46131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20882-2022</t>
        </is>
      </c>
      <c r="B662" s="1" t="n">
        <v>44701.56520833333</v>
      </c>
      <c r="C662" s="1" t="n">
        <v>46131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14585-2023</t>
        </is>
      </c>
      <c r="B663" s="1" t="n">
        <v>45013</v>
      </c>
      <c r="C663" s="1" t="n">
        <v>46131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56352-2021</t>
        </is>
      </c>
      <c r="B664" s="1" t="n">
        <v>44480</v>
      </c>
      <c r="C664" s="1" t="n">
        <v>46131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9767-2023</t>
        </is>
      </c>
      <c r="B665" s="1" t="n">
        <v>44984</v>
      </c>
      <c r="C665" s="1" t="n">
        <v>46131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51521-2023</t>
        </is>
      </c>
      <c r="B666" s="1" t="n">
        <v>45215</v>
      </c>
      <c r="C666" s="1" t="n">
        <v>46131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9769-2023</t>
        </is>
      </c>
      <c r="B667" s="1" t="n">
        <v>44984</v>
      </c>
      <c r="C667" s="1" t="n">
        <v>46131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46131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13243-2022</t>
        </is>
      </c>
      <c r="B669" s="1" t="n">
        <v>44644.64444444444</v>
      </c>
      <c r="C669" s="1" t="n">
        <v>46131</v>
      </c>
      <c r="D669" t="inlineStr">
        <is>
          <t>UPPSALA LÄN</t>
        </is>
      </c>
      <c r="E669" t="inlineStr">
        <is>
          <t>HEBY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17407-2023</t>
        </is>
      </c>
      <c r="B670" s="1" t="n">
        <v>45035.75166666666</v>
      </c>
      <c r="C670" s="1" t="n">
        <v>46131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48039-2024</t>
        </is>
      </c>
      <c r="B671" s="1" t="n">
        <v>45589.4975462963</v>
      </c>
      <c r="C671" s="1" t="n">
        <v>46131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46131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46131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60788-2022</t>
        </is>
      </c>
      <c r="B674" s="1" t="n">
        <v>44914.41196759259</v>
      </c>
      <c r="C674" s="1" t="n">
        <v>46131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11835-2024</t>
        </is>
      </c>
      <c r="B675" s="1" t="n">
        <v>45376.36833333333</v>
      </c>
      <c r="C675" s="1" t="n">
        <v>46131</v>
      </c>
      <c r="D675" t="inlineStr">
        <is>
          <t>UPPSALA LÄN</t>
        </is>
      </c>
      <c r="E675" t="inlineStr">
        <is>
          <t>HEBY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59207-2023</t>
        </is>
      </c>
      <c r="B676" s="1" t="n">
        <v>45252</v>
      </c>
      <c r="C676" s="1" t="n">
        <v>46131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30433-2023</t>
        </is>
      </c>
      <c r="B677" s="1" t="n">
        <v>45111</v>
      </c>
      <c r="C677" s="1" t="n">
        <v>46131</v>
      </c>
      <c r="D677" t="inlineStr">
        <is>
          <t>UPPSALA LÄN</t>
        </is>
      </c>
      <c r="E677" t="inlineStr">
        <is>
          <t>HEBY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34140-2023</t>
        </is>
      </c>
      <c r="B678" s="1" t="n">
        <v>45135</v>
      </c>
      <c r="C678" s="1" t="n">
        <v>46131</v>
      </c>
      <c r="D678" t="inlineStr">
        <is>
          <t>UPPSALA LÄN</t>
        </is>
      </c>
      <c r="E678" t="inlineStr">
        <is>
          <t>HEBY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33703-2023</t>
        </is>
      </c>
      <c r="B679" s="1" t="n">
        <v>45132.77611111111</v>
      </c>
      <c r="C679" s="1" t="n">
        <v>46131</v>
      </c>
      <c r="D679" t="inlineStr">
        <is>
          <t>UPPSALA LÄN</t>
        </is>
      </c>
      <c r="E679" t="inlineStr">
        <is>
          <t>HEBY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46131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52252-2024</t>
        </is>
      </c>
      <c r="B681" s="1" t="n">
        <v>45607</v>
      </c>
      <c r="C681" s="1" t="n">
        <v>46131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50172-2024</t>
        </is>
      </c>
      <c r="B682" s="1" t="n">
        <v>45599</v>
      </c>
      <c r="C682" s="1" t="n">
        <v>46131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56081-2024</t>
        </is>
      </c>
      <c r="B683" s="1" t="n">
        <v>45624</v>
      </c>
      <c r="C683" s="1" t="n">
        <v>46131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7173-2024</t>
        </is>
      </c>
      <c r="B684" s="1" t="n">
        <v>45344.48746527778</v>
      </c>
      <c r="C684" s="1" t="n">
        <v>46131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4388-2025</t>
        </is>
      </c>
      <c r="B685" s="1" t="n">
        <v>45686.40940972222</v>
      </c>
      <c r="C685" s="1" t="n">
        <v>46131</v>
      </c>
      <c r="D685" t="inlineStr">
        <is>
          <t>UPPSALA LÄN</t>
        </is>
      </c>
      <c r="E685" t="inlineStr">
        <is>
          <t>HEBY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9194-2025</t>
        </is>
      </c>
      <c r="B686" s="1" t="n">
        <v>45714.46084490741</v>
      </c>
      <c r="C686" s="1" t="n">
        <v>46131</v>
      </c>
      <c r="D686" t="inlineStr">
        <is>
          <t>UPPSALA LÄN</t>
        </is>
      </c>
      <c r="E686" t="inlineStr">
        <is>
          <t>HEBY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2303-2025</t>
        </is>
      </c>
      <c r="B687" s="1" t="n">
        <v>45673.5980787037</v>
      </c>
      <c r="C687" s="1" t="n">
        <v>46131</v>
      </c>
      <c r="D687" t="inlineStr">
        <is>
          <t>UPPSALA LÄN</t>
        </is>
      </c>
      <c r="E687" t="inlineStr">
        <is>
          <t>HEBY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60456-2022</t>
        </is>
      </c>
      <c r="B688" s="1" t="n">
        <v>44911.3789699074</v>
      </c>
      <c r="C688" s="1" t="n">
        <v>46131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16847-2024</t>
        </is>
      </c>
      <c r="B689" s="1" t="n">
        <v>45411.49923611111</v>
      </c>
      <c r="C689" s="1" t="n">
        <v>46131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39536-2024</t>
        </is>
      </c>
      <c r="B690" s="1" t="n">
        <v>45551.87931712963</v>
      </c>
      <c r="C690" s="1" t="n">
        <v>46131</v>
      </c>
      <c r="D690" t="inlineStr">
        <is>
          <t>UPPSALA LÄN</t>
        </is>
      </c>
      <c r="E690" t="inlineStr">
        <is>
          <t>HEBY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33376-2024</t>
        </is>
      </c>
      <c r="B691" s="1" t="n">
        <v>45519.44510416667</v>
      </c>
      <c r="C691" s="1" t="n">
        <v>46131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33381-2024</t>
        </is>
      </c>
      <c r="B692" s="1" t="n">
        <v>45519</v>
      </c>
      <c r="C692" s="1" t="n">
        <v>46131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58124-2022</t>
        </is>
      </c>
      <c r="B693" s="1" t="n">
        <v>44900.66995370371</v>
      </c>
      <c r="C693" s="1" t="n">
        <v>46131</v>
      </c>
      <c r="D693" t="inlineStr">
        <is>
          <t>UPPSALA LÄN</t>
        </is>
      </c>
      <c r="E693" t="inlineStr">
        <is>
          <t>HEBY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21310-2023</t>
        </is>
      </c>
      <c r="B694" s="1" t="n">
        <v>45058</v>
      </c>
      <c r="C694" s="1" t="n">
        <v>46131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57674-2024</t>
        </is>
      </c>
      <c r="B695" s="1" t="n">
        <v>45630</v>
      </c>
      <c r="C695" s="1" t="n">
        <v>46131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48956-2023</t>
        </is>
      </c>
      <c r="B696" s="1" t="n">
        <v>45209.58532407408</v>
      </c>
      <c r="C696" s="1" t="n">
        <v>46131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11060-2025</t>
        </is>
      </c>
      <c r="B697" s="1" t="n">
        <v>45723.51342592593</v>
      </c>
      <c r="C697" s="1" t="n">
        <v>46131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11075-2025</t>
        </is>
      </c>
      <c r="B698" s="1" t="n">
        <v>45723.55233796296</v>
      </c>
      <c r="C698" s="1" t="n">
        <v>46131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9043-2023</t>
        </is>
      </c>
      <c r="B699" s="1" t="n">
        <v>44979.66287037037</v>
      </c>
      <c r="C699" s="1" t="n">
        <v>46131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8881-2025</t>
        </is>
      </c>
      <c r="B700" s="1" t="n">
        <v>45713</v>
      </c>
      <c r="C700" s="1" t="n">
        <v>46131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19559-2025</t>
        </is>
      </c>
      <c r="B701" s="1" t="n">
        <v>45770.51476851852</v>
      </c>
      <c r="C701" s="1" t="n">
        <v>46131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3779-2024</t>
        </is>
      </c>
      <c r="B702" s="1" t="n">
        <v>45321.5900462963</v>
      </c>
      <c r="C702" s="1" t="n">
        <v>46131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52955-2022</t>
        </is>
      </c>
      <c r="B703" s="1" t="n">
        <v>44875</v>
      </c>
      <c r="C703" s="1" t="n">
        <v>46131</v>
      </c>
      <c r="D703" t="inlineStr">
        <is>
          <t>UPPSALA LÄN</t>
        </is>
      </c>
      <c r="E703" t="inlineStr">
        <is>
          <t>HEBY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57880-2024</t>
        </is>
      </c>
      <c r="B704" s="1" t="n">
        <v>45631</v>
      </c>
      <c r="C704" s="1" t="n">
        <v>46131</v>
      </c>
      <c r="D704" t="inlineStr">
        <is>
          <t>UPPSALA LÄN</t>
        </is>
      </c>
      <c r="E704" t="inlineStr">
        <is>
          <t>HEBY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31575-2023</t>
        </is>
      </c>
      <c r="B705" s="1" t="n">
        <v>45117</v>
      </c>
      <c r="C705" s="1" t="n">
        <v>46131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7468-2025</t>
        </is>
      </c>
      <c r="B706" s="1" t="n">
        <v>45705.45865740741</v>
      </c>
      <c r="C706" s="1" t="n">
        <v>46131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48430-2024</t>
        </is>
      </c>
      <c r="B707" s="1" t="n">
        <v>45590</v>
      </c>
      <c r="C707" s="1" t="n">
        <v>46131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14262-2025</t>
        </is>
      </c>
      <c r="B708" s="1" t="n">
        <v>45740.63020833334</v>
      </c>
      <c r="C708" s="1" t="n">
        <v>46131</v>
      </c>
      <c r="D708" t="inlineStr">
        <is>
          <t>UPPSALA LÄN</t>
        </is>
      </c>
      <c r="E708" t="inlineStr">
        <is>
          <t>HEBY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41599-2023</t>
        </is>
      </c>
      <c r="B709" s="1" t="n">
        <v>45175.6459375</v>
      </c>
      <c r="C709" s="1" t="n">
        <v>46131</v>
      </c>
      <c r="D709" t="inlineStr">
        <is>
          <t>UPPSALA LÄN</t>
        </is>
      </c>
      <c r="E709" t="inlineStr">
        <is>
          <t>HEBY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30297-2021</t>
        </is>
      </c>
      <c r="B710" s="1" t="n">
        <v>44364</v>
      </c>
      <c r="C710" s="1" t="n">
        <v>46131</v>
      </c>
      <c r="D710" t="inlineStr">
        <is>
          <t>UPPSALA LÄN</t>
        </is>
      </c>
      <c r="E710" t="inlineStr">
        <is>
          <t>HEBY</t>
        </is>
      </c>
      <c r="F710" t="inlineStr">
        <is>
          <t>Övriga Aktiebolag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54594-2024</t>
        </is>
      </c>
      <c r="B711" s="1" t="n">
        <v>45617</v>
      </c>
      <c r="C711" s="1" t="n">
        <v>46131</v>
      </c>
      <c r="D711" t="inlineStr">
        <is>
          <t>UPPSALA LÄN</t>
        </is>
      </c>
      <c r="E711" t="inlineStr">
        <is>
          <t>HEBY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17697-2024</t>
        </is>
      </c>
      <c r="B712" s="1" t="n">
        <v>45418</v>
      </c>
      <c r="C712" s="1" t="n">
        <v>46131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15424-2025</t>
        </is>
      </c>
      <c r="B713" s="1" t="n">
        <v>45747.46403935185</v>
      </c>
      <c r="C713" s="1" t="n">
        <v>46131</v>
      </c>
      <c r="D713" t="inlineStr">
        <is>
          <t>UPPSALA LÄN</t>
        </is>
      </c>
      <c r="E713" t="inlineStr">
        <is>
          <t>HEBY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20772-2025</t>
        </is>
      </c>
      <c r="B714" s="1" t="n">
        <v>45776</v>
      </c>
      <c r="C714" s="1" t="n">
        <v>46131</v>
      </c>
      <c r="D714" t="inlineStr">
        <is>
          <t>UPPSALA LÄN</t>
        </is>
      </c>
      <c r="E714" t="inlineStr">
        <is>
          <t>HEBY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2026-04-19T10:29:47Z</dcterms:created>
  <dcterms:modified xmlns:dcterms="http://purl.org/dc/terms/" xmlns:xsi="http://www.w3.org/2001/XMLSchema-instance" xsi:type="dcterms:W3CDTF">2026-04-19T10:29:48Z</dcterms:modified>
</cp:coreProperties>
</file>
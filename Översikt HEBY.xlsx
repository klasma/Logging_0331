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46251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46251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46251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46251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46251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46251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46251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46251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46251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46251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46251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46251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46251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46251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46251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46251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46251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46251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46251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46251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46251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46251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46251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46251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46251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46251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46251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46251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54350-2025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46251</v>
      </c>
      <c r="F40" t="inlineStr">
        <is>
          <t>UPPSALA LÄN</t>
        </is>
      </c>
      <c r="G40" t="inlineStr">
        <is>
          <t>HEBY</t>
        </is>
      </c>
      <c r="I40" t="n">
        <v>2.1</v>
      </c>
      <c r="J40" t="n">
        <v>2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23</v>
      </c>
      <c r="U40" t="n">
        <v>22</v>
      </c>
      <c r="V40" s="2" t="inlineStr">
        <is>
          <t>Knärot
Gropticka
Spillkråka</t>
        </is>
      </c>
      <c r="W40">
        <f>HYPERLINK("https://klasma.github.io/Logging_0331/artfynd/A 54350-2025 artfynd.xlsx", "A 54350-2025")</f>
        <v/>
      </c>
      <c r="X40">
        <f>HYPERLINK("https://klasma.github.io/Logging_0331/kartor/A 54350-2025 karta.png", "A 54350-2025")</f>
        <v/>
      </c>
      <c r="Y40">
        <f>HYPERLINK("https://klasma.github.io/Logging_0331/kartor_geotiff/A 54350-2025 georefererad karta.tif", "A 54350-2025")</f>
        <v/>
      </c>
      <c r="Z40">
        <f>HYPERLINK("https://klasma.github.io/Logging_0331/knärot/A 54350-2025 karta knärot.png", "A 54350-2025")</f>
        <v/>
      </c>
      <c r="AA40">
        <f>HYPERLINK("https://klasma.github.io/Logging_0331/klagomål/A 54350-2025 FSC-klagomål.docx", "A 54350-2025")</f>
        <v/>
      </c>
      <c r="AB40">
        <f>HYPERLINK("https://klasma.github.io/Logging_0331/klagomålsmail/A 54350-2025 FSC-klagomål mail.docx", "A 54350-2025")</f>
        <v/>
      </c>
      <c r="AC40">
        <f>HYPERLINK("https://klasma.github.io/Logging_0331/tillsyn/A 54350-2025 tillsynsbegäran.docx", "A 54350-2025")</f>
        <v/>
      </c>
      <c r="AD40">
        <f>HYPERLINK("https://klasma.github.io/Logging_0331/tillsynsmail/A 54350-2025 tillsynsbegäran mail.docx", "A 54350-2025")</f>
        <v/>
      </c>
      <c r="AE40">
        <f>HYPERLINK("https://klasma.github.io/Logging_0331/fåglar/A 54350-2025 prioriterade fågelarter.docx", "A 54350-2025")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46251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46251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46251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46251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46251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46251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46251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46251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46251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46251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46251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46251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46251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46251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46251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46251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46251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46251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63940-2023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45278</v>
      </c>
      <c r="E59" s="1" t="n">
        <v>46251</v>
      </c>
      <c r="F59" t="inlineStr">
        <is>
          <t>UPPSALA LÄN</t>
        </is>
      </c>
      <c r="G59" t="inlineStr">
        <is>
          <t>HEBY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Gullpudra</t>
        </is>
      </c>
      <c r="W59">
        <f>HYPERLINK("https://klasma.github.io/Logging_0331/artfynd/A 63940-2023 artfynd.xlsx", "A 63940-2023")</f>
        <v/>
      </c>
      <c r="X59">
        <f>HYPERLINK("https://klasma.github.io/Logging_0331/kartor/A 63940-2023 karta.png", "A 63940-2023")</f>
        <v/>
      </c>
      <c r="Y59">
        <f>HYPERLINK("https://klasma.github.io/Logging_0331/kartor_geotiff/A 63940-2023 georefererad karta.tif", "A 63940-2023")</f>
        <v/>
      </c>
      <c r="AA59">
        <f>HYPERLINK("https://klasma.github.io/Logging_0331/klagomål/A 63940-2023 FSC-klagomål.docx", "A 63940-2023")</f>
        <v/>
      </c>
      <c r="AB59">
        <f>HYPERLINK("https://klasma.github.io/Logging_0331/klagomålsmail/A 63940-2023 FSC-klagomål mail.docx", "A 63940-2023")</f>
        <v/>
      </c>
      <c r="AC59">
        <f>HYPERLINK("https://klasma.github.io/Logging_0331/tillsyn/A 63940-2023 tillsynsbegäran.docx", "A 63940-2023")</f>
        <v/>
      </c>
      <c r="AD59">
        <f>HYPERLINK("https://klasma.github.io/Logging_0331/tillsynsmail/A 63940-2023 tillsynsbegäran mail.docx", "A 63940-2023")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46251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46251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46251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46251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46251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Talltita</t>
        </is>
      </c>
      <c r="W64">
        <f>HYPERLINK("https://klasma.github.io/Logging_0331/artfynd/A 54368-2024 artfynd.xlsx", "A 54368-2024")</f>
        <v/>
      </c>
      <c r="X64">
        <f>HYPERLINK("https://klasma.github.io/Logging_0331/kartor/A 54368-2024 karta.png", "A 54368-2024")</f>
        <v/>
      </c>
      <c r="Y64">
        <f>HYPERLINK("https://klasma.github.io/Logging_0331/kartor_geotiff/A 54368-2024 georefererad karta.tif", "A 54368-2024")</f>
        <v/>
      </c>
      <c r="AA64">
        <f>HYPERLINK("https://klasma.github.io/Logging_0331/klagomål/A 54368-2024 FSC-klagomål.docx", "A 54368-2024")</f>
        <v/>
      </c>
      <c r="AB64">
        <f>HYPERLINK("https://klasma.github.io/Logging_0331/klagomålsmail/A 54368-2024 FSC-klagomål mail.docx", "A 54368-2024")</f>
        <v/>
      </c>
      <c r="AC64">
        <f>HYPERLINK("https://klasma.github.io/Logging_0331/tillsyn/A 54368-2024 tillsynsbegäran.docx", "A 54368-2024")</f>
        <v/>
      </c>
      <c r="AD64">
        <f>HYPERLINK("https://klasma.github.io/Logging_0331/tillsynsmail/A 54368-2024 tillsynsbegäran mail.docx", "A 54368-2024")</f>
        <v/>
      </c>
      <c r="AE64">
        <f>HYPERLINK("https://klasma.github.io/Logging_0331/fåglar/A 54368-2024 prioriterade fågelarter.docx", "A 54368-2024")</f>
        <v/>
      </c>
    </row>
    <row r="65" ht="15" customHeight="1">
      <c r="A65" t="inlineStr">
        <is>
          <t>A 49707-2023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45208</v>
      </c>
      <c r="E65" s="1" t="n">
        <v>46251</v>
      </c>
      <c r="F65" t="inlineStr">
        <is>
          <t>UPPSALA LÄN</t>
        </is>
      </c>
      <c r="G65" t="inlineStr">
        <is>
          <t>HEBY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Granbarkgnagare</t>
        </is>
      </c>
      <c r="W65">
        <f>HYPERLINK("https://klasma.github.io/Logging_0331/artfynd/A 49707-2023 artfynd.xlsx", "A 49707-2023")</f>
        <v/>
      </c>
      <c r="X65">
        <f>HYPERLINK("https://klasma.github.io/Logging_0331/kartor/A 49707-2023 karta.png", "A 49707-2023")</f>
        <v/>
      </c>
      <c r="Y65">
        <f>HYPERLINK("https://klasma.github.io/Logging_0331/kartor_geotiff/A 49707-2023 georefererad karta.tif", "A 49707-2023")</f>
        <v/>
      </c>
      <c r="AA65">
        <f>HYPERLINK("https://klasma.github.io/Logging_0331/klagomål/A 49707-2023 FSC-klagomål.docx", "A 49707-2023")</f>
        <v/>
      </c>
      <c r="AB65">
        <f>HYPERLINK("https://klasma.github.io/Logging_0331/klagomålsmail/A 49707-2023 FSC-klagomål mail.docx", "A 49707-2023")</f>
        <v/>
      </c>
      <c r="AC65">
        <f>HYPERLINK("https://klasma.github.io/Logging_0331/tillsyn/A 49707-2023 tillsynsbegäran.docx", "A 49707-2023")</f>
        <v/>
      </c>
      <c r="AD65">
        <f>HYPERLINK("https://klasma.github.io/Logging_0331/tillsynsmail/A 49707-2023 tillsynsbegäran mail.docx", "A 49707-2023")</f>
        <v/>
      </c>
    </row>
    <row r="66" ht="15" customHeight="1">
      <c r="A66" t="inlineStr">
        <is>
          <t>A 19555-2025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45770</v>
      </c>
      <c r="E66" s="1" t="n">
        <v>46251</v>
      </c>
      <c r="F66" t="inlineStr">
        <is>
          <t>UPPSALA LÄN</t>
        </is>
      </c>
      <c r="G66" t="inlineStr">
        <is>
          <t>HEBY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HYPERLINK("https://klasma.github.io/Logging_0331/artfynd/A 19555-2025 artfynd.xlsx", "A 19555-2025")</f>
        <v/>
      </c>
      <c r="X66">
        <f>HYPERLINK("https://klasma.github.io/Logging_0331/kartor/A 19555-2025 karta.png", "A 19555-2025")</f>
        <v/>
      </c>
      <c r="Y66">
        <f>HYPERLINK("https://klasma.github.io/Logging_0331/kartor_geotiff/A 19555-2025 georefererad karta.tif", "A 19555-2025")</f>
        <v/>
      </c>
      <c r="AA66">
        <f>HYPERLINK("https://klasma.github.io/Logging_0331/klagomål/A 19555-2025 FSC-klagomål.docx", "A 19555-2025")</f>
        <v/>
      </c>
      <c r="AB66">
        <f>HYPERLINK("https://klasma.github.io/Logging_0331/klagomålsmail/A 19555-2025 FSC-klagomål mail.docx", "A 19555-2025")</f>
        <v/>
      </c>
      <c r="AC66">
        <f>HYPERLINK("https://klasma.github.io/Logging_0331/tillsyn/A 19555-2025 tillsynsbegäran.docx", "A 19555-2025")</f>
        <v/>
      </c>
      <c r="AD66">
        <f>HYPERLINK("https://klasma.github.io/Logging_0331/tillsynsmail/A 19555-2025 tillsynsbegäran mail.docx", "A 19555-2025")</f>
        <v/>
      </c>
      <c r="AE66">
        <f>HYPERLINK("https://klasma.github.io/Logging_0331/fåglar/A 19555-2025 prioriterade fågelarter.docx", "A 19555-2025")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46251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55663-2024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46251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HYPERLINK("https://klasma.github.io/Logging_0331/artfynd/A 55663-2024 artfynd.xlsx", "A 55663-2024")</f>
        <v/>
      </c>
      <c r="X68">
        <f>HYPERLINK("https://klasma.github.io/Logging_0331/kartor/A 55663-2024 karta.png", "A 55663-2024")</f>
        <v/>
      </c>
      <c r="Y68">
        <f>HYPERLINK("https://klasma.github.io/Logging_0331/kartor_geotiff/A 55663-2024 georefererad karta.tif", "A 55663-2024")</f>
        <v/>
      </c>
      <c r="AA68">
        <f>HYPERLINK("https://klasma.github.io/Logging_0331/klagomål/A 55663-2024 FSC-klagomål.docx", "A 55663-2024")</f>
        <v/>
      </c>
      <c r="AB68">
        <f>HYPERLINK("https://klasma.github.io/Logging_0331/klagomålsmail/A 55663-2024 FSC-klagomål mail.docx", "A 55663-2024")</f>
        <v/>
      </c>
      <c r="AC68">
        <f>HYPERLINK("https://klasma.github.io/Logging_0331/tillsyn/A 55663-2024 tillsynsbegäran.docx", "A 55663-2024")</f>
        <v/>
      </c>
      <c r="AD68">
        <f>HYPERLINK("https://klasma.github.io/Logging_0331/tillsynsmail/A 55663-2024 tillsynsbegäran mail.docx", "A 55663-2024")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46251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46251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46251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46251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9358-2026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46251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9358-2026 artfynd.xlsx", "A 9358-2026")</f>
        <v/>
      </c>
      <c r="X73">
        <f>HYPERLINK("https://klasma.github.io/Logging_0331/kartor/A 9358-2026 karta.png", "A 9358-2026")</f>
        <v/>
      </c>
      <c r="Y73">
        <f>HYPERLINK("https://klasma.github.io/Logging_0331/kartor_geotiff/A 9358-2026 georefererad karta.tif", "A 9358-2026")</f>
        <v/>
      </c>
      <c r="AA73">
        <f>HYPERLINK("https://klasma.github.io/Logging_0331/klagomål/A 9358-2026 FSC-klagomål.docx", "A 9358-2026")</f>
        <v/>
      </c>
      <c r="AB73">
        <f>HYPERLINK("https://klasma.github.io/Logging_0331/klagomålsmail/A 9358-2026 FSC-klagomål mail.docx", "A 9358-2026")</f>
        <v/>
      </c>
      <c r="AC73">
        <f>HYPERLINK("https://klasma.github.io/Logging_0331/tillsyn/A 9358-2026 tillsynsbegäran.docx", "A 9358-2026")</f>
        <v/>
      </c>
      <c r="AD73">
        <f>HYPERLINK("https://klasma.github.io/Logging_0331/tillsynsmail/A 9358-2026 tillsynsbegäran mail.docx", "A 9358-2026")</f>
        <v/>
      </c>
    </row>
    <row r="74" ht="15" customHeight="1">
      <c r="A74" t="inlineStr">
        <is>
          <t>A 9455-2026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46251</v>
      </c>
      <c r="F74" t="inlineStr">
        <is>
          <t>UPPSALA LÄN</t>
        </is>
      </c>
      <c r="G74" t="inlineStr">
        <is>
          <t>HEBY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Kungsspindling</t>
        </is>
      </c>
      <c r="W74">
        <f>HYPERLINK("https://klasma.github.io/Logging_0331/artfynd/A 9455-2026 artfynd.xlsx", "A 9455-2026")</f>
        <v/>
      </c>
      <c r="X74">
        <f>HYPERLINK("https://klasma.github.io/Logging_0331/kartor/A 9455-2026 karta.png", "A 9455-2026")</f>
        <v/>
      </c>
      <c r="Y74">
        <f>HYPERLINK("https://klasma.github.io/Logging_0331/kartor_geotiff/A 9455-2026 georefererad karta.tif", "A 9455-2026")</f>
        <v/>
      </c>
      <c r="AA74">
        <f>HYPERLINK("https://klasma.github.io/Logging_0331/klagomål/A 9455-2026 FSC-klagomål.docx", "A 9455-2026")</f>
        <v/>
      </c>
      <c r="AB74">
        <f>HYPERLINK("https://klasma.github.io/Logging_0331/klagomålsmail/A 9455-2026 FSC-klagomål mail.docx", "A 9455-2026")</f>
        <v/>
      </c>
      <c r="AC74">
        <f>HYPERLINK("https://klasma.github.io/Logging_0331/tillsyn/A 9455-2026 tillsynsbegäran.docx", "A 9455-2026")</f>
        <v/>
      </c>
      <c r="AD74">
        <f>HYPERLINK("https://klasma.github.io/Logging_0331/tillsynsmail/A 9455-2026 tillsynsbegäran mail.docx", "A 9455-2026")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46251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17697-2024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46251</v>
      </c>
      <c r="F76" t="inlineStr">
        <is>
          <t>UPPSALA LÄN</t>
        </is>
      </c>
      <c r="G76" t="inlineStr">
        <is>
          <t>HEBY</t>
        </is>
      </c>
      <c r="I76" t="n">
        <v>0.6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HYPERLINK("https://klasma.github.io/Logging_0331/artfynd/A 17697-2024 artfynd.xlsx", "A 17697-2024")</f>
        <v/>
      </c>
      <c r="X76">
        <f>HYPERLINK("https://klasma.github.io/Logging_0331/kartor/A 17697-2024 karta.png", "A 17697-2024")</f>
        <v/>
      </c>
      <c r="Y76">
        <f>HYPERLINK("https://klasma.github.io/Logging_0331/kartor_geotiff/A 17697-2024 georefererad karta.tif", "A 17697-2024")</f>
        <v/>
      </c>
      <c r="AA76">
        <f>HYPERLINK("https://klasma.github.io/Logging_0331/klagomål/A 17697-2024 FSC-klagomål.docx", "A 17697-2024")</f>
        <v/>
      </c>
      <c r="AB76">
        <f>HYPERLINK("https://klasma.github.io/Logging_0331/klagomålsmail/A 17697-2024 FSC-klagomål mail.docx", "A 17697-2024")</f>
        <v/>
      </c>
      <c r="AC76">
        <f>HYPERLINK("https://klasma.github.io/Logging_0331/tillsyn/A 17697-2024 tillsynsbegäran.docx", "A 17697-2024")</f>
        <v/>
      </c>
      <c r="AD76">
        <f>HYPERLINK("https://klasma.github.io/Logging_0331/tillsynsmail/A 17697-2024 tillsynsbegäran mail.docx", "A 17697-2024")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46251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17006-2024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46251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14.6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HYPERLINK("https://klasma.github.io/Logging_0331/artfynd/A 17006-2024 artfynd.xlsx", "A 17006-2024")</f>
        <v/>
      </c>
      <c r="X78">
        <f>HYPERLINK("https://klasma.github.io/Logging_0331/kartor/A 17006-2024 karta.png", "A 17006-2024")</f>
        <v/>
      </c>
      <c r="Y78">
        <f>HYPERLINK("https://klasma.github.io/Logging_0331/kartor_geotiff/A 17006-2024 georefererad karta.tif", "A 17006-2024")</f>
        <v/>
      </c>
      <c r="AA78">
        <f>HYPERLINK("https://klasma.github.io/Logging_0331/klagomål/A 17006-2024 FSC-klagomål.docx", "A 17006-2024")</f>
        <v/>
      </c>
      <c r="AB78">
        <f>HYPERLINK("https://klasma.github.io/Logging_0331/klagomålsmail/A 17006-2024 FSC-klagomål mail.docx", "A 17006-2024")</f>
        <v/>
      </c>
      <c r="AC78">
        <f>HYPERLINK("https://klasma.github.io/Logging_0331/tillsyn/A 17006-2024 tillsynsbegäran.docx", "A 17006-2024")</f>
        <v/>
      </c>
      <c r="AD78">
        <f>HYPERLINK("https://klasma.github.io/Logging_0331/tillsynsmail/A 17006-2024 tillsynsbegäran mail.docx", "A 17006-2024")</f>
        <v/>
      </c>
      <c r="AE78">
        <f>HYPERLINK("https://klasma.github.io/Logging_0331/fåglar/A 17006-2024 prioriterade fågelarter.docx", "A 17006-2024")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46251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46251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46251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55763-2025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45972</v>
      </c>
      <c r="E82" s="1" t="n">
        <v>46251</v>
      </c>
      <c r="F82" t="inlineStr">
        <is>
          <t>UPPSALA LÄN</t>
        </is>
      </c>
      <c r="G82" t="inlineStr">
        <is>
          <t>HEBY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Kandelabersvamp</t>
        </is>
      </c>
      <c r="W82">
        <f>HYPERLINK("https://klasma.github.io/Logging_0331/artfynd/A 55763-2025 artfynd.xlsx", "A 55763-2025")</f>
        <v/>
      </c>
      <c r="X82">
        <f>HYPERLINK("https://klasma.github.io/Logging_0331/kartor/A 55763-2025 karta.png", "A 55763-2025")</f>
        <v/>
      </c>
      <c r="Y82">
        <f>HYPERLINK("https://klasma.github.io/Logging_0331/kartor_geotiff/A 55763-2025 georefererad karta.tif", "A 55763-2025")</f>
        <v/>
      </c>
      <c r="AA82">
        <f>HYPERLINK("https://klasma.github.io/Logging_0331/klagomål/A 55763-2025 FSC-klagomål.docx", "A 55763-2025")</f>
        <v/>
      </c>
      <c r="AB82">
        <f>HYPERLINK("https://klasma.github.io/Logging_0331/klagomålsmail/A 55763-2025 FSC-klagomål mail.docx", "A 55763-2025")</f>
        <v/>
      </c>
      <c r="AC82">
        <f>HYPERLINK("https://klasma.github.io/Logging_0331/tillsyn/A 55763-2025 tillsynsbegäran.docx", "A 55763-2025")</f>
        <v/>
      </c>
      <c r="AD82">
        <f>HYPERLINK("https://klasma.github.io/Logging_0331/tillsynsmail/A 55763-2025 tillsynsbegäran mail.docx", "A 55763-2025")</f>
        <v/>
      </c>
    </row>
    <row r="83" ht="15" customHeight="1">
      <c r="A83" t="inlineStr">
        <is>
          <t>A 9618-2026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46251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HYPERLINK("https://klasma.github.io/Logging_0331/artfynd/A 9618-2026 artfynd.xlsx", "A 9618-2026")</f>
        <v/>
      </c>
      <c r="X83">
        <f>HYPERLINK("https://klasma.github.io/Logging_0331/kartor/A 9618-2026 karta.png", "A 9618-2026")</f>
        <v/>
      </c>
      <c r="Y83">
        <f>HYPERLINK("https://klasma.github.io/Logging_0331/kartor_geotiff/A 9618-2026 georefererad karta.tif", "A 9618-2026")</f>
        <v/>
      </c>
      <c r="AA83">
        <f>HYPERLINK("https://klasma.github.io/Logging_0331/klagomål/A 9618-2026 FSC-klagomål.docx", "A 9618-2026")</f>
        <v/>
      </c>
      <c r="AB83">
        <f>HYPERLINK("https://klasma.github.io/Logging_0331/klagomålsmail/A 9618-2026 FSC-klagomål mail.docx", "A 9618-2026")</f>
        <v/>
      </c>
      <c r="AC83">
        <f>HYPERLINK("https://klasma.github.io/Logging_0331/tillsyn/A 9618-2026 tillsynsbegäran.docx", "A 9618-2026")</f>
        <v/>
      </c>
      <c r="AD83">
        <f>HYPERLINK("https://klasma.github.io/Logging_0331/tillsynsmail/A 9618-2026 tillsynsbegäran mail.docx", "A 9618-2026")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46251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46251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46251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46251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46251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46251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46251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46251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46251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46251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46251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46251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46251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46251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46251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46251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46251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46251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46251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46251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46251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46251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46251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46251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46251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46251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46251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46251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46251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46251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46251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46251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44832</v>
      </c>
      <c r="E116" s="1" t="n">
        <v>46251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46251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46251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46251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46251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46251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46251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46251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46251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46251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46251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46251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46251</v>
      </c>
      <c r="F128" t="inlineStr">
        <is>
          <t>UPPSALA LÄN</t>
        </is>
      </c>
      <c r="G128" t="inlineStr">
        <is>
          <t>HEBY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46251</v>
      </c>
      <c r="F129" t="inlineStr">
        <is>
          <t>UPPSALA LÄN</t>
        </is>
      </c>
      <c r="G129" t="inlineStr">
        <is>
          <t>HEBY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46251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46251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46251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46251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44752</v>
      </c>
      <c r="E134" s="1" t="n">
        <v>46251</v>
      </c>
      <c r="F134" t="inlineStr">
        <is>
          <t>UPPSALA LÄN</t>
        </is>
      </c>
      <c r="G134" t="inlineStr">
        <is>
          <t>HEBY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46251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46251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46251</v>
      </c>
      <c r="F137" t="inlineStr">
        <is>
          <t>UPPSALA LÄN</t>
        </is>
      </c>
      <c r="G137" t="inlineStr">
        <is>
          <t>HEBY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46251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44791</v>
      </c>
      <c r="E139" s="1" t="n">
        <v>46251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44459</v>
      </c>
      <c r="E140" s="1" t="n">
        <v>46251</v>
      </c>
      <c r="F140" t="inlineStr">
        <is>
          <t>UPPSALA LÄN</t>
        </is>
      </c>
      <c r="G140" t="inlineStr">
        <is>
          <t>HEBY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46251</v>
      </c>
      <c r="F141" t="inlineStr">
        <is>
          <t>UPPSALA LÄN</t>
        </is>
      </c>
      <c r="G141" t="inlineStr">
        <is>
          <t>HEBY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46251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44685</v>
      </c>
      <c r="E143" s="1" t="n">
        <v>46251</v>
      </c>
      <c r="F143" t="inlineStr">
        <is>
          <t>UPPSALA LÄN</t>
        </is>
      </c>
      <c r="G143" t="inlineStr">
        <is>
          <t>HEBY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46251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46251</v>
      </c>
      <c r="F145" t="inlineStr">
        <is>
          <t>UPPSALA LÄN</t>
        </is>
      </c>
      <c r="G145" t="inlineStr">
        <is>
          <t>HEBY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46251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46251</v>
      </c>
      <c r="F147" t="inlineStr">
        <is>
          <t>UPPSALA LÄN</t>
        </is>
      </c>
      <c r="G147" t="inlineStr">
        <is>
          <t>HEBY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46251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46251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44650</v>
      </c>
      <c r="E150" s="1" t="n">
        <v>46251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öst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46251</v>
      </c>
      <c r="F151" t="inlineStr">
        <is>
          <t>UPPSALA LÄN</t>
        </is>
      </c>
      <c r="G151" t="inlineStr">
        <is>
          <t>HEBY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44655</v>
      </c>
      <c r="E152" s="1" t="n">
        <v>46251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46251</v>
      </c>
      <c r="F153" t="inlineStr">
        <is>
          <t>UPPSALA LÄN</t>
        </is>
      </c>
      <c r="G153" t="inlineStr">
        <is>
          <t>HEBY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46251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46251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46251</v>
      </c>
      <c r="F156" t="inlineStr">
        <is>
          <t>UPPSALA LÄN</t>
        </is>
      </c>
      <c r="G156" t="inlineStr">
        <is>
          <t>HEBY</t>
        </is>
      </c>
      <c r="I156" t="n">
        <v>10.3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46251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46251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46251</v>
      </c>
      <c r="F159" t="inlineStr">
        <is>
          <t>UPPSALA LÄN</t>
        </is>
      </c>
      <c r="G159" t="inlineStr">
        <is>
          <t>HEBY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46251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44573</v>
      </c>
      <c r="E161" s="1" t="n">
        <v>46251</v>
      </c>
      <c r="F161" t="inlineStr">
        <is>
          <t>UPPSALA LÄN</t>
        </is>
      </c>
      <c r="G161" t="inlineStr">
        <is>
          <t>HEBY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46251</v>
      </c>
      <c r="F162" t="inlineStr">
        <is>
          <t>UPPSALA LÄN</t>
        </is>
      </c>
      <c r="G162" t="inlineStr">
        <is>
          <t>HEBY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44614</v>
      </c>
      <c r="E163" s="1" t="n">
        <v>46251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46251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46251</v>
      </c>
      <c r="F165" t="inlineStr">
        <is>
          <t>UPPSALA LÄN</t>
        </is>
      </c>
      <c r="G165" t="inlineStr">
        <is>
          <t>HEBY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46251</v>
      </c>
      <c r="F166" t="inlineStr">
        <is>
          <t>UPPSALA LÄN</t>
        </is>
      </c>
      <c r="G166" t="inlineStr">
        <is>
          <t>HEBY</t>
        </is>
      </c>
      <c r="H166" t="inlineStr">
        <is>
          <t>Allmännings- och besparingsskogar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45317</v>
      </c>
      <c r="E167" s="1" t="n">
        <v>46251</v>
      </c>
      <c r="F167" t="inlineStr">
        <is>
          <t>UPPSALA LÄN</t>
        </is>
      </c>
      <c r="G167" t="inlineStr">
        <is>
          <t>HEBY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46251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46251</v>
      </c>
      <c r="F169" t="inlineStr">
        <is>
          <t>UPPSALA LÄN</t>
        </is>
      </c>
      <c r="G169" t="inlineStr">
        <is>
          <t>HEBY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46251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45688</v>
      </c>
      <c r="E171" s="1" t="n">
        <v>46251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46251</v>
      </c>
      <c r="F172" t="inlineStr">
        <is>
          <t>UPPSALA LÄN</t>
        </is>
      </c>
      <c r="G172" t="inlineStr">
        <is>
          <t>HEBY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45379</v>
      </c>
      <c r="E173" s="1" t="n">
        <v>46251</v>
      </c>
      <c r="F173" t="inlineStr">
        <is>
          <t>UPPSALA LÄN</t>
        </is>
      </c>
      <c r="G173" t="inlineStr">
        <is>
          <t>HEBY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46251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45339</v>
      </c>
      <c r="E175" s="1" t="n">
        <v>46251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45502</v>
      </c>
      <c r="E176" s="1" t="n">
        <v>46251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46251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46251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46251</v>
      </c>
      <c r="F179" t="inlineStr">
        <is>
          <t>UPPSALA LÄN</t>
        </is>
      </c>
      <c r="G179" t="inlineStr">
        <is>
          <t>HEBY</t>
        </is>
      </c>
      <c r="H179" t="inlineStr">
        <is>
          <t>Övriga Aktiebolag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46251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46251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46251</v>
      </c>
      <c r="F182" t="inlineStr">
        <is>
          <t>UPPSALA LÄN</t>
        </is>
      </c>
      <c r="G182" t="inlineStr">
        <is>
          <t>HEBY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46251</v>
      </c>
      <c r="F183" t="inlineStr">
        <is>
          <t>UPPSALA LÄN</t>
        </is>
      </c>
      <c r="G183" t="inlineStr">
        <is>
          <t>HEBY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46251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46251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46251</v>
      </c>
      <c r="F186" t="inlineStr">
        <is>
          <t>UPPSALA LÄN</t>
        </is>
      </c>
      <c r="G186" t="inlineStr">
        <is>
          <t>HEBY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46251</v>
      </c>
      <c r="F187" t="inlineStr">
        <is>
          <t>UPPSALA LÄN</t>
        </is>
      </c>
      <c r="G187" t="inlineStr">
        <is>
          <t>HEBY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46251</v>
      </c>
      <c r="F188" t="inlineStr">
        <is>
          <t>UPPSALA LÄN</t>
        </is>
      </c>
      <c r="G188" t="inlineStr">
        <is>
          <t>HEBY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46251</v>
      </c>
      <c r="F189" t="inlineStr">
        <is>
          <t>UPPSALA LÄN</t>
        </is>
      </c>
      <c r="G189" t="inlineStr">
        <is>
          <t>HEBY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46251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45294</v>
      </c>
      <c r="E191" s="1" t="n">
        <v>46251</v>
      </c>
      <c r="F191" t="inlineStr">
        <is>
          <t>UPPSALA LÄN</t>
        </is>
      </c>
      <c r="G191" t="inlineStr">
        <is>
          <t>HEBY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46251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46251</v>
      </c>
      <c r="F193" t="inlineStr">
        <is>
          <t>UPPSALA LÄN</t>
        </is>
      </c>
      <c r="G193" t="inlineStr">
        <is>
          <t>HEBY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64899-2021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44512</v>
      </c>
      <c r="E194" s="1" t="n">
        <v>46251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öst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46251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46251</v>
      </c>
      <c r="F196" t="inlineStr">
        <is>
          <t>UPPSALA LÄN</t>
        </is>
      </c>
      <c r="G196" t="inlineStr">
        <is>
          <t>HEBY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46251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60722-2022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44913</v>
      </c>
      <c r="E198" s="1" t="n">
        <v>46251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46251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44586</v>
      </c>
      <c r="E200" s="1" t="n">
        <v>46251</v>
      </c>
      <c r="F200" t="inlineStr">
        <is>
          <t>UPPSALA LÄN</t>
        </is>
      </c>
      <c r="G200" t="inlineStr">
        <is>
          <t>HEBY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46251</v>
      </c>
      <c r="F201" t="inlineStr">
        <is>
          <t>UPPSALA LÄN</t>
        </is>
      </c>
      <c r="G201" t="inlineStr">
        <is>
          <t>HEBY</t>
        </is>
      </c>
      <c r="H201" t="inlineStr">
        <is>
          <t>Allmännings- och besparingsskogar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44753</v>
      </c>
      <c r="E202" s="1" t="n">
        <v>46251</v>
      </c>
      <c r="F202" t="inlineStr">
        <is>
          <t>UPPSALA LÄN</t>
        </is>
      </c>
      <c r="G202" t="inlineStr">
        <is>
          <t>HEBY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46251</v>
      </c>
      <c r="F203" t="inlineStr">
        <is>
          <t>UPPSALA LÄN</t>
        </is>
      </c>
      <c r="G203" t="inlineStr">
        <is>
          <t>HEBY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44903</v>
      </c>
      <c r="E204" s="1" t="n">
        <v>46251</v>
      </c>
      <c r="F204" t="inlineStr">
        <is>
          <t>UPPSALA LÄN</t>
        </is>
      </c>
      <c r="G204" t="inlineStr">
        <is>
          <t>HEBY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46251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46251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46251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46251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46251</v>
      </c>
      <c r="F209" t="inlineStr">
        <is>
          <t>UPPSALA LÄN</t>
        </is>
      </c>
      <c r="G209" t="inlineStr">
        <is>
          <t>HEBY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46251</v>
      </c>
      <c r="F210" t="inlineStr">
        <is>
          <t>UPPSALA LÄN</t>
        </is>
      </c>
      <c r="G210" t="inlineStr">
        <is>
          <t>HEBY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46251</v>
      </c>
      <c r="F211" t="inlineStr">
        <is>
          <t>UPPSALA LÄN</t>
        </is>
      </c>
      <c r="G211" t="inlineStr">
        <is>
          <t>HEBY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46251</v>
      </c>
      <c r="F212" t="inlineStr">
        <is>
          <t>UPPSALA LÄN</t>
        </is>
      </c>
      <c r="G212" t="inlineStr">
        <is>
          <t>HEBY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46251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46251</v>
      </c>
      <c r="F214" t="inlineStr">
        <is>
          <t>UPPSALA LÄN</t>
        </is>
      </c>
      <c r="G214" t="inlineStr">
        <is>
          <t>HEBY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46251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46251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46251</v>
      </c>
      <c r="F217" t="inlineStr">
        <is>
          <t>UPPSALA LÄN</t>
        </is>
      </c>
      <c r="G217" t="inlineStr">
        <is>
          <t>HEBY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46251</v>
      </c>
      <c r="F218" t="inlineStr">
        <is>
          <t>UPPSALA LÄN</t>
        </is>
      </c>
      <c r="G218" t="inlineStr">
        <is>
          <t>HEBY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46251</v>
      </c>
      <c r="F219" t="inlineStr">
        <is>
          <t>UPPSALA LÄN</t>
        </is>
      </c>
      <c r="G219" t="inlineStr">
        <is>
          <t>HEBY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46251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66.90000000000001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45128</v>
      </c>
      <c r="E221" s="1" t="n">
        <v>46251</v>
      </c>
      <c r="F221" t="inlineStr">
        <is>
          <t>UPPSALA LÄN</t>
        </is>
      </c>
      <c r="G221" t="inlineStr">
        <is>
          <t>HEBY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46251</v>
      </c>
      <c r="F222" t="inlineStr">
        <is>
          <t>UPPSALA LÄN</t>
        </is>
      </c>
      <c r="G222" t="inlineStr">
        <is>
          <t>HEBY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46251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46251</v>
      </c>
      <c r="F224" t="inlineStr">
        <is>
          <t>UPPSALA LÄN</t>
        </is>
      </c>
      <c r="G224" t="inlineStr">
        <is>
          <t>HEBY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46251</v>
      </c>
      <c r="F225" t="inlineStr">
        <is>
          <t>UPPSALA LÄN</t>
        </is>
      </c>
      <c r="G225" t="inlineStr">
        <is>
          <t>HEBY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46251</v>
      </c>
      <c r="F226" t="inlineStr">
        <is>
          <t>UPPSALA LÄN</t>
        </is>
      </c>
      <c r="G226" t="inlineStr">
        <is>
          <t>HEBY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46251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46251</v>
      </c>
      <c r="F228" t="inlineStr">
        <is>
          <t>UPPSALA LÄN</t>
        </is>
      </c>
      <c r="G228" t="inlineStr">
        <is>
          <t>HEBY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46251</v>
      </c>
      <c r="F229" t="inlineStr">
        <is>
          <t>UPPSALA LÄN</t>
        </is>
      </c>
      <c r="G229" t="inlineStr">
        <is>
          <t>HEBY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46251</v>
      </c>
      <c r="F230" t="inlineStr">
        <is>
          <t>UPPSALA LÄN</t>
        </is>
      </c>
      <c r="G230" t="inlineStr">
        <is>
          <t>HEBY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46251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46251</v>
      </c>
      <c r="F232" t="inlineStr">
        <is>
          <t>UPPSALA LÄN</t>
        </is>
      </c>
      <c r="G232" t="inlineStr">
        <is>
          <t>HEBY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45331</v>
      </c>
      <c r="E233" s="1" t="n">
        <v>46251</v>
      </c>
      <c r="F233" t="inlineStr">
        <is>
          <t>UPPSALA LÄN</t>
        </is>
      </c>
      <c r="G233" t="inlineStr">
        <is>
          <t>HEBY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46251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46251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46251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44944</v>
      </c>
      <c r="E237" s="1" t="n">
        <v>46251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46251</v>
      </c>
      <c r="F238" t="inlineStr">
        <is>
          <t>UPPSALA LÄN</t>
        </is>
      </c>
      <c r="G238" t="inlineStr">
        <is>
          <t>HEBY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44732</v>
      </c>
      <c r="E239" s="1" t="n">
        <v>46251</v>
      </c>
      <c r="F239" t="inlineStr">
        <is>
          <t>UPPSALA LÄN</t>
        </is>
      </c>
      <c r="G239" t="inlineStr">
        <is>
          <t>HEBY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46251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46251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46251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46251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46110</v>
      </c>
      <c r="E244" s="1" t="n">
        <v>46251</v>
      </c>
      <c r="F244" t="inlineStr">
        <is>
          <t>UPPSALA LÄN</t>
        </is>
      </c>
      <c r="G244" t="inlineStr">
        <is>
          <t>HEBY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44916</v>
      </c>
      <c r="E245" s="1" t="n">
        <v>46251</v>
      </c>
      <c r="F245" t="inlineStr">
        <is>
          <t>UPPSALA LÄN</t>
        </is>
      </c>
      <c r="G245" t="inlineStr">
        <is>
          <t>HEBY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46251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46251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46251</v>
      </c>
      <c r="F248" t="inlineStr">
        <is>
          <t>UPPSALA LÄN</t>
        </is>
      </c>
      <c r="G248" t="inlineStr">
        <is>
          <t>HEBY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45364</v>
      </c>
      <c r="E249" s="1" t="n">
        <v>46251</v>
      </c>
      <c r="F249" t="inlineStr">
        <is>
          <t>UPPSALA LÄN</t>
        </is>
      </c>
      <c r="G249" t="inlineStr">
        <is>
          <t>HEBY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45364</v>
      </c>
      <c r="E250" s="1" t="n">
        <v>46251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46251</v>
      </c>
      <c r="F251" t="inlineStr">
        <is>
          <t>UPPSALA LÄN</t>
        </is>
      </c>
      <c r="G251" t="inlineStr">
        <is>
          <t>HEBY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55488-2025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45971</v>
      </c>
      <c r="E252" s="1" t="n">
        <v>46251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55496-2025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45971</v>
      </c>
      <c r="E253" s="1" t="n">
        <v>46251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46251</v>
      </c>
      <c r="F254" t="inlineStr">
        <is>
          <t>UPPSALA LÄN</t>
        </is>
      </c>
      <c r="G254" t="inlineStr">
        <is>
          <t>HEBY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46251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46251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46251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46112</v>
      </c>
      <c r="E258" s="1" t="n">
        <v>46251</v>
      </c>
      <c r="F258" t="inlineStr">
        <is>
          <t>UPPSALA LÄN</t>
        </is>
      </c>
      <c r="G258" t="inlineStr">
        <is>
          <t>HEBY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46251</v>
      </c>
      <c r="F259" t="inlineStr">
        <is>
          <t>UPPSALA LÄN</t>
        </is>
      </c>
      <c r="G259" t="inlineStr">
        <is>
          <t>HEBY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46251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46251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46251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46251</v>
      </c>
      <c r="F263" t="inlineStr">
        <is>
          <t>UPPSALA LÄN</t>
        </is>
      </c>
      <c r="G263" t="inlineStr">
        <is>
          <t>HEBY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46251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44701</v>
      </c>
      <c r="E265" s="1" t="n">
        <v>46251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46251</v>
      </c>
      <c r="F266" t="inlineStr">
        <is>
          <t>UPPSALA LÄN</t>
        </is>
      </c>
      <c r="G266" t="inlineStr">
        <is>
          <t>HEBY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46251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46251</v>
      </c>
      <c r="F268" t="inlineStr">
        <is>
          <t>UPPSALA LÄN</t>
        </is>
      </c>
      <c r="G268" t="inlineStr">
        <is>
          <t>HEBY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46251</v>
      </c>
      <c r="F269" t="inlineStr">
        <is>
          <t>UPPSALA LÄN</t>
        </is>
      </c>
      <c r="G269" t="inlineStr">
        <is>
          <t>HEBY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46251</v>
      </c>
      <c r="F270" t="inlineStr">
        <is>
          <t>UPPSALA LÄN</t>
        </is>
      </c>
      <c r="G270" t="inlineStr">
        <is>
          <t>HEBY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44911</v>
      </c>
      <c r="E271" s="1" t="n">
        <v>46251</v>
      </c>
      <c r="F271" t="inlineStr">
        <is>
          <t>UPPSALA LÄN</t>
        </is>
      </c>
      <c r="G271" t="inlineStr">
        <is>
          <t>HEBY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46251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45422</v>
      </c>
      <c r="E273" s="1" t="n">
        <v>46251</v>
      </c>
      <c r="F273" t="inlineStr">
        <is>
          <t>UPPSALA LÄN</t>
        </is>
      </c>
      <c r="G273" t="inlineStr">
        <is>
          <t>HEBY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46251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46251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46251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öst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46251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44495</v>
      </c>
      <c r="E278" s="1" t="n">
        <v>46251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59486-2021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46251</v>
      </c>
      <c r="F279" t="inlineStr">
        <is>
          <t>UPPSALA LÄN</t>
        </is>
      </c>
      <c r="G279" t="inlineStr">
        <is>
          <t>HEBY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46251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46251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46251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öst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45572</v>
      </c>
      <c r="E283" s="1" t="n">
        <v>46251</v>
      </c>
      <c r="F283" t="inlineStr">
        <is>
          <t>UPPSALA LÄN</t>
        </is>
      </c>
      <c r="G283" t="inlineStr">
        <is>
          <t>HEBY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46251</v>
      </c>
      <c r="F284" t="inlineStr">
        <is>
          <t>UPPSALA LÄN</t>
        </is>
      </c>
      <c r="G284" t="inlineStr">
        <is>
          <t>HEBY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46251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46251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46251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46251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46251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46251</v>
      </c>
      <c r="F290" t="inlineStr">
        <is>
          <t>UPPSALA LÄN</t>
        </is>
      </c>
      <c r="G290" t="inlineStr">
        <is>
          <t>HEBY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46251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70158-2021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44533</v>
      </c>
      <c r="E292" s="1" t="n">
        <v>46251</v>
      </c>
      <c r="F292" t="inlineStr">
        <is>
          <t>UPPSALA LÄN</t>
        </is>
      </c>
      <c r="G292" t="inlineStr">
        <is>
          <t>HEBY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46251</v>
      </c>
      <c r="F293" t="inlineStr">
        <is>
          <t>UPPSALA LÄN</t>
        </is>
      </c>
      <c r="G293" t="inlineStr">
        <is>
          <t>HEBY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46251</v>
      </c>
      <c r="F294" t="inlineStr">
        <is>
          <t>UPPSALA LÄN</t>
        </is>
      </c>
      <c r="G294" t="inlineStr">
        <is>
          <t>HEBY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46251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46251</v>
      </c>
      <c r="F296" t="inlineStr">
        <is>
          <t>UPPSALA LÄN</t>
        </is>
      </c>
      <c r="G296" t="inlineStr">
        <is>
          <t>HEBY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46251</v>
      </c>
      <c r="F297" t="inlineStr">
        <is>
          <t>UPPSALA LÄN</t>
        </is>
      </c>
      <c r="G297" t="inlineStr">
        <is>
          <t>HEBY</t>
        </is>
      </c>
      <c r="H297" t="inlineStr">
        <is>
          <t>Kommuner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46251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46133</v>
      </c>
      <c r="E299" s="1" t="n">
        <v>46251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44434</v>
      </c>
      <c r="E300" s="1" t="n">
        <v>46251</v>
      </c>
      <c r="F300" t="inlineStr">
        <is>
          <t>UPPSALA LÄN</t>
        </is>
      </c>
      <c r="G300" t="inlineStr">
        <is>
          <t>HEBY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46251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44602</v>
      </c>
      <c r="E302" s="1" t="n">
        <v>46251</v>
      </c>
      <c r="F302" t="inlineStr">
        <is>
          <t>UPPSALA LÄN</t>
        </is>
      </c>
      <c r="G302" t="inlineStr">
        <is>
          <t>HEBY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46251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46251</v>
      </c>
      <c r="F304" t="inlineStr">
        <is>
          <t>UPPSALA LÄN</t>
        </is>
      </c>
      <c r="G304" t="inlineStr">
        <is>
          <t>HEBY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62042-2025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46005</v>
      </c>
      <c r="E305" s="1" t="n">
        <v>46251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44684</v>
      </c>
      <c r="E306" s="1" t="n">
        <v>46251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41.8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66873-2021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44522</v>
      </c>
      <c r="E307" s="1" t="n">
        <v>46251</v>
      </c>
      <c r="F307" t="inlineStr">
        <is>
          <t>UPPSALA LÄN</t>
        </is>
      </c>
      <c r="G307" t="inlineStr">
        <is>
          <t>HEBY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46251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44753</v>
      </c>
      <c r="E309" s="1" t="n">
        <v>46251</v>
      </c>
      <c r="F309" t="inlineStr">
        <is>
          <t>UPPSALA LÄN</t>
        </is>
      </c>
      <c r="G309" t="inlineStr">
        <is>
          <t>HEBY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46251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46251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35868-2022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46251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46251</v>
      </c>
      <c r="F313" t="inlineStr">
        <is>
          <t>UPPSALA LÄN</t>
        </is>
      </c>
      <c r="G313" t="inlineStr">
        <is>
          <t>HEBY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46251</v>
      </c>
      <c r="F314" t="inlineStr">
        <is>
          <t>UPPSALA LÄN</t>
        </is>
      </c>
      <c r="G314" t="inlineStr">
        <is>
          <t>HEBY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46251</v>
      </c>
      <c r="F315" t="inlineStr">
        <is>
          <t>UPPSALA LÄN</t>
        </is>
      </c>
      <c r="G315" t="inlineStr">
        <is>
          <t>HEBY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46251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46251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44701</v>
      </c>
      <c r="E318" s="1" t="n">
        <v>46251</v>
      </c>
      <c r="F318" t="inlineStr">
        <is>
          <t>UPPSALA LÄN</t>
        </is>
      </c>
      <c r="G318" t="inlineStr">
        <is>
          <t>HEBY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46251</v>
      </c>
      <c r="F319" t="inlineStr">
        <is>
          <t>UPPSALA LÄN</t>
        </is>
      </c>
      <c r="G319" t="inlineStr">
        <is>
          <t>HEBY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56352-2021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44480</v>
      </c>
      <c r="E320" s="1" t="n">
        <v>46251</v>
      </c>
      <c r="F320" t="inlineStr">
        <is>
          <t>UPPSALA LÄN</t>
        </is>
      </c>
      <c r="G320" t="inlineStr">
        <is>
          <t>HEBY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46251</v>
      </c>
      <c r="F321" t="inlineStr">
        <is>
          <t>UPPSALA LÄN</t>
        </is>
      </c>
      <c r="G321" t="inlineStr">
        <is>
          <t>HEBY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44431</v>
      </c>
      <c r="E322" s="1" t="n">
        <v>46251</v>
      </c>
      <c r="F322" t="inlineStr">
        <is>
          <t>UPPSALA LÄN</t>
        </is>
      </c>
      <c r="G322" t="inlineStr">
        <is>
          <t>HEBY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46251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46251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46023</v>
      </c>
      <c r="E325" s="1" t="n">
        <v>46251</v>
      </c>
      <c r="F325" t="inlineStr">
        <is>
          <t>UPPSALA LÄN</t>
        </is>
      </c>
      <c r="G325" t="inlineStr">
        <is>
          <t>HEBY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46251</v>
      </c>
      <c r="F326" t="inlineStr">
        <is>
          <t>UPPSALA LÄN</t>
        </is>
      </c>
      <c r="G326" t="inlineStr">
        <is>
          <t>HEBY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46251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45964-2021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44441</v>
      </c>
      <c r="E328" s="1" t="n">
        <v>46251</v>
      </c>
      <c r="F328" t="inlineStr">
        <is>
          <t>UPPSALA LÄN</t>
        </is>
      </c>
      <c r="G328" t="inlineStr">
        <is>
          <t>HEBY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46251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44810</v>
      </c>
      <c r="E330" s="1" t="n">
        <v>46251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väst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44644</v>
      </c>
      <c r="E331" s="1" t="n">
        <v>46251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46251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46251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44754</v>
      </c>
      <c r="E334" s="1" t="n">
        <v>46251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46251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46251</v>
      </c>
      <c r="F336" t="inlineStr">
        <is>
          <t>UPPSALA LÄN</t>
        </is>
      </c>
      <c r="G336" t="inlineStr">
        <is>
          <t>HEBY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44694</v>
      </c>
      <c r="E337" s="1" t="n">
        <v>46251</v>
      </c>
      <c r="F337" t="inlineStr">
        <is>
          <t>UPPSALA LÄN</t>
        </is>
      </c>
      <c r="G337" t="inlineStr">
        <is>
          <t>HEBY</t>
        </is>
      </c>
      <c r="I337" t="n">
        <v>22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46251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17407-2023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46251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46251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46251</v>
      </c>
      <c r="F341" t="inlineStr">
        <is>
          <t>UPPSALA LÄN</t>
        </is>
      </c>
      <c r="G341" t="inlineStr">
        <is>
          <t>HEBY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46251</v>
      </c>
      <c r="F342" t="inlineStr">
        <is>
          <t>UPPSALA LÄN</t>
        </is>
      </c>
      <c r="G342" t="inlineStr">
        <is>
          <t>HEBY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46251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46251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46251</v>
      </c>
      <c r="F345" t="inlineStr">
        <is>
          <t>UPPSALA LÄN</t>
        </is>
      </c>
      <c r="G345" t="inlineStr">
        <is>
          <t>HEBY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46251</v>
      </c>
      <c r="F346" t="inlineStr">
        <is>
          <t>UPPSALA LÄN</t>
        </is>
      </c>
      <c r="G346" t="inlineStr">
        <is>
          <t>HEBY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46251</v>
      </c>
      <c r="F347" t="inlineStr">
        <is>
          <t>UPPSALA LÄN</t>
        </is>
      </c>
      <c r="G347" t="inlineStr">
        <is>
          <t>HEBY</t>
        </is>
      </c>
      <c r="H347" t="inlineStr">
        <is>
          <t>Allmännings- och besparingsskogar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46251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46251</v>
      </c>
      <c r="F349" t="inlineStr">
        <is>
          <t>UPPSALA LÄN</t>
        </is>
      </c>
      <c r="G349" t="inlineStr">
        <is>
          <t>HEBY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46251</v>
      </c>
      <c r="F350" t="inlineStr">
        <is>
          <t>UPPSALA LÄN</t>
        </is>
      </c>
      <c r="G350" t="inlineStr">
        <is>
          <t>HEBY</t>
        </is>
      </c>
      <c r="H350" t="inlineStr">
        <is>
          <t>Kyrkan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60788-2022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46251</v>
      </c>
      <c r="F351" t="inlineStr">
        <is>
          <t>UPPSALA LÄN</t>
        </is>
      </c>
      <c r="G351" t="inlineStr">
        <is>
          <t>HEBY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11835-2024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46251</v>
      </c>
      <c r="F352" t="inlineStr">
        <is>
          <t>UPPSALA LÄN</t>
        </is>
      </c>
      <c r="G352" t="inlineStr">
        <is>
          <t>HEBY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46251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46251</v>
      </c>
      <c r="F354" t="inlineStr">
        <is>
          <t>UPPSALA LÄN</t>
        </is>
      </c>
      <c r="G354" t="inlineStr">
        <is>
          <t>HEBY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45743</v>
      </c>
      <c r="E355" s="1" t="n">
        <v>46251</v>
      </c>
      <c r="F355" t="inlineStr">
        <is>
          <t>UPPSALA LÄN</t>
        </is>
      </c>
      <c r="G355" t="inlineStr">
        <is>
          <t>HEBY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46251</v>
      </c>
      <c r="F356" t="inlineStr">
        <is>
          <t>UPPSALA LÄN</t>
        </is>
      </c>
      <c r="G356" t="inlineStr">
        <is>
          <t>HEBY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46251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44464-2021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44435</v>
      </c>
      <c r="E358" s="1" t="n">
        <v>46251</v>
      </c>
      <c r="F358" t="inlineStr">
        <is>
          <t>UPPSALA LÄN</t>
        </is>
      </c>
      <c r="G358" t="inlineStr">
        <is>
          <t>HEBY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46251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46251</v>
      </c>
      <c r="F360" t="inlineStr">
        <is>
          <t>UPPSALA LÄN</t>
        </is>
      </c>
      <c r="G360" t="inlineStr">
        <is>
          <t>HEBY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46251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46251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46251</v>
      </c>
      <c r="F363" t="inlineStr">
        <is>
          <t>UPPSALA LÄN</t>
        </is>
      </c>
      <c r="G363" t="inlineStr">
        <is>
          <t>HEBY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46251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46251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46251</v>
      </c>
      <c r="F366" t="inlineStr">
        <is>
          <t>UPPSALA LÄN</t>
        </is>
      </c>
      <c r="G366" t="inlineStr">
        <is>
          <t>HEBY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45218</v>
      </c>
      <c r="E367" s="1" t="n">
        <v>46251</v>
      </c>
      <c r="F367" t="inlineStr">
        <is>
          <t>UPPSALA LÄN</t>
        </is>
      </c>
      <c r="G367" t="inlineStr">
        <is>
          <t>HEBY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51091-2023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45218</v>
      </c>
      <c r="E368" s="1" t="n">
        <v>46251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46251</v>
      </c>
      <c r="F369" t="inlineStr">
        <is>
          <t>UPPSALA LÄN</t>
        </is>
      </c>
      <c r="G369" t="inlineStr">
        <is>
          <t>HEBY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46251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46251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46251</v>
      </c>
      <c r="F372" t="inlineStr">
        <is>
          <t>UPPSALA LÄN</t>
        </is>
      </c>
      <c r="G372" t="inlineStr">
        <is>
          <t>HEBY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46251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46251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45216</v>
      </c>
      <c r="E375" s="1" t="n">
        <v>46251</v>
      </c>
      <c r="F375" t="inlineStr">
        <is>
          <t>UPPSALA LÄN</t>
        </is>
      </c>
      <c r="G375" t="inlineStr">
        <is>
          <t>HEBY</t>
        </is>
      </c>
      <c r="I375" t="n">
        <v>10.9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46251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46251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46140</v>
      </c>
      <c r="E378" s="1" t="n">
        <v>46251</v>
      </c>
      <c r="F378" t="inlineStr">
        <is>
          <t>UPPSALA LÄN</t>
        </is>
      </c>
      <c r="G378" t="inlineStr">
        <is>
          <t>HEBY</t>
        </is>
      </c>
      <c r="H378" t="inlineStr">
        <is>
          <t>Övriga Aktiebolag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46251</v>
      </c>
      <c r="F379" t="inlineStr">
        <is>
          <t>UPPSALA LÄN</t>
        </is>
      </c>
      <c r="G379" t="inlineStr">
        <is>
          <t>HEBY</t>
        </is>
      </c>
      <c r="H379" t="inlineStr">
        <is>
          <t>Allmännings- och besparingsskogar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46251</v>
      </c>
      <c r="F380" t="inlineStr">
        <is>
          <t>UPPSALA LÄN</t>
        </is>
      </c>
      <c r="G380" t="inlineStr">
        <is>
          <t>HEBY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44684</v>
      </c>
      <c r="E381" s="1" t="n">
        <v>46251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46251</v>
      </c>
      <c r="F382" t="inlineStr">
        <is>
          <t>UPPSALA LÄN</t>
        </is>
      </c>
      <c r="G382" t="inlineStr">
        <is>
          <t>HEBY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46251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46251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46251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45599</v>
      </c>
      <c r="E386" s="1" t="n">
        <v>46251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46251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44939</v>
      </c>
      <c r="E388" s="1" t="n">
        <v>46251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46251</v>
      </c>
      <c r="F389" t="inlineStr">
        <is>
          <t>UPPSALA LÄN</t>
        </is>
      </c>
      <c r="G389" t="inlineStr">
        <is>
          <t>HEBY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45344</v>
      </c>
      <c r="E390" s="1" t="n">
        <v>46251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46251</v>
      </c>
      <c r="F391" t="inlineStr">
        <is>
          <t>UPPSALA LÄN</t>
        </is>
      </c>
      <c r="G391" t="inlineStr">
        <is>
          <t>HEBY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46251</v>
      </c>
      <c r="F392" t="inlineStr">
        <is>
          <t>UPPSALA LÄN</t>
        </is>
      </c>
      <c r="G392" t="inlineStr">
        <is>
          <t>HEBY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46251</v>
      </c>
      <c r="F393" t="inlineStr">
        <is>
          <t>UPPSALA LÄN</t>
        </is>
      </c>
      <c r="G393" t="inlineStr">
        <is>
          <t>HEBY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46251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45891</v>
      </c>
      <c r="E395" s="1" t="n">
        <v>46251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46251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46251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46251</v>
      </c>
      <c r="F398" t="inlineStr">
        <is>
          <t>UPPSALA LÄN</t>
        </is>
      </c>
      <c r="G398" t="inlineStr">
        <is>
          <t>HEBY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46251</v>
      </c>
      <c r="F399" t="inlineStr">
        <is>
          <t>UPPSALA LÄN</t>
        </is>
      </c>
      <c r="G399" t="inlineStr">
        <is>
          <t>HEBY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46251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46251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46251</v>
      </c>
      <c r="F402" t="inlineStr">
        <is>
          <t>UPPSALA LÄN</t>
        </is>
      </c>
      <c r="G402" t="inlineStr">
        <is>
          <t>HEBY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45519</v>
      </c>
      <c r="E403" s="1" t="n">
        <v>46251</v>
      </c>
      <c r="F403" t="inlineStr">
        <is>
          <t>UPPSALA LÄN</t>
        </is>
      </c>
      <c r="G403" t="inlineStr">
        <is>
          <t>HEBY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46251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46251</v>
      </c>
      <c r="F405" t="inlineStr">
        <is>
          <t>UPPSALA LÄN</t>
        </is>
      </c>
      <c r="G405" t="inlineStr">
        <is>
          <t>HEBY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46251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46251</v>
      </c>
      <c r="F407" t="inlineStr">
        <is>
          <t>UPPSALA LÄN</t>
        </is>
      </c>
      <c r="G407" t="inlineStr">
        <is>
          <t>HEBY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46251</v>
      </c>
      <c r="F408" t="inlineStr">
        <is>
          <t>UPPSALA LÄN</t>
        </is>
      </c>
      <c r="G408" t="inlineStr">
        <is>
          <t>HEBY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46251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46251</v>
      </c>
      <c r="F410" t="inlineStr">
        <is>
          <t>UPPSALA LÄN</t>
        </is>
      </c>
      <c r="G410" t="inlineStr">
        <is>
          <t>HEBY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46251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46251</v>
      </c>
      <c r="F412" t="inlineStr">
        <is>
          <t>UPPSALA LÄN</t>
        </is>
      </c>
      <c r="G412" t="inlineStr">
        <is>
          <t>HEBY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44944</v>
      </c>
      <c r="E413" s="1" t="n">
        <v>46251</v>
      </c>
      <c r="F413" t="inlineStr">
        <is>
          <t>UPPSALA LÄN</t>
        </is>
      </c>
      <c r="G413" t="inlineStr">
        <is>
          <t>HEBY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46251</v>
      </c>
      <c r="F414" t="inlineStr">
        <is>
          <t>UPPSALA LÄN</t>
        </is>
      </c>
      <c r="G414" t="inlineStr">
        <is>
          <t>HEBY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46251</v>
      </c>
      <c r="F415" t="inlineStr">
        <is>
          <t>UPPSALA LÄN</t>
        </is>
      </c>
      <c r="G415" t="inlineStr">
        <is>
          <t>HEBY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46251</v>
      </c>
      <c r="F416" t="inlineStr">
        <is>
          <t>UPPSALA LÄN</t>
        </is>
      </c>
      <c r="G416" t="inlineStr">
        <is>
          <t>HEBY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20719-2026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46251</v>
      </c>
      <c r="F417" t="inlineStr">
        <is>
          <t>UPPSALA LÄN</t>
        </is>
      </c>
      <c r="G417" t="inlineStr">
        <is>
          <t>HEBY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50859-2022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44862</v>
      </c>
      <c r="E418" s="1" t="n">
        <v>46251</v>
      </c>
      <c r="F418" t="inlineStr">
        <is>
          <t>UPPSALA LÄN</t>
        </is>
      </c>
      <c r="G418" t="inlineStr">
        <is>
          <t>HEBY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44568</v>
      </c>
      <c r="E419" s="1" t="n">
        <v>46251</v>
      </c>
      <c r="F419" t="inlineStr">
        <is>
          <t>UPPSALA LÄN</t>
        </is>
      </c>
      <c r="G419" t="inlineStr">
        <is>
          <t>HEBY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46251</v>
      </c>
      <c r="F420" t="inlineStr">
        <is>
          <t>UPPSALA LÄN</t>
        </is>
      </c>
      <c r="G420" t="inlineStr">
        <is>
          <t>HEBY</t>
        </is>
      </c>
      <c r="I420" t="n">
        <v>8.699999999999999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46251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46251</v>
      </c>
      <c r="F422" t="inlineStr">
        <is>
          <t>UPPSALA LÄN</t>
        </is>
      </c>
      <c r="G422" t="inlineStr">
        <is>
          <t>HEBY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45321</v>
      </c>
      <c r="E423" s="1" t="n">
        <v>46251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64191-2023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46251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46251</v>
      </c>
      <c r="F425" t="inlineStr">
        <is>
          <t>UPPSALA LÄN</t>
        </is>
      </c>
      <c r="G425" t="inlineStr">
        <is>
          <t>HEBY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44875</v>
      </c>
      <c r="E426" s="1" t="n">
        <v>46251</v>
      </c>
      <c r="F426" t="inlineStr">
        <is>
          <t>UPPSALA LÄN</t>
        </is>
      </c>
      <c r="G426" t="inlineStr">
        <is>
          <t>HEBY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45090</v>
      </c>
      <c r="E427" s="1" t="n">
        <v>46251</v>
      </c>
      <c r="F427" t="inlineStr">
        <is>
          <t>UPPSALA LÄN</t>
        </is>
      </c>
      <c r="G427" t="inlineStr">
        <is>
          <t>HEBY</t>
        </is>
      </c>
      <c r="H427" t="inlineStr">
        <is>
          <t>Övriga Aktiebolag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66055-2021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44517</v>
      </c>
      <c r="E428" s="1" t="n">
        <v>46251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öst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46251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46251</v>
      </c>
      <c r="F430" t="inlineStr">
        <is>
          <t>UPPSALA LÄN</t>
        </is>
      </c>
      <c r="G430" t="inlineStr">
        <is>
          <t>HEBY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46149</v>
      </c>
      <c r="E431" s="1" t="n">
        <v>46251</v>
      </c>
      <c r="F431" t="inlineStr">
        <is>
          <t>UPPSALA LÄN</t>
        </is>
      </c>
      <c r="G431" t="inlineStr">
        <is>
          <t>HEBY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72180-2021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44543</v>
      </c>
      <c r="E432" s="1" t="n">
        <v>46251</v>
      </c>
      <c r="F432" t="inlineStr">
        <is>
          <t>UPPSALA LÄN</t>
        </is>
      </c>
      <c r="G432" t="inlineStr">
        <is>
          <t>HEBY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44914</v>
      </c>
      <c r="E433" s="1" t="n">
        <v>46251</v>
      </c>
      <c r="F433" t="inlineStr">
        <is>
          <t>UPPSALA LÄN</t>
        </is>
      </c>
      <c r="G433" t="inlineStr">
        <is>
          <t>HEBY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46251</v>
      </c>
      <c r="F434" t="inlineStr">
        <is>
          <t>UPPSALA LÄN</t>
        </is>
      </c>
      <c r="G434" t="inlineStr">
        <is>
          <t>HEBY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46251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45117</v>
      </c>
      <c r="E436" s="1" t="n">
        <v>46251</v>
      </c>
      <c r="F436" t="inlineStr">
        <is>
          <t>UPPSALA LÄN</t>
        </is>
      </c>
      <c r="G436" t="inlineStr">
        <is>
          <t>HEBY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46251</v>
      </c>
      <c r="F437" t="inlineStr">
        <is>
          <t>UPPSALA LÄN</t>
        </is>
      </c>
      <c r="G437" t="inlineStr">
        <is>
          <t>HEBY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45117</v>
      </c>
      <c r="E438" s="1" t="n">
        <v>46251</v>
      </c>
      <c r="F438" t="inlineStr">
        <is>
          <t>UPPSALA LÄN</t>
        </is>
      </c>
      <c r="G438" t="inlineStr">
        <is>
          <t>HEBY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45117</v>
      </c>
      <c r="E439" s="1" t="n">
        <v>46251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46251</v>
      </c>
      <c r="F440" t="inlineStr">
        <is>
          <t>UPPSALA LÄN</t>
        </is>
      </c>
      <c r="G440" t="inlineStr">
        <is>
          <t>HEBY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73622-2021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44552</v>
      </c>
      <c r="E441" s="1" t="n">
        <v>46251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46251</v>
      </c>
      <c r="F442" t="inlineStr">
        <is>
          <t>UPPSALA LÄN</t>
        </is>
      </c>
      <c r="G442" t="inlineStr">
        <is>
          <t>HEBY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46251</v>
      </c>
      <c r="F443" t="inlineStr">
        <is>
          <t>UPPSALA LÄN</t>
        </is>
      </c>
      <c r="G443" t="inlineStr">
        <is>
          <t>HEBY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46251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54594-2024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45617</v>
      </c>
      <c r="E445" s="1" t="n">
        <v>46251</v>
      </c>
      <c r="F445" t="inlineStr">
        <is>
          <t>UPPSALA LÄN</t>
        </is>
      </c>
      <c r="G445" t="inlineStr">
        <is>
          <t>HEBY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46251</v>
      </c>
      <c r="F446" t="inlineStr">
        <is>
          <t>UPPSALA LÄN</t>
        </is>
      </c>
      <c r="G446" t="inlineStr">
        <is>
          <t>HEBY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45006</v>
      </c>
      <c r="E447" s="1" t="n">
        <v>46251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45029</v>
      </c>
      <c r="E448" s="1" t="n">
        <v>46251</v>
      </c>
      <c r="F448" t="inlineStr">
        <is>
          <t>UPPSALA LÄN</t>
        </is>
      </c>
      <c r="G448" t="inlineStr">
        <is>
          <t>HEBY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46251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35.2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46251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44568</v>
      </c>
      <c r="E451" s="1" t="n">
        <v>46251</v>
      </c>
      <c r="F451" t="inlineStr">
        <is>
          <t>UPPSALA LÄN</t>
        </is>
      </c>
      <c r="G451" t="inlineStr">
        <is>
          <t>HEBY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46251</v>
      </c>
      <c r="F452" t="inlineStr">
        <is>
          <t>UPPSALA LÄN</t>
        </is>
      </c>
      <c r="G452" t="inlineStr">
        <is>
          <t>HEBY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46251</v>
      </c>
      <c r="F453" t="inlineStr">
        <is>
          <t>UPPSALA LÄN</t>
        </is>
      </c>
      <c r="G453" t="inlineStr">
        <is>
          <t>HEBY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46251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46251</v>
      </c>
      <c r="F455" t="inlineStr">
        <is>
          <t>UPPSALA LÄN</t>
        </is>
      </c>
      <c r="G455" t="inlineStr">
        <is>
          <t>HEBY</t>
        </is>
      </c>
      <c r="H455" t="inlineStr">
        <is>
          <t>Kyrkan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46251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46251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46251</v>
      </c>
      <c r="F458" t="inlineStr">
        <is>
          <t>UPPSALA LÄN</t>
        </is>
      </c>
      <c r="G458" t="inlineStr">
        <is>
          <t>HEBY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46251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45786</v>
      </c>
      <c r="E460" s="1" t="n">
        <v>46251</v>
      </c>
      <c r="F460" t="inlineStr">
        <is>
          <t>UPPSALA LÄN</t>
        </is>
      </c>
      <c r="G460" t="inlineStr">
        <is>
          <t>HEBY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46251</v>
      </c>
      <c r="F461" t="inlineStr">
        <is>
          <t>UPPSALA LÄN</t>
        </is>
      </c>
      <c r="G461" t="inlineStr">
        <is>
          <t>HEBY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46251</v>
      </c>
      <c r="F462" t="inlineStr">
        <is>
          <t>UPPSALA LÄN</t>
        </is>
      </c>
      <c r="G462" t="inlineStr">
        <is>
          <t>HEBY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46251</v>
      </c>
      <c r="F463" t="inlineStr">
        <is>
          <t>UPPSALA LÄN</t>
        </is>
      </c>
      <c r="G463" t="inlineStr">
        <is>
          <t>HEBY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46251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45355</v>
      </c>
      <c r="E465" s="1" t="n">
        <v>46251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46251</v>
      </c>
      <c r="F466" t="inlineStr">
        <is>
          <t>UPPSALA LÄN</t>
        </is>
      </c>
      <c r="G466" t="inlineStr">
        <is>
          <t>HEBY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46251</v>
      </c>
      <c r="F467" t="inlineStr">
        <is>
          <t>UPPSALA LÄN</t>
        </is>
      </c>
      <c r="G467" t="inlineStr">
        <is>
          <t>HEBY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46251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64364-2021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46251</v>
      </c>
      <c r="F469" t="inlineStr">
        <is>
          <t>UPPSALA LÄN</t>
        </is>
      </c>
      <c r="G469" t="inlineStr">
        <is>
          <t>HEBY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13213-2022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44644</v>
      </c>
      <c r="E470" s="1" t="n">
        <v>46251</v>
      </c>
      <c r="F470" t="inlineStr">
        <is>
          <t>UPPSALA LÄN</t>
        </is>
      </c>
      <c r="G470" t="inlineStr">
        <is>
          <t>HEBY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45967</v>
      </c>
      <c r="E471" s="1" t="n">
        <v>46251</v>
      </c>
      <c r="F471" t="inlineStr">
        <is>
          <t>UPPSALA LÄN</t>
        </is>
      </c>
      <c r="G471" t="inlineStr">
        <is>
          <t>HEBY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46251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45786</v>
      </c>
      <c r="E473" s="1" t="n">
        <v>46251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46251</v>
      </c>
      <c r="F474" t="inlineStr">
        <is>
          <t>UPPSALA LÄN</t>
        </is>
      </c>
      <c r="G474" t="inlineStr">
        <is>
          <t>HEBY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45175</v>
      </c>
      <c r="E475" s="1" t="n">
        <v>46251</v>
      </c>
      <c r="F475" t="inlineStr">
        <is>
          <t>UPPSALA LÄN</t>
        </is>
      </c>
      <c r="G475" t="inlineStr">
        <is>
          <t>HEBY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45589</v>
      </c>
      <c r="E476" s="1" t="n">
        <v>46251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9815-2022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44620</v>
      </c>
      <c r="E477" s="1" t="n">
        <v>46251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46251</v>
      </c>
      <c r="F478" t="inlineStr">
        <is>
          <t>UPPSALA LÄN</t>
        </is>
      </c>
      <c r="G478" t="inlineStr">
        <is>
          <t>HEBY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8660-2022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44613</v>
      </c>
      <c r="E479" s="1" t="n">
        <v>46251</v>
      </c>
      <c r="F479" t="inlineStr">
        <is>
          <t>UPPSALA LÄN</t>
        </is>
      </c>
      <c r="G479" t="inlineStr">
        <is>
          <t>HEBY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46251</v>
      </c>
      <c r="F480" t="inlineStr">
        <is>
          <t>UPPSALA LÄN</t>
        </is>
      </c>
      <c r="G480" t="inlineStr">
        <is>
          <t>HEBY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46251</v>
      </c>
      <c r="F481" t="inlineStr">
        <is>
          <t>UPPSALA LÄN</t>
        </is>
      </c>
      <c r="G481" t="inlineStr">
        <is>
          <t>HEBY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46251</v>
      </c>
      <c r="F482" t="inlineStr">
        <is>
          <t>UPPSALA LÄN</t>
        </is>
      </c>
      <c r="G482" t="inlineStr">
        <is>
          <t>HEBY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45133</v>
      </c>
      <c r="E483" s="1" t="n">
        <v>46251</v>
      </c>
      <c r="F483" t="inlineStr">
        <is>
          <t>UPPSALA LÄN</t>
        </is>
      </c>
      <c r="G483" t="inlineStr">
        <is>
          <t>HEBY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46251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46251</v>
      </c>
      <c r="F485" t="inlineStr">
        <is>
          <t>UPPSALA LÄN</t>
        </is>
      </c>
      <c r="G485" t="inlineStr">
        <is>
          <t>HEBY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52796-2024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46251</v>
      </c>
      <c r="F486" t="inlineStr">
        <is>
          <t>UPPSALA LÄN</t>
        </is>
      </c>
      <c r="G486" t="inlineStr">
        <is>
          <t>HEBY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46251</v>
      </c>
      <c r="F487" t="inlineStr">
        <is>
          <t>UPPSALA LÄN</t>
        </is>
      </c>
      <c r="G487" t="inlineStr">
        <is>
          <t>HEBY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45797</v>
      </c>
      <c r="E488" s="1" t="n">
        <v>46251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46251</v>
      </c>
      <c r="F489" t="inlineStr">
        <is>
          <t>UPPSALA LÄN</t>
        </is>
      </c>
      <c r="G489" t="inlineStr">
        <is>
          <t>HEBY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44558</v>
      </c>
      <c r="E490" s="1" t="n">
        <v>46251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46251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46251</v>
      </c>
      <c r="F492" t="inlineStr">
        <is>
          <t>UPPSALA LÄN</t>
        </is>
      </c>
      <c r="G492" t="inlineStr">
        <is>
          <t>HEBY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45008</v>
      </c>
      <c r="E493" s="1" t="n">
        <v>46251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46251</v>
      </c>
      <c r="F494" t="inlineStr">
        <is>
          <t>UPPSALA LÄN</t>
        </is>
      </c>
      <c r="G494" t="inlineStr">
        <is>
          <t>HEBY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46251</v>
      </c>
      <c r="F495" t="inlineStr">
        <is>
          <t>UPPSALA LÄN</t>
        </is>
      </c>
      <c r="G495" t="inlineStr">
        <is>
          <t>HEBY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45804</v>
      </c>
      <c r="E496" s="1" t="n">
        <v>46251</v>
      </c>
      <c r="F496" t="inlineStr">
        <is>
          <t>UPPSALA LÄN</t>
        </is>
      </c>
      <c r="G496" t="inlineStr">
        <is>
          <t>HEBY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46251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46251</v>
      </c>
      <c r="F498" t="inlineStr">
        <is>
          <t>UPPSALA LÄN</t>
        </is>
      </c>
      <c r="G498" t="inlineStr">
        <is>
          <t>HEBY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45705</v>
      </c>
      <c r="E499" s="1" t="n">
        <v>46251</v>
      </c>
      <c r="F499" t="inlineStr">
        <is>
          <t>UPPSALA LÄN</t>
        </is>
      </c>
      <c r="G499" t="inlineStr">
        <is>
          <t>HEBY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46223</v>
      </c>
      <c r="E500" s="1" t="n">
        <v>46251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46223</v>
      </c>
      <c r="E501" s="1" t="n">
        <v>46251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45337</v>
      </c>
      <c r="E502" s="1" t="n">
        <v>46251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45181</v>
      </c>
      <c r="E503" s="1" t="n">
        <v>46251</v>
      </c>
      <c r="F503" t="inlineStr">
        <is>
          <t>UPPSALA LÄN</t>
        </is>
      </c>
      <c r="G503" t="inlineStr">
        <is>
          <t>HEBY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46251</v>
      </c>
      <c r="F504" t="inlineStr">
        <is>
          <t>UPPSALA LÄN</t>
        </is>
      </c>
      <c r="G504" t="inlineStr">
        <is>
          <t>HEBY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46251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46251</v>
      </c>
      <c r="F506" t="inlineStr">
        <is>
          <t>UPPSALA LÄN</t>
        </is>
      </c>
      <c r="G506" t="inlineStr">
        <is>
          <t>HEBY</t>
        </is>
      </c>
      <c r="I506" t="n">
        <v>15.8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45398</v>
      </c>
      <c r="E507" s="1" t="n">
        <v>46251</v>
      </c>
      <c r="F507" t="inlineStr">
        <is>
          <t>UPPSALA LÄN</t>
        </is>
      </c>
      <c r="G507" t="inlineStr">
        <is>
          <t>HEBY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46251</v>
      </c>
      <c r="F508" t="inlineStr">
        <is>
          <t>UPPSALA LÄN</t>
        </is>
      </c>
      <c r="G508" t="inlineStr">
        <is>
          <t>HEBY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46251</v>
      </c>
      <c r="F509" t="inlineStr">
        <is>
          <t>UPPSALA LÄN</t>
        </is>
      </c>
      <c r="G509" t="inlineStr">
        <is>
          <t>HEBY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44984</v>
      </c>
      <c r="E510" s="1" t="n">
        <v>46251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46251</v>
      </c>
      <c r="F511" t="inlineStr">
        <is>
          <t>UPPSALA LÄN</t>
        </is>
      </c>
      <c r="G511" t="inlineStr">
        <is>
          <t>HEBY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46251</v>
      </c>
      <c r="F512" t="inlineStr">
        <is>
          <t>UPPSALA LÄN</t>
        </is>
      </c>
      <c r="G512" t="inlineStr">
        <is>
          <t>HEBY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46251</v>
      </c>
      <c r="F513" t="inlineStr">
        <is>
          <t>UPPSALA LÄN</t>
        </is>
      </c>
      <c r="G513" t="inlineStr">
        <is>
          <t>HEBY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46251</v>
      </c>
      <c r="F514" t="inlineStr">
        <is>
          <t>UPPSALA LÄN</t>
        </is>
      </c>
      <c r="G514" t="inlineStr">
        <is>
          <t>HEBY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46251</v>
      </c>
      <c r="F515" t="inlineStr">
        <is>
          <t>UPPSALA LÄN</t>
        </is>
      </c>
      <c r="G515" t="inlineStr">
        <is>
          <t>HEBY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46251</v>
      </c>
      <c r="F516" t="inlineStr">
        <is>
          <t>UPPSALA LÄN</t>
        </is>
      </c>
      <c r="G516" t="inlineStr">
        <is>
          <t>HEBY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46251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46251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45674</v>
      </c>
      <c r="E519" s="1" t="n">
        <v>46251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35865-2022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44802</v>
      </c>
      <c r="E520" s="1" t="n">
        <v>46251</v>
      </c>
      <c r="F520" t="inlineStr">
        <is>
          <t>UPPSALA LÄN</t>
        </is>
      </c>
      <c r="G520" t="inlineStr">
        <is>
          <t>HEBY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35875-2022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46251</v>
      </c>
      <c r="F521" t="inlineStr">
        <is>
          <t>UPPSALA LÄN</t>
        </is>
      </c>
      <c r="G521" t="inlineStr">
        <is>
          <t>HEBY</t>
        </is>
      </c>
      <c r="I521" t="n">
        <v>12.1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46251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46251</v>
      </c>
      <c r="F523" t="inlineStr">
        <is>
          <t>UPPSALA LÄN</t>
        </is>
      </c>
      <c r="G523" t="inlineStr">
        <is>
          <t>HEBY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46224</v>
      </c>
      <c r="E524" s="1" t="n">
        <v>46251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46251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46251</v>
      </c>
      <c r="F526" t="inlineStr">
        <is>
          <t>UPPSALA LÄN</t>
        </is>
      </c>
      <c r="G526" t="inlineStr">
        <is>
          <t>HEBY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45820</v>
      </c>
      <c r="E527" s="1" t="n">
        <v>46251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19718-2023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45050</v>
      </c>
      <c r="E528" s="1" t="n">
        <v>46251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44609</v>
      </c>
      <c r="E529" s="1" t="n">
        <v>46251</v>
      </c>
      <c r="F529" t="inlineStr">
        <is>
          <t>UPPSALA LÄN</t>
        </is>
      </c>
      <c r="G529" t="inlineStr">
        <is>
          <t>HEBY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46231</v>
      </c>
      <c r="E530" s="1" t="n">
        <v>46251</v>
      </c>
      <c r="F530" t="inlineStr">
        <is>
          <t>UPPSALA LÄN</t>
        </is>
      </c>
      <c r="G530" t="inlineStr">
        <is>
          <t>HEBY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46251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46251</v>
      </c>
      <c r="F532" t="inlineStr">
        <is>
          <t>UPPSALA LÄN</t>
        </is>
      </c>
      <c r="G532" t="inlineStr">
        <is>
          <t>HEBY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46251</v>
      </c>
      <c r="F533" t="inlineStr">
        <is>
          <t>UPPSALA LÄN</t>
        </is>
      </c>
      <c r="G533" t="inlineStr">
        <is>
          <t>HEBY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46251</v>
      </c>
      <c r="F534" t="inlineStr">
        <is>
          <t>UPPSALA LÄN</t>
        </is>
      </c>
      <c r="G534" t="inlineStr">
        <is>
          <t>HEBY</t>
        </is>
      </c>
      <c r="H534" t="inlineStr">
        <is>
          <t>Övriga Aktiebolag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45827</v>
      </c>
      <c r="E535" s="1" t="n">
        <v>46251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46251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46251</v>
      </c>
      <c r="F537" t="inlineStr">
        <is>
          <t>UPPSALA LÄN</t>
        </is>
      </c>
      <c r="G537" t="inlineStr">
        <is>
          <t>HEBY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46251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45195</v>
      </c>
      <c r="E539" s="1" t="n">
        <v>46251</v>
      </c>
      <c r="F539" t="inlineStr">
        <is>
          <t>UPPSALA LÄN</t>
        </is>
      </c>
      <c r="G539" t="inlineStr">
        <is>
          <t>HEBY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45133</v>
      </c>
      <c r="E540" s="1" t="n">
        <v>46251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44697</v>
      </c>
      <c r="E541" s="1" t="n">
        <v>46251</v>
      </c>
      <c r="F541" t="inlineStr">
        <is>
          <t>UPPSALA LÄN</t>
        </is>
      </c>
      <c r="G541" t="inlineStr">
        <is>
          <t>HEBY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46251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44841</v>
      </c>
      <c r="E543" s="1" t="n">
        <v>46251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34593-2023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45138</v>
      </c>
      <c r="E544" s="1" t="n">
        <v>46251</v>
      </c>
      <c r="F544" t="inlineStr">
        <is>
          <t>UPPSALA LÄN</t>
        </is>
      </c>
      <c r="G544" t="inlineStr">
        <is>
          <t>HEBY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46251</v>
      </c>
      <c r="F545" t="inlineStr">
        <is>
          <t>UPPSALA LÄN</t>
        </is>
      </c>
      <c r="G545" t="inlineStr">
        <is>
          <t>HEBY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46251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46251</v>
      </c>
      <c r="F547" t="inlineStr">
        <is>
          <t>UPPSALA LÄN</t>
        </is>
      </c>
      <c r="G547" t="inlineStr">
        <is>
          <t>HEBY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46251</v>
      </c>
      <c r="F548" t="inlineStr">
        <is>
          <t>UPPSALA LÄN</t>
        </is>
      </c>
      <c r="G548" t="inlineStr">
        <is>
          <t>HEBY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46251</v>
      </c>
      <c r="F549" t="inlineStr">
        <is>
          <t>UPPSALA LÄN</t>
        </is>
      </c>
      <c r="G549" t="inlineStr">
        <is>
          <t>HEBY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46251</v>
      </c>
      <c r="F550" t="inlineStr">
        <is>
          <t>UPPSALA LÄN</t>
        </is>
      </c>
      <c r="G550" t="inlineStr">
        <is>
          <t>HEBY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33379-2022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44788</v>
      </c>
      <c r="E551" s="1" t="n">
        <v>46251</v>
      </c>
      <c r="F551" t="inlineStr">
        <is>
          <t>UPPSALA LÄN</t>
        </is>
      </c>
      <c r="G551" t="inlineStr">
        <is>
          <t>HEBY</t>
        </is>
      </c>
      <c r="I551" t="n">
        <v>18.8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46251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46251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45847</v>
      </c>
      <c r="E554" s="1" t="n">
        <v>46251</v>
      </c>
      <c r="F554" t="inlineStr">
        <is>
          <t>UPPSALA LÄN</t>
        </is>
      </c>
      <c r="G554" t="inlineStr">
        <is>
          <t>HEBY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45852</v>
      </c>
      <c r="E555" s="1" t="n">
        <v>46251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45852</v>
      </c>
      <c r="E556" s="1" t="n">
        <v>46251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46251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46251</v>
      </c>
      <c r="F558" t="inlineStr">
        <is>
          <t>UPPSALA LÄN</t>
        </is>
      </c>
      <c r="G558" t="inlineStr">
        <is>
          <t>HEBY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46251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46863-2025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45929</v>
      </c>
      <c r="E560" s="1" t="n">
        <v>46251</v>
      </c>
      <c r="F560" t="inlineStr">
        <is>
          <t>UPPSALA LÄN</t>
        </is>
      </c>
      <c r="G560" t="inlineStr">
        <is>
          <t>HEBY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46220</v>
      </c>
      <c r="E561" s="1" t="n">
        <v>46251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55.9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46251</v>
      </c>
      <c r="F562" t="inlineStr">
        <is>
          <t>UPPSALA LÄN</t>
        </is>
      </c>
      <c r="G562" t="inlineStr">
        <is>
          <t>HEBY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46251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46251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46251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46251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46251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46251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46251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46251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  <c r="Z570">
        <f>HYPERLINK("https://klasma.github.io/Logging_0331/knärot/S 1330-2022 karta knärot.png", "S 1330-2022")</f>
        <v/>
      </c>
      <c r="AA570">
        <f>HYPERLINK("https://klasma.github.io/Logging_0331/klagomål/S 1330-2022 FSC-klagomål.docx", "S 1330-2022")</f>
        <v/>
      </c>
      <c r="AB570">
        <f>HYPERLINK("https://klasma.github.io/Logging_0331/klagomålsmail/S 1330-2022 FSC-klagomål mail.docx", "S 1330-2022")</f>
        <v/>
      </c>
      <c r="AC570">
        <f>HYPERLINK("https://klasma.github.io/Logging_0331/tillsyn/S 1330-2022 tillsynsbegäran.docx", "S 1330-2022")</f>
        <v/>
      </c>
      <c r="AD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46251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46251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46251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46251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46251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46251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46251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46251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46251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46251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46251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46251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46251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2026-08-17T01:44:00Z</dcterms:created>
  <dcterms:modified xmlns:dcterms="http://purl.org/dc/terms/" xmlns:xsi="http://www.w3.org/2001/XMLSchema-instance" xsi:type="dcterms:W3CDTF">2026-08-17T01:44:01Z</dcterms:modified>
</cp:coreProperties>
</file>
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45628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45628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45628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45628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45628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45628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45628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45628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45628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45628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45628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45628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45628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45628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45628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45628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45628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Bronshjon
Thomsons trägnagare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16329-2022</t>
        </is>
      </c>
      <c r="B19" s="1" t="n">
        <v>44670</v>
      </c>
      <c r="C19" s="1" t="n">
        <v>45628</v>
      </c>
      <c r="D19" t="inlineStr">
        <is>
          <t>UPPSALA LÄN</t>
        </is>
      </c>
      <c r="E19" t="inlineStr">
        <is>
          <t>HEBY</t>
        </is>
      </c>
      <c r="G19" t="n">
        <v>24.5</v>
      </c>
      <c r="H19" t="n">
        <v>1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Aspvedgnagare
Bronshjon
Plattlummer
Thomsons trägnagare</t>
        </is>
      </c>
      <c r="S19">
        <f>HYPERLINK("https://klasma.github.io/Logging_0331/artfynd/A 16329-2022 artfynd.xlsx", "A 16329-2022")</f>
        <v/>
      </c>
      <c r="T19">
        <f>HYPERLINK("https://klasma.github.io/Logging_0331/kartor/A 16329-2022 karta.png", "A 16329-2022")</f>
        <v/>
      </c>
      <c r="V19">
        <f>HYPERLINK("https://klasma.github.io/Logging_0331/klagomål/A 16329-2022 FSC-klagomål.docx", "A 16329-2022")</f>
        <v/>
      </c>
      <c r="W19">
        <f>HYPERLINK("https://klasma.github.io/Logging_0331/klagomålsmail/A 16329-2022 FSC-klagomål mail.docx", "A 16329-2022")</f>
        <v/>
      </c>
      <c r="X19">
        <f>HYPERLINK("https://klasma.github.io/Logging_0331/tillsyn/A 16329-2022 tillsynsbegäran.docx", "A 16329-2022")</f>
        <v/>
      </c>
      <c r="Y19">
        <f>HYPERLINK("https://klasma.github.io/Logging_0331/tillsynsmail/A 16329-2022 tillsynsbegäran mail.docx", "A 16329-2022")</f>
        <v/>
      </c>
    </row>
    <row r="20" ht="15" customHeight="1">
      <c r="A20" t="inlineStr">
        <is>
          <t>A 42846-2022</t>
        </is>
      </c>
      <c r="B20" s="1" t="n">
        <v>44832</v>
      </c>
      <c r="C20" s="1" t="n">
        <v>45628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Thomsons trägnagare
Trådticka</t>
        </is>
      </c>
      <c r="S20">
        <f>HYPERLINK("https://klasma.github.io/Logging_0331/artfynd/A 42846-2022 artfynd.xlsx", "A 42846-2022")</f>
        <v/>
      </c>
      <c r="T20">
        <f>HYPERLINK("https://klasma.github.io/Logging_0331/kartor/A 42846-2022 karta.png", "A 42846-2022")</f>
        <v/>
      </c>
      <c r="U20">
        <f>HYPERLINK("https://klasma.github.io/Logging_0331/knärot/A 42846-2022 karta knärot.png", "A 42846-2022")</f>
        <v/>
      </c>
      <c r="V20">
        <f>HYPERLINK("https://klasma.github.io/Logging_0331/klagomål/A 42846-2022 FSC-klagomål.docx", "A 42846-2022")</f>
        <v/>
      </c>
      <c r="W20">
        <f>HYPERLINK("https://klasma.github.io/Logging_0331/klagomålsmail/A 42846-2022 FSC-klagomål mail.docx", "A 42846-2022")</f>
        <v/>
      </c>
      <c r="X20">
        <f>HYPERLINK("https://klasma.github.io/Logging_0331/tillsyn/A 42846-2022 tillsynsbegäran.docx", "A 42846-2022")</f>
        <v/>
      </c>
      <c r="Y20">
        <f>HYPERLINK("https://klasma.github.io/Logging_0331/tillsynsmail/A 42846-2022 tillsynsbegäran mail.docx", "A 42846-2022")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45628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40648-2023</t>
        </is>
      </c>
      <c r="B22" s="1" t="n">
        <v>45170</v>
      </c>
      <c r="C22" s="1" t="n">
        <v>45628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Tallticka
Blodticka
Grönpyrola</t>
        </is>
      </c>
      <c r="S22">
        <f>HYPERLINK("https://klasma.github.io/Logging_0331/artfynd/A 40648-2023 artfynd.xlsx", "A 40648-2023")</f>
        <v/>
      </c>
      <c r="T22">
        <f>HYPERLINK("https://klasma.github.io/Logging_0331/kartor/A 40648-2023 karta.png", "A 40648-2023")</f>
        <v/>
      </c>
      <c r="U22">
        <f>HYPERLINK("https://klasma.github.io/Logging_0331/knärot/A 40648-2023 karta knärot.png", "A 40648-2023")</f>
        <v/>
      </c>
      <c r="V22">
        <f>HYPERLINK("https://klasma.github.io/Logging_0331/klagomål/A 40648-2023 FSC-klagomål.docx", "A 40648-2023")</f>
        <v/>
      </c>
      <c r="W22">
        <f>HYPERLINK("https://klasma.github.io/Logging_0331/klagomålsmail/A 40648-2023 FSC-klagomål mail.docx", "A 40648-2023")</f>
        <v/>
      </c>
      <c r="X22">
        <f>HYPERLINK("https://klasma.github.io/Logging_0331/tillsyn/A 40648-2023 tillsynsbegäran.docx", "A 40648-2023")</f>
        <v/>
      </c>
      <c r="Y22">
        <f>HYPERLINK("https://klasma.github.io/Logging_0331/tillsynsmail/A 40648-2023 tillsynsbegäran mail.docx", "A 40648-2023")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45628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45628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55274-2024</t>
        </is>
      </c>
      <c r="B25" s="1" t="n">
        <v>45621</v>
      </c>
      <c r="C25" s="1" t="n">
        <v>45628</v>
      </c>
      <c r="D25" t="inlineStr">
        <is>
          <t>UPPSALA LÄN</t>
        </is>
      </c>
      <c r="E25" t="inlineStr">
        <is>
          <t>HEBY</t>
        </is>
      </c>
      <c r="G25" t="n">
        <v>14.9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Björksplintborre
Mörk husmossa
Revlummer</t>
        </is>
      </c>
      <c r="S25">
        <f>HYPERLINK("https://klasma.github.io/Logging_0331/artfynd/A 55274-2024 artfynd.xlsx", "A 55274-2024")</f>
        <v/>
      </c>
      <c r="T25">
        <f>HYPERLINK("https://klasma.github.io/Logging_0331/kartor/A 55274-2024 karta.png", "A 55274-2024")</f>
        <v/>
      </c>
      <c r="U25">
        <f>HYPERLINK("https://klasma.github.io/Logging_0331/knärot/A 55274-2024 karta knärot.png", "A 55274-2024")</f>
        <v/>
      </c>
      <c r="V25">
        <f>HYPERLINK("https://klasma.github.io/Logging_0331/klagomål/A 55274-2024 FSC-klagomål.docx", "A 55274-2024")</f>
        <v/>
      </c>
      <c r="W25">
        <f>HYPERLINK("https://klasma.github.io/Logging_0331/klagomålsmail/A 55274-2024 FSC-klagomål mail.docx", "A 55274-2024")</f>
        <v/>
      </c>
      <c r="X25">
        <f>HYPERLINK("https://klasma.github.io/Logging_0331/tillsyn/A 55274-2024 tillsynsbegäran.docx", "A 55274-2024")</f>
        <v/>
      </c>
      <c r="Y25">
        <f>HYPERLINK("https://klasma.github.io/Logging_0331/tillsynsmail/A 55274-2024 tillsynsbegäran mail.docx", "A 55274-2024")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45628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45628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45628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45628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45628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45628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45628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45628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45628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45628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45628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45628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45628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45628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45628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45628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45628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45628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45628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45628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45628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45628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45628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45628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45628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45628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45628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45628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45628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45628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45628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45628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45628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45628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45628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45628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45628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45628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45628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45628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45628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45628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45628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45628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45628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45628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45628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45628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45628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45628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45628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45628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45628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45628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45628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45628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45628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45628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45628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45628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45628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45628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45628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45628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45628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45628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45628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45628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45628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45628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45628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45628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45628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45628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45628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45628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45628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45628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45628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45628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45628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45628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45628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45628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45628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45628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45628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45628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45628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45628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45628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45628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45628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45628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45628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45628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45628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45628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45628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45628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45628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45628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45628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45628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45628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45628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45628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45628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45628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45628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45628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45628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45628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45628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45628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45628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45628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45628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45628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45628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45628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45628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45628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45628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45628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45628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45628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45628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45628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45628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45628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45628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45628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45628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45628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45628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45628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45628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45628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45628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45628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45628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45628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45628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45628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45628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45628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45628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45628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45628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45628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45628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45628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45628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45628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45628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45628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45628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45628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45628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45628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45628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45628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45628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45628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45628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45628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45628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45628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45628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45628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45628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45628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45628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45628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45628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45628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45628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45628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45628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45628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45628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45628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45628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45628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45628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45628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45628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45628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45628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45628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45628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45628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45628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45628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45628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45628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45628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45628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45628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45628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45628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45628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45628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45628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45628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45628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45628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45628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45628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45628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45628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45628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45628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45628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45628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45628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45628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45628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45628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45628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45628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45628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45628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45628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45628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45628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45628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45628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45628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45628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45628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45628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45628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45628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45628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45628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45628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45628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45628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45628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45628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45628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45628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45628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45628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45628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45628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45628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45628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45628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45628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45628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45628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45628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45628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45628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45628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45628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45628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45628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45628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45628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45628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45628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45628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45628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45628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45628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45628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45628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45628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45628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45628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45628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45628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45628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45628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45628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45628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45628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45628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45628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45628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45628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45628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45628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45628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45628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45628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45628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45628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45628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45628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45628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45628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45628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45628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45628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45628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45628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45628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45628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45628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45628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45628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45628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45628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45628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45628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45628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45628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45628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45628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45628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45628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45628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45628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45628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45628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45628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45628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45628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45628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45628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45628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45628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45628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45628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45628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45628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45628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45628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45628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45628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45628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45628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45628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45628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45628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45628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45628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45628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45628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45628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45628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45628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45628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45628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45628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45628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45628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45628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45628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45628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45628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45628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45628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45628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45628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45628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45628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45628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45628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45628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45628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45628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45628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45628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45628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45628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45628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45628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45628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45628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45628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45628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45628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45628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45628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45628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45628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45628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45628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45628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45628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45628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45628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45628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45628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45628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45628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45628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45628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45628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45628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45628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45628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45628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45628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45628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45628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45628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45628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45628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45628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45628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45628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45628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45628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45628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45628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45628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45628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45628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45628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45628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45628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45628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45628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45628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45628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45628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45628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45628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45628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45628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45628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45628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45628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45628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45628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45628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45628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45628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45628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45628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45628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45628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45628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45628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45628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45628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45628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45628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45628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45628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45628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45628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45628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45628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45628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45628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45628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45628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45628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45628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45628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45628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45628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45628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45628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45628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45628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45628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45628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45628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45628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45628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45628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45628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45628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45628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45628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45628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45628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45628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45628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45628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45628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45628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45628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45628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45628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45628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45628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45628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45628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45628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45628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45628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45628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45628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45628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45628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45628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45628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45628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45628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45628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45628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45628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45628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45628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45628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45628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45628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45628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45628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45628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45628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45628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45628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45628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45628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45628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45628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45628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45628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45628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45628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45628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45628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45628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45628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45628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45628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45628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45628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45628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45628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45628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45628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45628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45628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45628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45628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45628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45628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45628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45628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45628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45628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45628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45628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45628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45628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45628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45628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45628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45628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45628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45628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45628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45628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45628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45628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45628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45628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45628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45628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45628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45628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45628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45628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45628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45628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45628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45628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45628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45628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45628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45628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45628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45628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45628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45628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45628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45628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45628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45628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45628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45628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45628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45628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45628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45628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45628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45628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45628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45628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45628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45628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45628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45628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45628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45628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45628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45628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45628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45628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45628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45628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45628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45628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45628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45628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45628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45628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45628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45628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45628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45628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45628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45628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45628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45628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45628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45628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45628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45628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45628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45628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45628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45628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45628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45628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45628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45628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45628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45628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45628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45628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45628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45628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45628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45628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45628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45628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45628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45628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45628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45628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45628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45628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45628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45628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45628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45628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45628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45628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45628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45628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45628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45628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45628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45628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45628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45628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45628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45628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45628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45628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45628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45628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45628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45628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45628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45628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45628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45628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45628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45628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45628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45628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45628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45628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45628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45628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45628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45628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45628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45628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45628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45628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45628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45628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45628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45628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45628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45628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45628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45628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45628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45628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45628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45628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45628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45628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45628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45628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45628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45628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45628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45628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45628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45628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45628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45628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45628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45628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45628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45628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45628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45628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45628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45628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45628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45628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45628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45628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45628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45628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45628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45628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45628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45628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45628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45628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45628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45628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45628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45628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45628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45628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45628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45628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45628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45628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45628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45628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45628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45628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45628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45628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45628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45628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45628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45628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45628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45628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45628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45628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45628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45628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45628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45628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45628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45628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45628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45628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45628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45628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45628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45628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45628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45628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45628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45628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45628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45628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45628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45628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45628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45628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45628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45628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45628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45628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45628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45628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45628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45628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45628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45628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45628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45628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45628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45628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45628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45628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45628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45628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45628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45628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45628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45628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45628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45628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45628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45628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45628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45628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45628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45628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45628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45628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45628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45628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45628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45628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45628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45628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45628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45628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45628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45628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45628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45628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45628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45628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45628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45628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45628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45628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45628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45628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45628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45628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45628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45628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45628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45628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45628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45628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45628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45628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45628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45628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45628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45628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45628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45628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45628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45628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45628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45628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45628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45628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45628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45628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45628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45628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45628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45628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45628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45628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45628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45628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45628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45628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45628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45628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45628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45628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45628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45628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45628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45628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45628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45628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45628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45628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45628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45628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45628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45628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45628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45628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45628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45628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45628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45628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45628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45628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45628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45628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45628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45628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45628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45628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45628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45628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45628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45628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45628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45628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45628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45628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45628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45628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45628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45628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45628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45628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45628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45628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45628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45628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45628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45628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45628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45628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45628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45628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45628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45628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45628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45628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45628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45628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45628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45628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45628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45628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45628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45628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45628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45628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45628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45628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45628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45628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45628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45628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45628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45628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45628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45628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45628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45628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45628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45628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45628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45628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45628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45628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45628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45628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45628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45628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45628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45628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45628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45628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45628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45628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45628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45628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45628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45628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45628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45628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45628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45628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45628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45628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45628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45628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45628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45628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45628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45628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45628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45628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45628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45628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45628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45628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45628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45628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45628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45628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45628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45628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45628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45628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45628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45628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45628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45628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45628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45628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45628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45628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45628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45628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45628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45628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45628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45628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45628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45628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45628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45628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45628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45628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45628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45628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45628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50172-2024</t>
        </is>
      </c>
      <c r="B1036" s="1" t="n">
        <v>45599</v>
      </c>
      <c r="C1036" s="1" t="n">
        <v>45628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45628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45628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45628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45628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45628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45628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45628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45628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45628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45628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45628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55082-2024</t>
        </is>
      </c>
      <c r="B1048" s="1" t="n">
        <v>45621</v>
      </c>
      <c r="C1048" s="1" t="n">
        <v>45628</v>
      </c>
      <c r="D1048" t="inlineStr">
        <is>
          <t>UPPSALA LÄN</t>
        </is>
      </c>
      <c r="E1048" t="inlineStr">
        <is>
          <t>HEBY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45628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45628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45628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45628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45628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45628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56081-2024</t>
        </is>
      </c>
      <c r="B1055" s="1" t="n">
        <v>45624</v>
      </c>
      <c r="C1055" s="1" t="n">
        <v>45628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2024-12-02T14:45:39Z</dcterms:created>
  <dcterms:modified xmlns:dcterms="http://purl.org/dc/terms/" xmlns:xsi="http://www.w3.org/2001/XMLSchema-instance" xsi:type="dcterms:W3CDTF">2024-12-02T14:45:40Z</dcterms:modified>
</cp:coreProperties>
</file>
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46263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46263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46263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46263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46263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46263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46263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46263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46263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46263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46263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46263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46263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46263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46263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46263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46263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46263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32785-2023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45124</v>
      </c>
      <c r="E25" s="1" t="n">
        <v>46263</v>
      </c>
      <c r="F25" t="inlineStr">
        <is>
          <t>UPPSALA LÄN</t>
        </is>
      </c>
      <c r="G25" t="inlineStr">
        <is>
          <t>HEBY</t>
        </is>
      </c>
      <c r="I25" t="n">
        <v>3.1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5</v>
      </c>
      <c r="U25" t="n">
        <v>3</v>
      </c>
      <c r="V25" s="2" t="inlineStr">
        <is>
          <t>Garnlav
Talltita
Spillkråka
Huggorm</t>
        </is>
      </c>
      <c r="W25">
        <f>HYPERLINK("https://klasma.github.io/Logging_0331/artfynd/A 32785-2023 artfynd.xlsx", "A 32785-2023")</f>
        <v/>
      </c>
      <c r="X25">
        <f>HYPERLINK("https://klasma.github.io/Logging_0331/kartor/A 32785-2023 karta.png", "A 32785-2023")</f>
        <v/>
      </c>
      <c r="Y25">
        <f>HYPERLINK("https://klasma.github.io/Logging_0331/kartor_geotiff/A 32785-2023 georefererad karta.tif", "A 32785-2023")</f>
        <v/>
      </c>
      <c r="AA25">
        <f>HYPERLINK("https://klasma.github.io/Logging_0331/klagomål/A 32785-2023 FSC-klagomål.docx", "A 32785-2023")</f>
        <v/>
      </c>
      <c r="AB25">
        <f>HYPERLINK("https://klasma.github.io/Logging_0331/klagomålsmail/A 32785-2023 FSC-klagomål mail.docx", "A 32785-2023")</f>
        <v/>
      </c>
      <c r="AC25">
        <f>HYPERLINK("https://klasma.github.io/Logging_0331/tillsyn/A 32785-2023 tillsynsbegäran.docx", "A 32785-2023")</f>
        <v/>
      </c>
      <c r="AD25">
        <f>HYPERLINK("https://klasma.github.io/Logging_0331/tillsynsmail/A 32785-2023 tillsynsbegäran mail.docx", "A 32785-2023")</f>
        <v/>
      </c>
      <c r="AE25">
        <f>HYPERLINK("https://klasma.github.io/Logging_0331/fåglar/A 32785-2023 prioriterade fågelarter.docx", "A 32785-2023")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46263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46263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46263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46263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46263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46263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46263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46263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46263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46263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46263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46263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46263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46263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46263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17972-2024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45419</v>
      </c>
      <c r="E41" s="1" t="n">
        <v>46263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9.699999999999999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2</v>
      </c>
      <c r="V41" s="2" t="inlineStr">
        <is>
          <t>Spädstarr
Repestarr</t>
        </is>
      </c>
      <c r="W41">
        <f>HYPERLINK("https://klasma.github.io/Logging_0331/artfynd/A 17972-2024 artfynd.xlsx", "A 17972-2024")</f>
        <v/>
      </c>
      <c r="X41">
        <f>HYPERLINK("https://klasma.github.io/Logging_0331/kartor/A 17972-2024 karta.png", "A 17972-2024")</f>
        <v/>
      </c>
      <c r="Y41">
        <f>HYPERLINK("https://klasma.github.io/Logging_0331/kartor_geotiff/A 17972-2024 georefererad karta.tif", "A 17972-2024")</f>
        <v/>
      </c>
      <c r="AA41">
        <f>HYPERLINK("https://klasma.github.io/Logging_0331/klagomål/A 17972-2024 FSC-klagomål.docx", "A 17972-2024")</f>
        <v/>
      </c>
      <c r="AB41">
        <f>HYPERLINK("https://klasma.github.io/Logging_0331/klagomålsmail/A 17972-2024 FSC-klagomål mail.docx", "A 17972-2024")</f>
        <v/>
      </c>
      <c r="AC41">
        <f>HYPERLINK("https://klasma.github.io/Logging_0331/tillsyn/A 17972-2024 tillsynsbegäran.docx", "A 17972-2024")</f>
        <v/>
      </c>
      <c r="AD41">
        <f>HYPERLINK("https://klasma.github.io/Logging_0331/tillsynsmail/A 17972-2024 tillsynsbegäran mail.docx", "A 17972-2024")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46263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46263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46263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46263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46263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46263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46263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46263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46263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46263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46263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46263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46263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46263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46263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46263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46263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46263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46263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46263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46263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Kungsspindling</t>
        </is>
      </c>
      <c r="W62">
        <f>HYPERLINK("https://klasma.github.io/Logging_0331/artfynd/A 9455-2026 artfynd.xlsx", "A 9455-2026")</f>
        <v/>
      </c>
      <c r="X62">
        <f>HYPERLINK("https://klasma.github.io/Logging_0331/kartor/A 9455-2026 karta.png", "A 9455-2026")</f>
        <v/>
      </c>
      <c r="Y62">
        <f>HYPERLINK("https://klasma.github.io/Logging_0331/kartor_geotiff/A 9455-2026 georefererad karta.tif", "A 9455-2026")</f>
        <v/>
      </c>
      <c r="AA62">
        <f>HYPERLINK("https://klasma.github.io/Logging_0331/klagomål/A 9455-2026 FSC-klagomål.docx", "A 9455-2026")</f>
        <v/>
      </c>
      <c r="AB62">
        <f>HYPERLINK("https://klasma.github.io/Logging_0331/klagomålsmail/A 9455-2026 FSC-klagomål mail.docx", "A 9455-2026")</f>
        <v/>
      </c>
      <c r="AC62">
        <f>HYPERLINK("https://klasma.github.io/Logging_0331/tillsyn/A 9455-2026 tillsynsbegäran.docx", "A 9455-2026")</f>
        <v/>
      </c>
      <c r="AD62">
        <f>HYPERLINK("https://klasma.github.io/Logging_0331/tillsynsmail/A 9455-2026 tillsynsbegäran mail.docx", "A 9455-2026")</f>
        <v/>
      </c>
    </row>
    <row r="63" ht="15" customHeight="1">
      <c r="A63" t="inlineStr">
        <is>
          <t>A 31569-2023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46263</v>
      </c>
      <c r="F63" t="inlineStr">
        <is>
          <t>UPPSALA LÄN</t>
        </is>
      </c>
      <c r="G63" t="inlineStr">
        <is>
          <t>HEBY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HYPERLINK("https://klasma.github.io/Logging_0331/artfynd/A 31569-2023 artfynd.xlsx", "A 31569-2023")</f>
        <v/>
      </c>
      <c r="X63">
        <f>HYPERLINK("https://klasma.github.io/Logging_0331/kartor/A 31569-2023 karta.png", "A 31569-2023")</f>
        <v/>
      </c>
      <c r="Y63">
        <f>HYPERLINK("https://klasma.github.io/Logging_0331/kartor_geotiff/A 31569-2023 georefererad karta.tif", "A 31569-2023")</f>
        <v/>
      </c>
      <c r="Z63">
        <f>HYPERLINK("https://klasma.github.io/Logging_0331/knärot/A 31569-2023 karta knärot.png", "A 31569-2023")</f>
        <v/>
      </c>
      <c r="AA63">
        <f>HYPERLINK("https://klasma.github.io/Logging_0331/klagomål/A 31569-2023 FSC-klagomål.docx", "A 31569-2023")</f>
        <v/>
      </c>
      <c r="AB63">
        <f>HYPERLINK("https://klasma.github.io/Logging_0331/klagomålsmail/A 31569-2023 FSC-klagomål mail.docx", "A 31569-2023")</f>
        <v/>
      </c>
      <c r="AC63">
        <f>HYPERLINK("https://klasma.github.io/Logging_0331/tillsyn/A 31569-2023 tillsynsbegäran.docx", "A 31569-2023")</f>
        <v/>
      </c>
      <c r="AD63">
        <f>HYPERLINK("https://klasma.github.io/Logging_0331/tillsynsmail/A 31569-2023 tillsynsbegäran mail.docx", "A 31569-2023")</f>
        <v/>
      </c>
    </row>
    <row r="64" ht="15" customHeight="1">
      <c r="A64" t="inlineStr">
        <is>
          <t>A 11560-2026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46084</v>
      </c>
      <c r="E64" s="1" t="n">
        <v>46263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11560-2026 artfynd.xlsx", "A 11560-2026")</f>
        <v/>
      </c>
      <c r="X64">
        <f>HYPERLINK("https://klasma.github.io/Logging_0331/kartor/A 11560-2026 karta.png", "A 11560-2026")</f>
        <v/>
      </c>
      <c r="Y64">
        <f>HYPERLINK("https://klasma.github.io/Logging_0331/kartor_geotiff/A 11560-2026 georefererad karta.tif", "A 11560-2026")</f>
        <v/>
      </c>
      <c r="AA64">
        <f>HYPERLINK("https://klasma.github.io/Logging_0331/klagomål/A 11560-2026 FSC-klagomål.docx", "A 11560-2026")</f>
        <v/>
      </c>
      <c r="AB64">
        <f>HYPERLINK("https://klasma.github.io/Logging_0331/klagomålsmail/A 11560-2026 FSC-klagomål mail.docx", "A 11560-2026")</f>
        <v/>
      </c>
      <c r="AC64">
        <f>HYPERLINK("https://klasma.github.io/Logging_0331/tillsyn/A 11560-2026 tillsynsbegäran.docx", "A 11560-2026")</f>
        <v/>
      </c>
      <c r="AD64">
        <f>HYPERLINK("https://klasma.github.io/Logging_0331/tillsynsmail/A 11560-2026 tillsynsbegäran mail.docx", "A 11560-2026")</f>
        <v/>
      </c>
    </row>
    <row r="65" ht="15" customHeight="1">
      <c r="A65" t="inlineStr">
        <is>
          <t>A 11841-2026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46263</v>
      </c>
      <c r="F65" t="inlineStr">
        <is>
          <t>UPPSALA LÄN</t>
        </is>
      </c>
      <c r="G65" t="inlineStr">
        <is>
          <t>HEBY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Stor aspticka</t>
        </is>
      </c>
      <c r="W65">
        <f>HYPERLINK("https://klasma.github.io/Logging_0331/artfynd/A 11841-2026 artfynd.xlsx", "A 11841-2026")</f>
        <v/>
      </c>
      <c r="X65">
        <f>HYPERLINK("https://klasma.github.io/Logging_0331/kartor/A 11841-2026 karta.png", "A 11841-2026")</f>
        <v/>
      </c>
      <c r="Y65">
        <f>HYPERLINK("https://klasma.github.io/Logging_0331/kartor_geotiff/A 11841-2026 georefererad karta.tif", "A 11841-2026")</f>
        <v/>
      </c>
      <c r="AA65">
        <f>HYPERLINK("https://klasma.github.io/Logging_0331/klagomål/A 11841-2026 FSC-klagomål.docx", "A 11841-2026")</f>
        <v/>
      </c>
      <c r="AB65">
        <f>HYPERLINK("https://klasma.github.io/Logging_0331/klagomålsmail/A 11841-2026 FSC-klagomål mail.docx", "A 11841-2026")</f>
        <v/>
      </c>
      <c r="AC65">
        <f>HYPERLINK("https://klasma.github.io/Logging_0331/tillsyn/A 11841-2026 tillsynsbegäran.docx", "A 11841-2026")</f>
        <v/>
      </c>
      <c r="AD65">
        <f>HYPERLINK("https://klasma.github.io/Logging_0331/tillsynsmail/A 11841-2026 tillsynsbegäran mail.docx", "A 11841-2026")</f>
        <v/>
      </c>
    </row>
    <row r="66" ht="15" customHeight="1">
      <c r="A66" t="inlineStr">
        <is>
          <t>A 26596-2024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45469</v>
      </c>
      <c r="E66" s="1" t="n">
        <v>46263</v>
      </c>
      <c r="F66" t="inlineStr">
        <is>
          <t>UPPSALA LÄN</t>
        </is>
      </c>
      <c r="G66" t="inlineStr">
        <is>
          <t>HEBY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Stenichnus poweri</t>
        </is>
      </c>
      <c r="W66">
        <f>HYPERLINK("https://klasma.github.io/Logging_0331/artfynd/A 26596-2024 artfynd.xlsx", "A 26596-2024")</f>
        <v/>
      </c>
      <c r="X66">
        <f>HYPERLINK("https://klasma.github.io/Logging_0331/kartor/A 26596-2024 karta.png", "A 26596-2024")</f>
        <v/>
      </c>
      <c r="Y66">
        <f>HYPERLINK("https://klasma.github.io/Logging_0331/kartor_geotiff/A 26596-2024 georefererad karta.tif", "A 26596-2024")</f>
        <v/>
      </c>
      <c r="AA66">
        <f>HYPERLINK("https://klasma.github.io/Logging_0331/klagomål/A 26596-2024 FSC-klagomål.docx", "A 26596-2024")</f>
        <v/>
      </c>
      <c r="AB66">
        <f>HYPERLINK("https://klasma.github.io/Logging_0331/klagomålsmail/A 26596-2024 FSC-klagomål mail.docx", "A 26596-2024")</f>
        <v/>
      </c>
      <c r="AC66">
        <f>HYPERLINK("https://klasma.github.io/Logging_0331/tillsyn/A 26596-2024 tillsynsbegäran.docx", "A 26596-2024")</f>
        <v/>
      </c>
      <c r="AD66">
        <f>HYPERLINK("https://klasma.github.io/Logging_0331/tillsynsmail/A 26596-2024 tillsynsbegäran mail.docx", "A 26596-2024")</f>
        <v/>
      </c>
    </row>
    <row r="67" ht="15" customHeight="1">
      <c r="A67" t="inlineStr">
        <is>
          <t>A 53992-2023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46263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HYPERLINK("https://klasma.github.io/Logging_0331/artfynd/A 53992-2023 artfynd.xlsx", "A 53992-2023")</f>
        <v/>
      </c>
      <c r="X67">
        <f>HYPERLINK("https://klasma.github.io/Logging_0331/kartor/A 53992-2023 karta.png", "A 53992-2023")</f>
        <v/>
      </c>
      <c r="Y67">
        <f>HYPERLINK("https://klasma.github.io/Logging_0331/kartor_geotiff/A 53992-2023 georefererad karta.tif", "A 53992-2023")</f>
        <v/>
      </c>
      <c r="AA67">
        <f>HYPERLINK("https://klasma.github.io/Logging_0331/klagomål/A 53992-2023 FSC-klagomål.docx", "A 53992-2023")</f>
        <v/>
      </c>
      <c r="AB67">
        <f>HYPERLINK("https://klasma.github.io/Logging_0331/klagomålsmail/A 53992-2023 FSC-klagomål mail.docx", "A 53992-2023")</f>
        <v/>
      </c>
      <c r="AC67">
        <f>HYPERLINK("https://klasma.github.io/Logging_0331/tillsyn/A 53992-2023 tillsynsbegäran.docx", "A 53992-2023")</f>
        <v/>
      </c>
      <c r="AD67">
        <f>HYPERLINK("https://klasma.github.io/Logging_0331/tillsynsmail/A 53992-2023 tillsynsbegäran mail.docx", "A 53992-2023")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46263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46263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46263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46263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46263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46263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46263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19555-2025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45770</v>
      </c>
      <c r="E75" s="1" t="n">
        <v>46263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Sparvuggla</t>
        </is>
      </c>
      <c r="W75">
        <f>HYPERLINK("https://klasma.github.io/Logging_0331/artfynd/A 19555-2025 artfynd.xlsx", "A 19555-2025")</f>
        <v/>
      </c>
      <c r="X75">
        <f>HYPERLINK("https://klasma.github.io/Logging_0331/kartor/A 19555-2025 karta.png", "A 19555-2025")</f>
        <v/>
      </c>
      <c r="Y75">
        <f>HYPERLINK("https://klasma.github.io/Logging_0331/kartor_geotiff/A 19555-2025 georefererad karta.tif", "A 19555-2025")</f>
        <v/>
      </c>
      <c r="AA75">
        <f>HYPERLINK("https://klasma.github.io/Logging_0331/klagomål/A 19555-2025 FSC-klagomål.docx", "A 19555-2025")</f>
        <v/>
      </c>
      <c r="AB75">
        <f>HYPERLINK("https://klasma.github.io/Logging_0331/klagomålsmail/A 19555-2025 FSC-klagomål mail.docx", "A 19555-2025")</f>
        <v/>
      </c>
      <c r="AC75">
        <f>HYPERLINK("https://klasma.github.io/Logging_0331/tillsyn/A 19555-2025 tillsynsbegäran.docx", "A 19555-2025")</f>
        <v/>
      </c>
      <c r="AD75">
        <f>HYPERLINK("https://klasma.github.io/Logging_0331/tillsynsmail/A 19555-2025 tillsynsbegäran mail.docx", "A 19555-2025")</f>
        <v/>
      </c>
      <c r="AE75">
        <f>HYPERLINK("https://klasma.github.io/Logging_0331/fåglar/A 19555-2025 prioriterade fågelarter.docx", "A 19555-2025")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46263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46263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17697-2024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46263</v>
      </c>
      <c r="F78" t="inlineStr">
        <is>
          <t>UPPSALA LÄN</t>
        </is>
      </c>
      <c r="G78" t="inlineStr">
        <is>
          <t>HEBY</t>
        </is>
      </c>
      <c r="I78" t="n">
        <v>0.6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HYPERLINK("https://klasma.github.io/Logging_0331/artfynd/A 17697-2024 artfynd.xlsx", "A 17697-2024")</f>
        <v/>
      </c>
      <c r="X78">
        <f>HYPERLINK("https://klasma.github.io/Logging_0331/kartor/A 17697-2024 karta.png", "A 17697-2024")</f>
        <v/>
      </c>
      <c r="Y78">
        <f>HYPERLINK("https://klasma.github.io/Logging_0331/kartor_geotiff/A 17697-2024 georefererad karta.tif", "A 17697-2024")</f>
        <v/>
      </c>
      <c r="AA78">
        <f>HYPERLINK("https://klasma.github.io/Logging_0331/klagomål/A 17697-2024 FSC-klagomål.docx", "A 17697-2024")</f>
        <v/>
      </c>
      <c r="AB78">
        <f>HYPERLINK("https://klasma.github.io/Logging_0331/klagomålsmail/A 17697-2024 FSC-klagomål mail.docx", "A 17697-2024")</f>
        <v/>
      </c>
      <c r="AC78">
        <f>HYPERLINK("https://klasma.github.io/Logging_0331/tillsyn/A 17697-2024 tillsynsbegäran.docx", "A 17697-2024")</f>
        <v/>
      </c>
      <c r="AD78">
        <f>HYPERLINK("https://klasma.github.io/Logging_0331/tillsynsmail/A 17697-2024 tillsynsbegäran mail.docx", "A 17697-2024")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46263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55763-2025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45972</v>
      </c>
      <c r="E80" s="1" t="n">
        <v>46263</v>
      </c>
      <c r="F80" t="inlineStr">
        <is>
          <t>UPPSALA LÄN</t>
        </is>
      </c>
      <c r="G80" t="inlineStr">
        <is>
          <t>HEBY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Kandelabersvamp</t>
        </is>
      </c>
      <c r="W80">
        <f>HYPERLINK("https://klasma.github.io/Logging_0331/artfynd/A 55763-2025 artfynd.xlsx", "A 55763-2025")</f>
        <v/>
      </c>
      <c r="X80">
        <f>HYPERLINK("https://klasma.github.io/Logging_0331/kartor/A 55763-2025 karta.png", "A 55763-2025")</f>
        <v/>
      </c>
      <c r="Y80">
        <f>HYPERLINK("https://klasma.github.io/Logging_0331/kartor_geotiff/A 55763-2025 georefererad karta.tif", "A 55763-2025")</f>
        <v/>
      </c>
      <c r="AA80">
        <f>HYPERLINK("https://klasma.github.io/Logging_0331/klagomål/A 55763-2025 FSC-klagomål.docx", "A 55763-2025")</f>
        <v/>
      </c>
      <c r="AB80">
        <f>HYPERLINK("https://klasma.github.io/Logging_0331/klagomålsmail/A 55763-2025 FSC-klagomål mail.docx", "A 55763-2025")</f>
        <v/>
      </c>
      <c r="AC80">
        <f>HYPERLINK("https://klasma.github.io/Logging_0331/tillsyn/A 55763-2025 tillsynsbegäran.docx", "A 55763-2025")</f>
        <v/>
      </c>
      <c r="AD80">
        <f>HYPERLINK("https://klasma.github.io/Logging_0331/tillsynsmail/A 55763-2025 tillsynsbegäran mail.docx", "A 55763-2025")</f>
        <v/>
      </c>
    </row>
    <row r="81" ht="15" customHeight="1">
      <c r="A81" t="inlineStr">
        <is>
          <t>A 9618-2026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46263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HYPERLINK("https://klasma.github.io/Logging_0331/artfynd/A 9618-2026 artfynd.xlsx", "A 9618-2026")</f>
        <v/>
      </c>
      <c r="X81">
        <f>HYPERLINK("https://klasma.github.io/Logging_0331/kartor/A 9618-2026 karta.png", "A 9618-2026")</f>
        <v/>
      </c>
      <c r="Y81">
        <f>HYPERLINK("https://klasma.github.io/Logging_0331/kartor_geotiff/A 9618-2026 georefererad karta.tif", "A 9618-2026")</f>
        <v/>
      </c>
      <c r="AA81">
        <f>HYPERLINK("https://klasma.github.io/Logging_0331/klagomål/A 9618-2026 FSC-klagomål.docx", "A 9618-2026")</f>
        <v/>
      </c>
      <c r="AB81">
        <f>HYPERLINK("https://klasma.github.io/Logging_0331/klagomålsmail/A 9618-2026 FSC-klagomål mail.docx", "A 9618-2026")</f>
        <v/>
      </c>
      <c r="AC81">
        <f>HYPERLINK("https://klasma.github.io/Logging_0331/tillsyn/A 9618-2026 tillsynsbegäran.docx", "A 9618-2026")</f>
        <v/>
      </c>
      <c r="AD81">
        <f>HYPERLINK("https://klasma.github.io/Logging_0331/tillsynsmail/A 9618-2026 tillsynsbegäran mail.docx", "A 9618-2026")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46263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46263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46263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46263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46263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46263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46263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49352-2021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46263</v>
      </c>
      <c r="F89" t="inlineStr">
        <is>
          <t>UPPSALA LÄN</t>
        </is>
      </c>
      <c r="G89" t="inlineStr">
        <is>
          <t>HEBY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46263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46263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46263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46263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46263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46263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46263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46263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46263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46263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46560-2021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44445</v>
      </c>
      <c r="E100" s="1" t="n">
        <v>46263</v>
      </c>
      <c r="F100" t="inlineStr">
        <is>
          <t>UPPSALA LÄN</t>
        </is>
      </c>
      <c r="G100" t="inlineStr">
        <is>
          <t>HEBY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46263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46263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46263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46263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46263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46263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46263</v>
      </c>
      <c r="F108" t="inlineStr">
        <is>
          <t>UPPSALA LÄN</t>
        </is>
      </c>
      <c r="G108" t="inlineStr">
        <is>
          <t>HEBY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46263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46263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46263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46263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46263</v>
      </c>
      <c r="F113" t="inlineStr">
        <is>
          <t>UPPSALA LÄN</t>
        </is>
      </c>
      <c r="G113" t="inlineStr">
        <is>
          <t>HEBY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46263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46263</v>
      </c>
      <c r="F115" t="inlineStr">
        <is>
          <t>UPPSALA LÄN</t>
        </is>
      </c>
      <c r="G115" t="inlineStr">
        <is>
          <t>HEBY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46263</v>
      </c>
      <c r="F116" t="inlineStr">
        <is>
          <t>UPPSALA LÄN</t>
        </is>
      </c>
      <c r="G116" t="inlineStr">
        <is>
          <t>HEBY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46263</v>
      </c>
      <c r="F117" t="inlineStr">
        <is>
          <t>UPPSALA LÄN</t>
        </is>
      </c>
      <c r="G117" t="inlineStr">
        <is>
          <t>HEBY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46263</v>
      </c>
      <c r="F118" t="inlineStr">
        <is>
          <t>UPPSALA LÄN</t>
        </is>
      </c>
      <c r="G118" t="inlineStr">
        <is>
          <t>HEBY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46263</v>
      </c>
      <c r="F119" t="inlineStr">
        <is>
          <t>UPPSALA LÄN</t>
        </is>
      </c>
      <c r="G119" t="inlineStr">
        <is>
          <t>HEBY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46263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44850</v>
      </c>
      <c r="E121" s="1" t="n">
        <v>46263</v>
      </c>
      <c r="F121" t="inlineStr">
        <is>
          <t>UPPSALA LÄN</t>
        </is>
      </c>
      <c r="G121" t="inlineStr">
        <is>
          <t>HEBY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46263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46263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46263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44832</v>
      </c>
      <c r="E125" s="1" t="n">
        <v>46263</v>
      </c>
      <c r="F125" t="inlineStr">
        <is>
          <t>UPPSALA LÄN</t>
        </is>
      </c>
      <c r="G125" t="inlineStr">
        <is>
          <t>HEBY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44748</v>
      </c>
      <c r="E126" s="1" t="n">
        <v>46263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46263</v>
      </c>
      <c r="F127" t="inlineStr">
        <is>
          <t>UPPSALA LÄN</t>
        </is>
      </c>
      <c r="G127" t="inlineStr">
        <is>
          <t>HEBY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44459</v>
      </c>
      <c r="E128" s="1" t="n">
        <v>46263</v>
      </c>
      <c r="F128" t="inlineStr">
        <is>
          <t>UPPSALA LÄN</t>
        </is>
      </c>
      <c r="G128" t="inlineStr">
        <is>
          <t>HEBY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46263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46263</v>
      </c>
      <c r="F130" t="inlineStr">
        <is>
          <t>UPPSALA LÄN</t>
        </is>
      </c>
      <c r="G130" t="inlineStr">
        <is>
          <t>HEBY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44769</v>
      </c>
      <c r="E131" s="1" t="n">
        <v>46263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46263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öst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46263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46263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46263</v>
      </c>
      <c r="F135" t="inlineStr">
        <is>
          <t>UPPSALA LÄN</t>
        </is>
      </c>
      <c r="G135" t="inlineStr">
        <is>
          <t>HEBY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46263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46263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46263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46263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46263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46263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46263</v>
      </c>
      <c r="F142" t="inlineStr">
        <is>
          <t>UPPSALA LÄN</t>
        </is>
      </c>
      <c r="G142" t="inlineStr">
        <is>
          <t>HEBY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46263</v>
      </c>
      <c r="F143" t="inlineStr">
        <is>
          <t>UPPSALA LÄN</t>
        </is>
      </c>
      <c r="G143" t="inlineStr">
        <is>
          <t>HEBY</t>
        </is>
      </c>
      <c r="H143" t="inlineStr">
        <is>
          <t>Övriga Aktiebolag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46263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46263</v>
      </c>
      <c r="F145" t="inlineStr">
        <is>
          <t>UPPSALA LÄN</t>
        </is>
      </c>
      <c r="G145" t="inlineStr">
        <is>
          <t>HEBY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46263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46263</v>
      </c>
      <c r="F147" t="inlineStr">
        <is>
          <t>UPPSALA LÄN</t>
        </is>
      </c>
      <c r="G147" t="inlineStr">
        <is>
          <t>HEBY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46263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46263</v>
      </c>
      <c r="F149" t="inlineStr">
        <is>
          <t>UPPSALA LÄN</t>
        </is>
      </c>
      <c r="G149" t="inlineStr">
        <is>
          <t>HEBY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46263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46263</v>
      </c>
      <c r="F151" t="inlineStr">
        <is>
          <t>UPPSALA LÄN</t>
        </is>
      </c>
      <c r="G151" t="inlineStr">
        <is>
          <t>HEBY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46263</v>
      </c>
      <c r="F152" t="inlineStr">
        <is>
          <t>UPPSALA LÄN</t>
        </is>
      </c>
      <c r="G152" t="inlineStr">
        <is>
          <t>HEBY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45786</v>
      </c>
      <c r="E153" s="1" t="n">
        <v>46263</v>
      </c>
      <c r="F153" t="inlineStr">
        <is>
          <t>UPPSALA LÄN</t>
        </is>
      </c>
      <c r="G153" t="inlineStr">
        <is>
          <t>HEBY</t>
        </is>
      </c>
      <c r="H153" t="inlineStr">
        <is>
          <t>Kyrkan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46263</v>
      </c>
      <c r="F154" t="inlineStr">
        <is>
          <t>UPPSALA LÄN</t>
        </is>
      </c>
      <c r="G154" t="inlineStr">
        <is>
          <t>HEBY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46263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46263</v>
      </c>
      <c r="F156" t="inlineStr">
        <is>
          <t>UPPSALA LÄN</t>
        </is>
      </c>
      <c r="G156" t="inlineStr">
        <is>
          <t>HEBY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46263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46263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46263</v>
      </c>
      <c r="F159" t="inlineStr">
        <is>
          <t>UPPSALA LÄN</t>
        </is>
      </c>
      <c r="G159" t="inlineStr">
        <is>
          <t>HEBY</t>
        </is>
      </c>
      <c r="H159" t="inlineStr">
        <is>
          <t>Kyrkan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45250</v>
      </c>
      <c r="E160" s="1" t="n">
        <v>46263</v>
      </c>
      <c r="F160" t="inlineStr">
        <is>
          <t>UPPSALA LÄN</t>
        </is>
      </c>
      <c r="G160" t="inlineStr">
        <is>
          <t>HEBY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46263</v>
      </c>
      <c r="F161" t="inlineStr">
        <is>
          <t>UPPSALA LÄN</t>
        </is>
      </c>
      <c r="G161" t="inlineStr">
        <is>
          <t>HEBY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46263</v>
      </c>
      <c r="F162" t="inlineStr">
        <is>
          <t>UPPSALA LÄN</t>
        </is>
      </c>
      <c r="G162" t="inlineStr">
        <is>
          <t>HEBY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46263</v>
      </c>
      <c r="F163" t="inlineStr">
        <is>
          <t>UPPSALA LÄN</t>
        </is>
      </c>
      <c r="G163" t="inlineStr">
        <is>
          <t>HEBY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44644</v>
      </c>
      <c r="E164" s="1" t="n">
        <v>46263</v>
      </c>
      <c r="F164" t="inlineStr">
        <is>
          <t>UPPSALA LÄN</t>
        </is>
      </c>
      <c r="G164" t="inlineStr">
        <is>
          <t>HEBY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46263</v>
      </c>
      <c r="F165" t="inlineStr">
        <is>
          <t>UPPSALA LÄN</t>
        </is>
      </c>
      <c r="G165" t="inlineStr">
        <is>
          <t>HEBY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46263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45786</v>
      </c>
      <c r="E167" s="1" t="n">
        <v>46263</v>
      </c>
      <c r="F167" t="inlineStr">
        <is>
          <t>UPPSALA LÄN</t>
        </is>
      </c>
      <c r="G167" t="inlineStr">
        <is>
          <t>HEBY</t>
        </is>
      </c>
      <c r="H167" t="inlineStr">
        <is>
          <t>Kyrkan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45786</v>
      </c>
      <c r="E168" s="1" t="n">
        <v>46263</v>
      </c>
      <c r="F168" t="inlineStr">
        <is>
          <t>UPPSALA LÄN</t>
        </is>
      </c>
      <c r="G168" t="inlineStr">
        <is>
          <t>HEBY</t>
        </is>
      </c>
      <c r="H168" t="inlineStr">
        <is>
          <t>Kyrkan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46263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46263</v>
      </c>
      <c r="F170" t="inlineStr">
        <is>
          <t>UPPSALA LÄN</t>
        </is>
      </c>
      <c r="G170" t="inlineStr">
        <is>
          <t>HEBY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46263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46263</v>
      </c>
      <c r="F172" t="inlineStr">
        <is>
          <t>UPPSALA LÄN</t>
        </is>
      </c>
      <c r="G172" t="inlineStr">
        <is>
          <t>HEBY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46263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46263</v>
      </c>
      <c r="F174" t="inlineStr">
        <is>
          <t>UPPSALA LÄN</t>
        </is>
      </c>
      <c r="G174" t="inlineStr">
        <is>
          <t>HEBY</t>
        </is>
      </c>
      <c r="H174" t="inlineStr">
        <is>
          <t>Allmännings- och besparingsskogar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55488-2025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45971</v>
      </c>
      <c r="E175" s="1" t="n">
        <v>46263</v>
      </c>
      <c r="F175" t="inlineStr">
        <is>
          <t>UPPSALA LÄN</t>
        </is>
      </c>
      <c r="G175" t="inlineStr">
        <is>
          <t>HEBY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55496-2025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45971</v>
      </c>
      <c r="E176" s="1" t="n">
        <v>46263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44925</v>
      </c>
      <c r="E177" s="1" t="n">
        <v>46263</v>
      </c>
      <c r="F177" t="inlineStr">
        <is>
          <t>UPPSALA LÄN</t>
        </is>
      </c>
      <c r="G177" t="inlineStr">
        <is>
          <t>HEBY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46263</v>
      </c>
      <c r="F178" t="inlineStr">
        <is>
          <t>UPPSALA LÄN</t>
        </is>
      </c>
      <c r="G178" t="inlineStr">
        <is>
          <t>HEBY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46263</v>
      </c>
      <c r="F179" t="inlineStr">
        <is>
          <t>UPPSALA LÄN</t>
        </is>
      </c>
      <c r="G179" t="inlineStr">
        <is>
          <t>HEBY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46263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46263</v>
      </c>
      <c r="F181" t="inlineStr">
        <is>
          <t>UPPSALA LÄN</t>
        </is>
      </c>
      <c r="G181" t="inlineStr">
        <is>
          <t>HEBY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46263</v>
      </c>
      <c r="F182" t="inlineStr">
        <is>
          <t>UPPSALA LÄN</t>
        </is>
      </c>
      <c r="G182" t="inlineStr">
        <is>
          <t>HEBY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45339</v>
      </c>
      <c r="E183" s="1" t="n">
        <v>46263</v>
      </c>
      <c r="F183" t="inlineStr">
        <is>
          <t>UPPSALA LÄN</t>
        </is>
      </c>
      <c r="G183" t="inlineStr">
        <is>
          <t>HEBY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46263</v>
      </c>
      <c r="F184" t="inlineStr">
        <is>
          <t>UPPSALA LÄN</t>
        </is>
      </c>
      <c r="G184" t="inlineStr">
        <is>
          <t>HEBY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46263</v>
      </c>
      <c r="F185" t="inlineStr">
        <is>
          <t>UPPSALA LÄN</t>
        </is>
      </c>
      <c r="G185" t="inlineStr">
        <is>
          <t>HEBY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56302-2021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46263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46263</v>
      </c>
      <c r="F187" t="inlineStr">
        <is>
          <t>UPPSALA LÄN</t>
        </is>
      </c>
      <c r="G187" t="inlineStr">
        <is>
          <t>HEBY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45328</v>
      </c>
      <c r="E188" s="1" t="n">
        <v>46263</v>
      </c>
      <c r="F188" t="inlineStr">
        <is>
          <t>UPPSALA LÄN</t>
        </is>
      </c>
      <c r="G188" t="inlineStr">
        <is>
          <t>HEBY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45133</v>
      </c>
      <c r="E189" s="1" t="n">
        <v>46263</v>
      </c>
      <c r="F189" t="inlineStr">
        <is>
          <t>UPPSALA LÄN</t>
        </is>
      </c>
      <c r="G189" t="inlineStr">
        <is>
          <t>HEBY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46263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12.3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45209</v>
      </c>
      <c r="E191" s="1" t="n">
        <v>46263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44844</v>
      </c>
      <c r="E192" s="1" t="n">
        <v>46263</v>
      </c>
      <c r="F192" t="inlineStr">
        <is>
          <t>UPPSALA LÄN</t>
        </is>
      </c>
      <c r="G192" t="inlineStr">
        <is>
          <t>HEBY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46263</v>
      </c>
      <c r="F193" t="inlineStr">
        <is>
          <t>UPPSALA LÄN</t>
        </is>
      </c>
      <c r="G193" t="inlineStr">
        <is>
          <t>HEBY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46263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46263</v>
      </c>
      <c r="F195" t="inlineStr">
        <is>
          <t>UPPSALA LÄN</t>
        </is>
      </c>
      <c r="G195" t="inlineStr">
        <is>
          <t>HEBY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46263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46263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46263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46263</v>
      </c>
      <c r="F199" t="inlineStr">
        <is>
          <t>UPPSALA LÄN</t>
        </is>
      </c>
      <c r="G199" t="inlineStr">
        <is>
          <t>HEBY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45797</v>
      </c>
      <c r="E200" s="1" t="n">
        <v>46263</v>
      </c>
      <c r="F200" t="inlineStr">
        <is>
          <t>UPPSALA LÄN</t>
        </is>
      </c>
      <c r="G200" t="inlineStr">
        <is>
          <t>HEBY</t>
        </is>
      </c>
      <c r="H200" t="inlineStr">
        <is>
          <t>Kyrkan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45980</v>
      </c>
      <c r="E201" s="1" t="n">
        <v>46263</v>
      </c>
      <c r="F201" t="inlineStr">
        <is>
          <t>UPPSALA LÄN</t>
        </is>
      </c>
      <c r="G201" t="inlineStr">
        <is>
          <t>HEBY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46263</v>
      </c>
      <c r="F202" t="inlineStr">
        <is>
          <t>UPPSALA LÄN</t>
        </is>
      </c>
      <c r="G202" t="inlineStr">
        <is>
          <t>HEBY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46263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46263</v>
      </c>
      <c r="F204" t="inlineStr">
        <is>
          <t>UPPSALA LÄN</t>
        </is>
      </c>
      <c r="G204" t="inlineStr">
        <is>
          <t>HEBY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46263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46263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64899-2021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44512</v>
      </c>
      <c r="E207" s="1" t="n">
        <v>46263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öst AB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46263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60722-2022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44913</v>
      </c>
      <c r="E209" s="1" t="n">
        <v>46263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46263</v>
      </c>
      <c r="F210" t="inlineStr">
        <is>
          <t>UPPSALA LÄN</t>
        </is>
      </c>
      <c r="G210" t="inlineStr">
        <is>
          <t>HEBY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46263</v>
      </c>
      <c r="F211" t="inlineStr">
        <is>
          <t>UPPSALA LÄN</t>
        </is>
      </c>
      <c r="G211" t="inlineStr">
        <is>
          <t>HEBY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46263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46263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46263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46263</v>
      </c>
      <c r="F215" t="inlineStr">
        <is>
          <t>UPPSALA LÄN</t>
        </is>
      </c>
      <c r="G215" t="inlineStr">
        <is>
          <t>HEBY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46263</v>
      </c>
      <c r="F216" t="inlineStr">
        <is>
          <t>UPPSALA LÄN</t>
        </is>
      </c>
      <c r="G216" t="inlineStr">
        <is>
          <t>HEBY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45390</v>
      </c>
      <c r="E217" s="1" t="n">
        <v>46263</v>
      </c>
      <c r="F217" t="inlineStr">
        <is>
          <t>UPPSALA LÄN</t>
        </is>
      </c>
      <c r="G217" t="inlineStr">
        <is>
          <t>HEBY</t>
        </is>
      </c>
      <c r="I217" t="n">
        <v>15.8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46263</v>
      </c>
      <c r="F218" t="inlineStr">
        <is>
          <t>UPPSALA LÄN</t>
        </is>
      </c>
      <c r="G218" t="inlineStr">
        <is>
          <t>HEBY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46263</v>
      </c>
      <c r="F219" t="inlineStr">
        <is>
          <t>UPPSALA LÄN</t>
        </is>
      </c>
      <c r="G219" t="inlineStr">
        <is>
          <t>HEBY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46263</v>
      </c>
      <c r="F220" t="inlineStr">
        <is>
          <t>UPPSALA LÄN</t>
        </is>
      </c>
      <c r="G220" t="inlineStr">
        <is>
          <t>HEBY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46263</v>
      </c>
      <c r="F221" t="inlineStr">
        <is>
          <t>UPPSALA LÄN</t>
        </is>
      </c>
      <c r="G221" t="inlineStr">
        <is>
          <t>HEBY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44586</v>
      </c>
      <c r="E222" s="1" t="n">
        <v>46263</v>
      </c>
      <c r="F222" t="inlineStr">
        <is>
          <t>UPPSALA LÄN</t>
        </is>
      </c>
      <c r="G222" t="inlineStr">
        <is>
          <t>HEBY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46263</v>
      </c>
      <c r="F223" t="inlineStr">
        <is>
          <t>UPPSALA LÄN</t>
        </is>
      </c>
      <c r="G223" t="inlineStr">
        <is>
          <t>HEBY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46263</v>
      </c>
      <c r="F224" t="inlineStr">
        <is>
          <t>UPPSALA LÄN</t>
        </is>
      </c>
      <c r="G224" t="inlineStr">
        <is>
          <t>HEBY</t>
        </is>
      </c>
      <c r="H224" t="inlineStr">
        <is>
          <t>Allmännings- och besparingsskogar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46263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öst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45628</v>
      </c>
      <c r="E226" s="1" t="n">
        <v>46263</v>
      </c>
      <c r="F226" t="inlineStr">
        <is>
          <t>UPPSALA LÄN</t>
        </is>
      </c>
      <c r="G226" t="inlineStr">
        <is>
          <t>HEBY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46263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45596</v>
      </c>
      <c r="E228" s="1" t="n">
        <v>46263</v>
      </c>
      <c r="F228" t="inlineStr">
        <is>
          <t>UPPSALA LÄN</t>
        </is>
      </c>
      <c r="G228" t="inlineStr">
        <is>
          <t>HEBY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45566</v>
      </c>
      <c r="E229" s="1" t="n">
        <v>46263</v>
      </c>
      <c r="F229" t="inlineStr">
        <is>
          <t>UPPSALA LÄN</t>
        </is>
      </c>
      <c r="G229" t="inlineStr">
        <is>
          <t>HEBY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46263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46263</v>
      </c>
      <c r="F231" t="inlineStr">
        <is>
          <t>UPPSALA LÄN</t>
        </is>
      </c>
      <c r="G231" t="inlineStr">
        <is>
          <t>HEBY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46263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öst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44574</v>
      </c>
      <c r="E233" s="1" t="n">
        <v>46263</v>
      </c>
      <c r="F233" t="inlineStr">
        <is>
          <t>UPPSALA LÄN</t>
        </is>
      </c>
      <c r="G233" t="inlineStr">
        <is>
          <t>HEBY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45818</v>
      </c>
      <c r="E234" s="1" t="n">
        <v>46263</v>
      </c>
      <c r="F234" t="inlineStr">
        <is>
          <t>UPPSALA LÄN</t>
        </is>
      </c>
      <c r="G234" t="inlineStr">
        <is>
          <t>HEBY</t>
        </is>
      </c>
      <c r="H234" t="inlineStr">
        <is>
          <t>Kyrkan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46263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46263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46263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46263</v>
      </c>
      <c r="F238" t="inlineStr">
        <is>
          <t>UPPSALA LÄN</t>
        </is>
      </c>
      <c r="G238" t="inlineStr">
        <is>
          <t>HEBY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46263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66.90000000000001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46263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46263</v>
      </c>
      <c r="F241" t="inlineStr">
        <is>
          <t>UPPSALA LÄN</t>
        </is>
      </c>
      <c r="G241" t="inlineStr">
        <is>
          <t>HEBY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46263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46263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46263</v>
      </c>
      <c r="F244" t="inlineStr">
        <is>
          <t>UPPSALA LÄN</t>
        </is>
      </c>
      <c r="G244" t="inlineStr">
        <is>
          <t>HEBY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52292-2022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46263</v>
      </c>
      <c r="F245" t="inlineStr">
        <is>
          <t>UPPSALA LÄN</t>
        </is>
      </c>
      <c r="G245" t="inlineStr">
        <is>
          <t>HEBY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46263</v>
      </c>
      <c r="F246" t="inlineStr">
        <is>
          <t>UPPSALA LÄN</t>
        </is>
      </c>
      <c r="G246" t="inlineStr">
        <is>
          <t>HEBY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46263</v>
      </c>
      <c r="F247" t="inlineStr">
        <is>
          <t>UPPSALA LÄN</t>
        </is>
      </c>
      <c r="G247" t="inlineStr">
        <is>
          <t>HEBY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46263</v>
      </c>
      <c r="F248" t="inlineStr">
        <is>
          <t>UPPSALA LÄN</t>
        </is>
      </c>
      <c r="G248" t="inlineStr">
        <is>
          <t>HEBY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46263</v>
      </c>
      <c r="F249" t="inlineStr">
        <is>
          <t>UPPSALA LÄN</t>
        </is>
      </c>
      <c r="G249" t="inlineStr">
        <is>
          <t>HEBY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46263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45331</v>
      </c>
      <c r="E251" s="1" t="n">
        <v>46263</v>
      </c>
      <c r="F251" t="inlineStr">
        <is>
          <t>UPPSALA LÄN</t>
        </is>
      </c>
      <c r="G251" t="inlineStr">
        <is>
          <t>HEBY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46263</v>
      </c>
      <c r="F252" t="inlineStr">
        <is>
          <t>UPPSALA LÄN</t>
        </is>
      </c>
      <c r="G252" t="inlineStr">
        <is>
          <t>HEBY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45050</v>
      </c>
      <c r="E253" s="1" t="n">
        <v>46263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46263</v>
      </c>
      <c r="F254" t="inlineStr">
        <is>
          <t>UPPSALA LÄN</t>
        </is>
      </c>
      <c r="G254" t="inlineStr">
        <is>
          <t>HEBY</t>
        </is>
      </c>
      <c r="H254" t="inlineStr">
        <is>
          <t>Övriga Aktiebolag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46263</v>
      </c>
      <c r="F255" t="inlineStr">
        <is>
          <t>UPPSALA LÄN</t>
        </is>
      </c>
      <c r="G255" t="inlineStr">
        <is>
          <t>HEBY</t>
        </is>
      </c>
      <c r="H255" t="inlineStr">
        <is>
          <t>Övriga Aktiebolag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46263</v>
      </c>
      <c r="F256" t="inlineStr">
        <is>
          <t>UPPSALA LÄN</t>
        </is>
      </c>
      <c r="G256" t="inlineStr">
        <is>
          <t>HEBY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46263</v>
      </c>
      <c r="F257" t="inlineStr">
        <is>
          <t>UPPSALA LÄN</t>
        </is>
      </c>
      <c r="G257" t="inlineStr">
        <is>
          <t>HEBY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44944</v>
      </c>
      <c r="E258" s="1" t="n">
        <v>46263</v>
      </c>
      <c r="F258" t="inlineStr">
        <is>
          <t>UPPSALA LÄN</t>
        </is>
      </c>
      <c r="G258" t="inlineStr">
        <is>
          <t>HEBY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45586</v>
      </c>
      <c r="E259" s="1" t="n">
        <v>46263</v>
      </c>
      <c r="F259" t="inlineStr">
        <is>
          <t>UPPSALA LÄN</t>
        </is>
      </c>
      <c r="G259" t="inlineStr">
        <is>
          <t>HEBY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46263</v>
      </c>
      <c r="F260" t="inlineStr">
        <is>
          <t>UPPSALA LÄN</t>
        </is>
      </c>
      <c r="G260" t="inlineStr">
        <is>
          <t>HEBY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46263</v>
      </c>
      <c r="F261" t="inlineStr">
        <is>
          <t>UPPSALA LÄN</t>
        </is>
      </c>
      <c r="G261" t="inlineStr">
        <is>
          <t>HEBY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46263</v>
      </c>
      <c r="F262" t="inlineStr">
        <is>
          <t>UPPSALA LÄN</t>
        </is>
      </c>
      <c r="G262" t="inlineStr">
        <is>
          <t>HEBY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46263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46263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62042-2025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46005</v>
      </c>
      <c r="E265" s="1" t="n">
        <v>46263</v>
      </c>
      <c r="F265" t="inlineStr">
        <is>
          <t>UPPSALA LÄN</t>
        </is>
      </c>
      <c r="G265" t="inlineStr">
        <is>
          <t>HEBY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44943</v>
      </c>
      <c r="E266" s="1" t="n">
        <v>46263</v>
      </c>
      <c r="F266" t="inlineStr">
        <is>
          <t>UPPSALA LÄN</t>
        </is>
      </c>
      <c r="G266" t="inlineStr">
        <is>
          <t>HEBY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46263</v>
      </c>
      <c r="F267" t="inlineStr">
        <is>
          <t>UPPSALA LÄN</t>
        </is>
      </c>
      <c r="G267" t="inlineStr">
        <is>
          <t>HEBY</t>
        </is>
      </c>
      <c r="H267" t="inlineStr">
        <is>
          <t>Bergvik skog väst AB</t>
        </is>
      </c>
      <c r="I267" t="n">
        <v>43.4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44916</v>
      </c>
      <c r="E268" s="1" t="n">
        <v>46263</v>
      </c>
      <c r="F268" t="inlineStr">
        <is>
          <t>UPPSALA LÄN</t>
        </is>
      </c>
      <c r="G268" t="inlineStr">
        <is>
          <t>HEBY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46263</v>
      </c>
      <c r="F269" t="inlineStr">
        <is>
          <t>UPPSALA LÄN</t>
        </is>
      </c>
      <c r="G269" t="inlineStr">
        <is>
          <t>HEBY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45364</v>
      </c>
      <c r="E270" s="1" t="n">
        <v>46263</v>
      </c>
      <c r="F270" t="inlineStr">
        <is>
          <t>UPPSALA LÄN</t>
        </is>
      </c>
      <c r="G270" t="inlineStr">
        <is>
          <t>HEBY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45364</v>
      </c>
      <c r="E271" s="1" t="n">
        <v>46263</v>
      </c>
      <c r="F271" t="inlineStr">
        <is>
          <t>UPPSALA LÄN</t>
        </is>
      </c>
      <c r="G271" t="inlineStr">
        <is>
          <t>HEBY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44888</v>
      </c>
      <c r="E272" s="1" t="n">
        <v>46263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45006</v>
      </c>
      <c r="E273" s="1" t="n">
        <v>46263</v>
      </c>
      <c r="F273" t="inlineStr">
        <is>
          <t>UPPSALA LÄN</t>
        </is>
      </c>
      <c r="G273" t="inlineStr">
        <is>
          <t>HEBY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46263</v>
      </c>
      <c r="F274" t="inlineStr">
        <is>
          <t>UPPSALA LÄN</t>
        </is>
      </c>
      <c r="G274" t="inlineStr">
        <is>
          <t>HEBY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46263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46263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44701</v>
      </c>
      <c r="E277" s="1" t="n">
        <v>46263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46263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45847</v>
      </c>
      <c r="E279" s="1" t="n">
        <v>46263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45852</v>
      </c>
      <c r="E280" s="1" t="n">
        <v>46263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46263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46263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45422</v>
      </c>
      <c r="E283" s="1" t="n">
        <v>46263</v>
      </c>
      <c r="F283" t="inlineStr">
        <is>
          <t>UPPSALA LÄN</t>
        </is>
      </c>
      <c r="G283" t="inlineStr">
        <is>
          <t>HEBY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44697</v>
      </c>
      <c r="E284" s="1" t="n">
        <v>46263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59486-2021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44491</v>
      </c>
      <c r="E285" s="1" t="n">
        <v>46263</v>
      </c>
      <c r="F285" t="inlineStr">
        <is>
          <t>UPPSALA LÄN</t>
        </is>
      </c>
      <c r="G285" t="inlineStr">
        <is>
          <t>HEBY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46263</v>
      </c>
      <c r="F286" t="inlineStr">
        <is>
          <t>UPPSALA LÄN</t>
        </is>
      </c>
      <c r="G286" t="inlineStr">
        <is>
          <t>HEBY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46263</v>
      </c>
      <c r="F287" t="inlineStr">
        <is>
          <t>UPPSALA LÄN</t>
        </is>
      </c>
      <c r="G287" t="inlineStr">
        <is>
          <t>HEBY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46263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44960</v>
      </c>
      <c r="E289" s="1" t="n">
        <v>46263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46263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70158-2021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46263</v>
      </c>
      <c r="F291" t="inlineStr">
        <is>
          <t>UPPSALA LÄN</t>
        </is>
      </c>
      <c r="G291" t="inlineStr">
        <is>
          <t>HEBY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46263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45294</v>
      </c>
      <c r="E293" s="1" t="n">
        <v>46263</v>
      </c>
      <c r="F293" t="inlineStr">
        <is>
          <t>UPPSALA LÄN</t>
        </is>
      </c>
      <c r="G293" t="inlineStr">
        <is>
          <t>HEBY</t>
        </is>
      </c>
      <c r="H293" t="inlineStr">
        <is>
          <t>Kommuner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45777</v>
      </c>
      <c r="E294" s="1" t="n">
        <v>46263</v>
      </c>
      <c r="F294" t="inlineStr">
        <is>
          <t>UPPSALA LÄN</t>
        </is>
      </c>
      <c r="G294" t="inlineStr">
        <is>
          <t>HEBY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46263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46263</v>
      </c>
      <c r="F296" t="inlineStr">
        <is>
          <t>UPPSALA LÄN</t>
        </is>
      </c>
      <c r="G296" t="inlineStr">
        <is>
          <t>HEBY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44802</v>
      </c>
      <c r="E297" s="1" t="n">
        <v>46263</v>
      </c>
      <c r="F297" t="inlineStr">
        <is>
          <t>UPPSALA LÄN</t>
        </is>
      </c>
      <c r="G297" t="inlineStr">
        <is>
          <t>HEBY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46263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46263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45030</v>
      </c>
      <c r="E300" s="1" t="n">
        <v>46263</v>
      </c>
      <c r="F300" t="inlineStr">
        <is>
          <t>UPPSALA LÄN</t>
        </is>
      </c>
      <c r="G300" t="inlineStr">
        <is>
          <t>HEBY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44810</v>
      </c>
      <c r="E301" s="1" t="n">
        <v>46263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46263</v>
      </c>
      <c r="F302" t="inlineStr">
        <is>
          <t>UPPSALA LÄN</t>
        </is>
      </c>
      <c r="G302" t="inlineStr">
        <is>
          <t>HEBY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46263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46263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45132</v>
      </c>
      <c r="E305" s="1" t="n">
        <v>46263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46263</v>
      </c>
      <c r="F306" t="inlineStr">
        <is>
          <t>UPPSALA LÄN</t>
        </is>
      </c>
      <c r="G306" t="inlineStr">
        <is>
          <t>HEBY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44694</v>
      </c>
      <c r="E307" s="1" t="n">
        <v>46263</v>
      </c>
      <c r="F307" t="inlineStr">
        <is>
          <t>UPPSALA LÄN</t>
        </is>
      </c>
      <c r="G307" t="inlineStr">
        <is>
          <t>HEBY</t>
        </is>
      </c>
      <c r="I307" t="n">
        <v>22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46263</v>
      </c>
      <c r="F308" t="inlineStr">
        <is>
          <t>UPPSALA LÄN</t>
        </is>
      </c>
      <c r="G308" t="inlineStr">
        <is>
          <t>HEBY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46263</v>
      </c>
      <c r="F309" t="inlineStr">
        <is>
          <t>UPPSALA LÄN</t>
        </is>
      </c>
      <c r="G309" t="inlineStr">
        <is>
          <t>HEBY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46263</v>
      </c>
      <c r="F310" t="inlineStr">
        <is>
          <t>UPPSALA LÄN</t>
        </is>
      </c>
      <c r="G310" t="inlineStr">
        <is>
          <t>HEBY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46263</v>
      </c>
      <c r="F311" t="inlineStr">
        <is>
          <t>UPPSALA LÄN</t>
        </is>
      </c>
      <c r="G311" t="inlineStr">
        <is>
          <t>HEBY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46023</v>
      </c>
      <c r="E312" s="1" t="n">
        <v>46263</v>
      </c>
      <c r="F312" t="inlineStr">
        <is>
          <t>UPPSALA LÄN</t>
        </is>
      </c>
      <c r="G312" t="inlineStr">
        <is>
          <t>HEBY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46263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45218</v>
      </c>
      <c r="E314" s="1" t="n">
        <v>46263</v>
      </c>
      <c r="F314" t="inlineStr">
        <is>
          <t>UPPSALA LÄN</t>
        </is>
      </c>
      <c r="G314" t="inlineStr">
        <is>
          <t>HEBY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51091-2023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45218</v>
      </c>
      <c r="E315" s="1" t="n">
        <v>46263</v>
      </c>
      <c r="F315" t="inlineStr">
        <is>
          <t>UPPSALA LÄN</t>
        </is>
      </c>
      <c r="G315" t="inlineStr">
        <is>
          <t>HEBY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45216</v>
      </c>
      <c r="E316" s="1" t="n">
        <v>46263</v>
      </c>
      <c r="F316" t="inlineStr">
        <is>
          <t>UPPSALA LÄN</t>
        </is>
      </c>
      <c r="G316" t="inlineStr">
        <is>
          <t>HEBY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44684</v>
      </c>
      <c r="E317" s="1" t="n">
        <v>46263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46263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70976-2021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44538</v>
      </c>
      <c r="E319" s="1" t="n">
        <v>46263</v>
      </c>
      <c r="F319" t="inlineStr">
        <is>
          <t>UPPSALA LÄN</t>
        </is>
      </c>
      <c r="G319" t="inlineStr">
        <is>
          <t>HEBY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46263</v>
      </c>
      <c r="F320" t="inlineStr">
        <is>
          <t>UPPSALA LÄN</t>
        </is>
      </c>
      <c r="G320" t="inlineStr">
        <is>
          <t>HEBY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46263</v>
      </c>
      <c r="F321" t="inlineStr">
        <is>
          <t>UPPSALA LÄN</t>
        </is>
      </c>
      <c r="G321" t="inlineStr">
        <is>
          <t>HEBY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46263</v>
      </c>
      <c r="F322" t="inlineStr">
        <is>
          <t>UPPSALA LÄN</t>
        </is>
      </c>
      <c r="G322" t="inlineStr">
        <is>
          <t>HEBY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46263</v>
      </c>
      <c r="F323" t="inlineStr">
        <is>
          <t>UPPSALA LÄN</t>
        </is>
      </c>
      <c r="G323" t="inlineStr">
        <is>
          <t>HEBY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46263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50859-2022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44862</v>
      </c>
      <c r="E325" s="1" t="n">
        <v>46263</v>
      </c>
      <c r="F325" t="inlineStr">
        <is>
          <t>UPPSALA LÄN</t>
        </is>
      </c>
      <c r="G325" t="inlineStr">
        <is>
          <t>HEBY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46263</v>
      </c>
      <c r="F326" t="inlineStr">
        <is>
          <t>UPPSALA LÄN</t>
        </is>
      </c>
      <c r="G326" t="inlineStr">
        <is>
          <t>HEBY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46263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46263</v>
      </c>
      <c r="F328" t="inlineStr">
        <is>
          <t>UPPSALA LÄN</t>
        </is>
      </c>
      <c r="G328" t="inlineStr">
        <is>
          <t>HEBY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46263</v>
      </c>
      <c r="F329" t="inlineStr">
        <is>
          <t>UPPSALA LÄN</t>
        </is>
      </c>
      <c r="G329" t="inlineStr">
        <is>
          <t>HEBY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46263</v>
      </c>
      <c r="F330" t="inlineStr">
        <is>
          <t>UPPSALA LÄN</t>
        </is>
      </c>
      <c r="G330" t="inlineStr">
        <is>
          <t>HEBY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46263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46263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46263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46263</v>
      </c>
      <c r="F334" t="inlineStr">
        <is>
          <t>UPPSALA LÄN</t>
        </is>
      </c>
      <c r="G334" t="inlineStr">
        <is>
          <t>HEBY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46084</v>
      </c>
      <c r="E335" s="1" t="n">
        <v>46263</v>
      </c>
      <c r="F335" t="inlineStr">
        <is>
          <t>UPPSALA LÄN</t>
        </is>
      </c>
      <c r="G335" t="inlineStr">
        <is>
          <t>HEBY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46263</v>
      </c>
      <c r="F336" t="inlineStr">
        <is>
          <t>UPPSALA LÄN</t>
        </is>
      </c>
      <c r="G336" t="inlineStr">
        <is>
          <t>HEBY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45090</v>
      </c>
      <c r="E337" s="1" t="n">
        <v>46263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46263</v>
      </c>
      <c r="F338" t="inlineStr">
        <is>
          <t>UPPSALA LÄN</t>
        </is>
      </c>
      <c r="G338" t="inlineStr">
        <is>
          <t>HEBY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46263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46263</v>
      </c>
      <c r="F340" t="inlineStr">
        <is>
          <t>UPPSALA LÄN</t>
        </is>
      </c>
      <c r="G340" t="inlineStr">
        <is>
          <t>HEBY</t>
        </is>
      </c>
      <c r="H340" t="inlineStr">
        <is>
          <t>Kommuner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66055-2021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44517</v>
      </c>
      <c r="E341" s="1" t="n">
        <v>46263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46263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45761</v>
      </c>
      <c r="E343" s="1" t="n">
        <v>46263</v>
      </c>
      <c r="F343" t="inlineStr">
        <is>
          <t>UPPSALA LÄN</t>
        </is>
      </c>
      <c r="G343" t="inlineStr">
        <is>
          <t>HEBY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72180-2021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46263</v>
      </c>
      <c r="F344" t="inlineStr">
        <is>
          <t>UPPSALA LÄN</t>
        </is>
      </c>
      <c r="G344" t="inlineStr">
        <is>
          <t>HEBY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46263</v>
      </c>
      <c r="F345" t="inlineStr">
        <is>
          <t>UPPSALA LÄN</t>
        </is>
      </c>
      <c r="G345" t="inlineStr">
        <is>
          <t>HEBY</t>
        </is>
      </c>
      <c r="H345" t="inlineStr">
        <is>
          <t>Kommuner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46263</v>
      </c>
      <c r="F346" t="inlineStr">
        <is>
          <t>UPPSALA LÄN</t>
        </is>
      </c>
      <c r="G346" t="inlineStr">
        <is>
          <t>HEBY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46263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46263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31566-2023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45117</v>
      </c>
      <c r="E349" s="1" t="n">
        <v>46263</v>
      </c>
      <c r="F349" t="inlineStr">
        <is>
          <t>UPPSALA LÄN</t>
        </is>
      </c>
      <c r="G349" t="inlineStr">
        <is>
          <t>HEBY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46263</v>
      </c>
      <c r="F350" t="inlineStr">
        <is>
          <t>UPPSALA LÄN</t>
        </is>
      </c>
      <c r="G350" t="inlineStr">
        <is>
          <t>HEBY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45117</v>
      </c>
      <c r="E351" s="1" t="n">
        <v>46263</v>
      </c>
      <c r="F351" t="inlineStr">
        <is>
          <t>UPPSALA LÄN</t>
        </is>
      </c>
      <c r="G351" t="inlineStr">
        <is>
          <t>HEBY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46263</v>
      </c>
      <c r="F352" t="inlineStr">
        <is>
          <t>UPPSALA LÄN</t>
        </is>
      </c>
      <c r="G352" t="inlineStr">
        <is>
          <t>HEBY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73622-2021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44552</v>
      </c>
      <c r="E353" s="1" t="n">
        <v>46263</v>
      </c>
      <c r="F353" t="inlineStr">
        <is>
          <t>UPPSALA LÄN</t>
        </is>
      </c>
      <c r="G353" t="inlineStr">
        <is>
          <t>HEBY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46263</v>
      </c>
      <c r="F354" t="inlineStr">
        <is>
          <t>UPPSALA LÄN</t>
        </is>
      </c>
      <c r="G354" t="inlineStr">
        <is>
          <t>HEBY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45029</v>
      </c>
      <c r="E355" s="1" t="n">
        <v>46263</v>
      </c>
      <c r="F355" t="inlineStr">
        <is>
          <t>UPPSALA LÄN</t>
        </is>
      </c>
      <c r="G355" t="inlineStr">
        <is>
          <t>HEBY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46263</v>
      </c>
      <c r="F356" t="inlineStr">
        <is>
          <t>UPPSALA LÄN</t>
        </is>
      </c>
      <c r="G356" t="inlineStr">
        <is>
          <t>HEBY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46263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44568</v>
      </c>
      <c r="E358" s="1" t="n">
        <v>46263</v>
      </c>
      <c r="F358" t="inlineStr">
        <is>
          <t>UPPSALA LÄN</t>
        </is>
      </c>
      <c r="G358" t="inlineStr">
        <is>
          <t>HEBY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46263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44974</v>
      </c>
      <c r="E360" s="1" t="n">
        <v>46263</v>
      </c>
      <c r="F360" t="inlineStr">
        <is>
          <t>UPPSALA LÄN</t>
        </is>
      </c>
      <c r="G360" t="inlineStr">
        <is>
          <t>HEBY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35644-2024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45532</v>
      </c>
      <c r="E361" s="1" t="n">
        <v>46263</v>
      </c>
      <c r="F361" t="inlineStr">
        <is>
          <t>UPPSALA LÄN</t>
        </is>
      </c>
      <c r="G361" t="inlineStr">
        <is>
          <t>HEBY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46263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46263</v>
      </c>
      <c r="F363" t="inlineStr">
        <is>
          <t>UPPSALA LÄN</t>
        </is>
      </c>
      <c r="G363" t="inlineStr">
        <is>
          <t>HEBY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46263</v>
      </c>
      <c r="F364" t="inlineStr">
        <is>
          <t>UPPSALA LÄN</t>
        </is>
      </c>
      <c r="G364" t="inlineStr">
        <is>
          <t>HEBY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46263</v>
      </c>
      <c r="F365" t="inlineStr">
        <is>
          <t>UPPSALA LÄN</t>
        </is>
      </c>
      <c r="G365" t="inlineStr">
        <is>
          <t>HEBY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44993</v>
      </c>
      <c r="E366" s="1" t="n">
        <v>46263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46263</v>
      </c>
      <c r="F367" t="inlineStr">
        <is>
          <t>UPPSALA LÄN</t>
        </is>
      </c>
      <c r="G367" t="inlineStr">
        <is>
          <t>HEBY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46263</v>
      </c>
      <c r="F368" t="inlineStr">
        <is>
          <t>UPPSALA LÄN</t>
        </is>
      </c>
      <c r="G368" t="inlineStr">
        <is>
          <t>HEBY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46263</v>
      </c>
      <c r="F369" t="inlineStr">
        <is>
          <t>UPPSALA LÄN</t>
        </is>
      </c>
      <c r="G369" t="inlineStr">
        <is>
          <t>HEBY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64364-2021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44511</v>
      </c>
      <c r="E370" s="1" t="n">
        <v>46263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46263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46263</v>
      </c>
      <c r="F372" t="inlineStr">
        <is>
          <t>UPPSALA LÄN</t>
        </is>
      </c>
      <c r="G372" t="inlineStr">
        <is>
          <t>HEBY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46263</v>
      </c>
      <c r="F373" t="inlineStr">
        <is>
          <t>UPPSALA LÄN</t>
        </is>
      </c>
      <c r="G373" t="inlineStr">
        <is>
          <t>HEBY</t>
        </is>
      </c>
      <c r="I373" t="n">
        <v>11.5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46263</v>
      </c>
      <c r="F374" t="inlineStr">
        <is>
          <t>UPPSALA LÄN</t>
        </is>
      </c>
      <c r="G374" t="inlineStr">
        <is>
          <t>HEBY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45117</v>
      </c>
      <c r="E375" s="1" t="n">
        <v>46263</v>
      </c>
      <c r="F375" t="inlineStr">
        <is>
          <t>UPPSALA LÄN</t>
        </is>
      </c>
      <c r="G375" t="inlineStr">
        <is>
          <t>HEBY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45589</v>
      </c>
      <c r="E376" s="1" t="n">
        <v>46263</v>
      </c>
      <c r="F376" t="inlineStr">
        <is>
          <t>UPPSALA LÄN</t>
        </is>
      </c>
      <c r="G376" t="inlineStr">
        <is>
          <t>HEBY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44620</v>
      </c>
      <c r="E377" s="1" t="n">
        <v>46263</v>
      </c>
      <c r="F377" t="inlineStr">
        <is>
          <t>UPPSALA LÄN</t>
        </is>
      </c>
      <c r="G377" t="inlineStr">
        <is>
          <t>HEBY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44951</v>
      </c>
      <c r="E378" s="1" t="n">
        <v>46263</v>
      </c>
      <c r="F378" t="inlineStr">
        <is>
          <t>UPPSALA LÄN</t>
        </is>
      </c>
      <c r="G378" t="inlineStr">
        <is>
          <t>HEBY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8660-2022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44613</v>
      </c>
      <c r="E379" s="1" t="n">
        <v>46263</v>
      </c>
      <c r="F379" t="inlineStr">
        <is>
          <t>UPPSALA LÄN</t>
        </is>
      </c>
      <c r="G379" t="inlineStr">
        <is>
          <t>HEBY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45331</v>
      </c>
      <c r="E380" s="1" t="n">
        <v>46263</v>
      </c>
      <c r="F380" t="inlineStr">
        <is>
          <t>UPPSALA LÄN</t>
        </is>
      </c>
      <c r="G380" t="inlineStr">
        <is>
          <t>HEBY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74215-2021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44558</v>
      </c>
      <c r="E381" s="1" t="n">
        <v>46263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45173</v>
      </c>
      <c r="E382" s="1" t="n">
        <v>46263</v>
      </c>
      <c r="F382" t="inlineStr">
        <is>
          <t>UPPSALA LÄN</t>
        </is>
      </c>
      <c r="G382" t="inlineStr">
        <is>
          <t>HEBY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46263</v>
      </c>
      <c r="F383" t="inlineStr">
        <is>
          <t>UPPSALA LÄN</t>
        </is>
      </c>
      <c r="G383" t="inlineStr">
        <is>
          <t>HEBY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45008</v>
      </c>
      <c r="E384" s="1" t="n">
        <v>46263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46263</v>
      </c>
      <c r="F385" t="inlineStr">
        <is>
          <t>UPPSALA LÄN</t>
        </is>
      </c>
      <c r="G385" t="inlineStr">
        <is>
          <t>HEBY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46263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46263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45599</v>
      </c>
      <c r="E388" s="1" t="n">
        <v>46263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46263</v>
      </c>
      <c r="F389" t="inlineStr">
        <is>
          <t>UPPSALA LÄN</t>
        </is>
      </c>
      <c r="G389" t="inlineStr">
        <is>
          <t>HEBY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46263</v>
      </c>
      <c r="F390" t="inlineStr">
        <is>
          <t>UPPSALA LÄN</t>
        </is>
      </c>
      <c r="G390" t="inlineStr">
        <is>
          <t>HEBY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46263</v>
      </c>
      <c r="F391" t="inlineStr">
        <is>
          <t>UPPSALA LÄN</t>
        </is>
      </c>
      <c r="G391" t="inlineStr">
        <is>
          <t>HEBY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46263</v>
      </c>
      <c r="F392" t="inlineStr">
        <is>
          <t>UPPSALA LÄN</t>
        </is>
      </c>
      <c r="G392" t="inlineStr">
        <is>
          <t>HEBY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46263</v>
      </c>
      <c r="F393" t="inlineStr">
        <is>
          <t>UPPSALA LÄN</t>
        </is>
      </c>
      <c r="G393" t="inlineStr">
        <is>
          <t>HEBY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45727</v>
      </c>
      <c r="E394" s="1" t="n">
        <v>46263</v>
      </c>
      <c r="F394" t="inlineStr">
        <is>
          <t>UPPSALA LÄN</t>
        </is>
      </c>
      <c r="G394" t="inlineStr">
        <is>
          <t>HEBY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46263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46263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45674</v>
      </c>
      <c r="E397" s="1" t="n">
        <v>46263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46263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35875-2022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46263</v>
      </c>
      <c r="F399" t="inlineStr">
        <is>
          <t>UPPSALA LÄN</t>
        </is>
      </c>
      <c r="G399" t="inlineStr">
        <is>
          <t>HEBY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46263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46263</v>
      </c>
      <c r="F401" t="inlineStr">
        <is>
          <t>UPPSALA LÄN</t>
        </is>
      </c>
      <c r="G401" t="inlineStr">
        <is>
          <t>HEBY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10414-2022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44623</v>
      </c>
      <c r="E402" s="1" t="n">
        <v>46263</v>
      </c>
      <c r="F402" t="inlineStr">
        <is>
          <t>UPPSALA LÄN</t>
        </is>
      </c>
      <c r="G402" t="inlineStr">
        <is>
          <t>HEBY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46110</v>
      </c>
      <c r="E403" s="1" t="n">
        <v>46263</v>
      </c>
      <c r="F403" t="inlineStr">
        <is>
          <t>UPPSALA LÄN</t>
        </is>
      </c>
      <c r="G403" t="inlineStr">
        <is>
          <t>HEBY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19718-2023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45050</v>
      </c>
      <c r="E404" s="1" t="n">
        <v>46263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8181-2022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44609</v>
      </c>
      <c r="E405" s="1" t="n">
        <v>46263</v>
      </c>
      <c r="F405" t="inlineStr">
        <is>
          <t>UPPSALA LÄN</t>
        </is>
      </c>
      <c r="G405" t="inlineStr">
        <is>
          <t>HEBY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16506-2026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46112</v>
      </c>
      <c r="E406" s="1" t="n">
        <v>46263</v>
      </c>
      <c r="F406" t="inlineStr">
        <is>
          <t>UPPSALA LÄN</t>
        </is>
      </c>
      <c r="G406" t="inlineStr">
        <is>
          <t>HEBY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16511-2026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46112</v>
      </c>
      <c r="E407" s="1" t="n">
        <v>46263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46263</v>
      </c>
      <c r="F408" t="inlineStr">
        <is>
          <t>UPPSALA LÄN</t>
        </is>
      </c>
      <c r="G408" t="inlineStr">
        <is>
          <t>HEBY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46263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46263</v>
      </c>
      <c r="F410" t="inlineStr">
        <is>
          <t>UPPSALA LÄN</t>
        </is>
      </c>
      <c r="G410" t="inlineStr">
        <is>
          <t>HEBY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46263</v>
      </c>
      <c r="F411" t="inlineStr">
        <is>
          <t>UPPSALA LÄN</t>
        </is>
      </c>
      <c r="G411" t="inlineStr">
        <is>
          <t>HEBY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46263</v>
      </c>
      <c r="F412" t="inlineStr">
        <is>
          <t>UPPSALA LÄN</t>
        </is>
      </c>
      <c r="G412" t="inlineStr">
        <is>
          <t>HEBY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46263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46263</v>
      </c>
      <c r="F414" t="inlineStr">
        <is>
          <t>UPPSALA LÄN</t>
        </is>
      </c>
      <c r="G414" t="inlineStr">
        <is>
          <t>HEBY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45195</v>
      </c>
      <c r="E415" s="1" t="n">
        <v>46263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33729-2023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45133</v>
      </c>
      <c r="E416" s="1" t="n">
        <v>46263</v>
      </c>
      <c r="F416" t="inlineStr">
        <is>
          <t>UPPSALA LÄN</t>
        </is>
      </c>
      <c r="G416" t="inlineStr">
        <is>
          <t>HEBY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44697</v>
      </c>
      <c r="E417" s="1" t="n">
        <v>46263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45009-2022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44841</v>
      </c>
      <c r="E418" s="1" t="n">
        <v>46263</v>
      </c>
      <c r="F418" t="inlineStr">
        <is>
          <t>UPPSALA LÄN</t>
        </is>
      </c>
      <c r="G418" t="inlineStr">
        <is>
          <t>HEBY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18545-2026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46127</v>
      </c>
      <c r="E419" s="1" t="n">
        <v>46263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34593-2023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45138</v>
      </c>
      <c r="E420" s="1" t="n">
        <v>46263</v>
      </c>
      <c r="F420" t="inlineStr">
        <is>
          <t>UPPSALA LÄN</t>
        </is>
      </c>
      <c r="G420" t="inlineStr">
        <is>
          <t>HEBY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46126</v>
      </c>
      <c r="E421" s="1" t="n">
        <v>46263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46263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19654-2022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44694</v>
      </c>
      <c r="E423" s="1" t="n">
        <v>46263</v>
      </c>
      <c r="F423" t="inlineStr">
        <is>
          <t>UPPSALA LÄN</t>
        </is>
      </c>
      <c r="G423" t="inlineStr">
        <is>
          <t>HEBY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46263</v>
      </c>
      <c r="F424" t="inlineStr">
        <is>
          <t>UPPSALA LÄN</t>
        </is>
      </c>
      <c r="G424" t="inlineStr">
        <is>
          <t>HEBY</t>
        </is>
      </c>
      <c r="H424" t="inlineStr">
        <is>
          <t>Kyrkan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44788</v>
      </c>
      <c r="E425" s="1" t="n">
        <v>46263</v>
      </c>
      <c r="F425" t="inlineStr">
        <is>
          <t>UPPSALA LÄN</t>
        </is>
      </c>
      <c r="G425" t="inlineStr">
        <is>
          <t>HEBY</t>
        </is>
      </c>
      <c r="I425" t="n">
        <v>18.8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46263</v>
      </c>
      <c r="F426" t="inlineStr">
        <is>
          <t>UPPSALA LÄN</t>
        </is>
      </c>
      <c r="G426" t="inlineStr">
        <is>
          <t>HEBY</t>
        </is>
      </c>
      <c r="H426" t="inlineStr">
        <is>
          <t>Kyrkan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46263</v>
      </c>
      <c r="F427" t="inlineStr">
        <is>
          <t>UPPSALA LÄN</t>
        </is>
      </c>
      <c r="G427" t="inlineStr">
        <is>
          <t>HEBY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46263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46263</v>
      </c>
      <c r="F429" t="inlineStr">
        <is>
          <t>UPPSALA LÄN</t>
        </is>
      </c>
      <c r="G429" t="inlineStr">
        <is>
          <t>HEBY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44752</v>
      </c>
      <c r="E430" s="1" t="n">
        <v>46263</v>
      </c>
      <c r="F430" t="inlineStr">
        <is>
          <t>UPPSALA LÄN</t>
        </is>
      </c>
      <c r="G430" t="inlineStr">
        <is>
          <t>HEBY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46263</v>
      </c>
      <c r="F431" t="inlineStr">
        <is>
          <t>UPPSALA LÄN</t>
        </is>
      </c>
      <c r="G431" t="inlineStr">
        <is>
          <t>HEBY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44791</v>
      </c>
      <c r="E432" s="1" t="n">
        <v>46263</v>
      </c>
      <c r="F432" t="inlineStr">
        <is>
          <t>UPPSALA LÄN</t>
        </is>
      </c>
      <c r="G432" t="inlineStr">
        <is>
          <t>HEBY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46263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46263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öst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44734</v>
      </c>
      <c r="E435" s="1" t="n">
        <v>46263</v>
      </c>
      <c r="F435" t="inlineStr">
        <is>
          <t>UPPSALA LÄN</t>
        </is>
      </c>
      <c r="G435" t="inlineStr">
        <is>
          <t>HEBY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45317</v>
      </c>
      <c r="E436" s="1" t="n">
        <v>46263</v>
      </c>
      <c r="F436" t="inlineStr">
        <is>
          <t>UPPSALA LÄN</t>
        </is>
      </c>
      <c r="G436" t="inlineStr">
        <is>
          <t>HEBY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44734</v>
      </c>
      <c r="E437" s="1" t="n">
        <v>46263</v>
      </c>
      <c r="F437" t="inlineStr">
        <is>
          <t>UPPSALA LÄN</t>
        </is>
      </c>
      <c r="G437" t="inlineStr">
        <is>
          <t>HEBY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44753</v>
      </c>
      <c r="E438" s="1" t="n">
        <v>46263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46263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46263</v>
      </c>
      <c r="F440" t="inlineStr">
        <is>
          <t>UPPSALA LÄN</t>
        </is>
      </c>
      <c r="G440" t="inlineStr">
        <is>
          <t>HEBY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46263</v>
      </c>
      <c r="F441" t="inlineStr">
        <is>
          <t>UPPSALA LÄN</t>
        </is>
      </c>
      <c r="G441" t="inlineStr">
        <is>
          <t>HEBY</t>
        </is>
      </c>
      <c r="H441" t="inlineStr">
        <is>
          <t>Allmännings- och besparingsskogar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46263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46140</v>
      </c>
      <c r="E443" s="1" t="n">
        <v>46263</v>
      </c>
      <c r="F443" t="inlineStr">
        <is>
          <t>UPPSALA LÄN</t>
        </is>
      </c>
      <c r="G443" t="inlineStr">
        <is>
          <t>HEBY</t>
        </is>
      </c>
      <c r="H443" t="inlineStr">
        <is>
          <t>Övriga Aktiebolag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46263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46263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46263</v>
      </c>
      <c r="F446" t="inlineStr">
        <is>
          <t>UPPSALA LÄN</t>
        </is>
      </c>
      <c r="G446" t="inlineStr">
        <is>
          <t>HEBY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16847-2024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45411</v>
      </c>
      <c r="E447" s="1" t="n">
        <v>46263</v>
      </c>
      <c r="F447" t="inlineStr">
        <is>
          <t>UPPSALA LÄN</t>
        </is>
      </c>
      <c r="G447" t="inlineStr">
        <is>
          <t>HEBY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46263</v>
      </c>
      <c r="F448" t="inlineStr">
        <is>
          <t>UPPSALA LÄN</t>
        </is>
      </c>
      <c r="G448" t="inlineStr">
        <is>
          <t>HEBY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46263</v>
      </c>
      <c r="F449" t="inlineStr">
        <is>
          <t>UPPSALA LÄN</t>
        </is>
      </c>
      <c r="G449" t="inlineStr">
        <is>
          <t>HEBY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46263</v>
      </c>
      <c r="F450" t="inlineStr">
        <is>
          <t>UPPSALA LÄN</t>
        </is>
      </c>
      <c r="G450" t="inlineStr">
        <is>
          <t>HEBY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44781</v>
      </c>
      <c r="E451" s="1" t="n">
        <v>46263</v>
      </c>
      <c r="F451" t="inlineStr">
        <is>
          <t>UPPSALA LÄN</t>
        </is>
      </c>
      <c r="G451" t="inlineStr">
        <is>
          <t>HEBY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46263</v>
      </c>
      <c r="F452" t="inlineStr">
        <is>
          <t>UPPSALA LÄN</t>
        </is>
      </c>
      <c r="G452" t="inlineStr">
        <is>
          <t>HEBY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46263</v>
      </c>
      <c r="F453" t="inlineStr">
        <is>
          <t>UPPSALA LÄN</t>
        </is>
      </c>
      <c r="G453" t="inlineStr">
        <is>
          <t>HEBY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45128</v>
      </c>
      <c r="E454" s="1" t="n">
        <v>46263</v>
      </c>
      <c r="F454" t="inlineStr">
        <is>
          <t>UPPSALA LÄN</t>
        </is>
      </c>
      <c r="G454" t="inlineStr">
        <is>
          <t>HEBY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46430-2023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46263</v>
      </c>
      <c r="F455" t="inlineStr">
        <is>
          <t>UPPSALA LÄN</t>
        </is>
      </c>
      <c r="G455" t="inlineStr">
        <is>
          <t>HEBY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47861-2025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45932</v>
      </c>
      <c r="E456" s="1" t="n">
        <v>46263</v>
      </c>
      <c r="F456" t="inlineStr">
        <is>
          <t>UPPSALA LÄN</t>
        </is>
      </c>
      <c r="G456" t="inlineStr">
        <is>
          <t>HEBY</t>
        </is>
      </c>
      <c r="H456" t="inlineStr">
        <is>
          <t>Allmännings- och besparingsskogar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44732</v>
      </c>
      <c r="E457" s="1" t="n">
        <v>46263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45582</v>
      </c>
      <c r="E458" s="1" t="n">
        <v>46263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44914</v>
      </c>
      <c r="E459" s="1" t="n">
        <v>46263</v>
      </c>
      <c r="F459" t="inlineStr">
        <is>
          <t>UPPSALA LÄN</t>
        </is>
      </c>
      <c r="G459" t="inlineStr">
        <is>
          <t>HEBY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45406</v>
      </c>
      <c r="E460" s="1" t="n">
        <v>46263</v>
      </c>
      <c r="F460" t="inlineStr">
        <is>
          <t>UPPSALA LÄN</t>
        </is>
      </c>
      <c r="G460" t="inlineStr">
        <is>
          <t>HEBY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46263</v>
      </c>
      <c r="F461" t="inlineStr">
        <is>
          <t>UPPSALA LÄN</t>
        </is>
      </c>
      <c r="G461" t="inlineStr">
        <is>
          <t>HEBY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19721-2022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46263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44978</v>
      </c>
      <c r="E463" s="1" t="n">
        <v>46263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45884</v>
      </c>
      <c r="E464" s="1" t="n">
        <v>46263</v>
      </c>
      <c r="F464" t="inlineStr">
        <is>
          <t>UPPSALA LÄN</t>
        </is>
      </c>
      <c r="G464" t="inlineStr">
        <is>
          <t>HEBY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60295-2021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46263</v>
      </c>
      <c r="F465" t="inlineStr">
        <is>
          <t>UPPSALA LÄN</t>
        </is>
      </c>
      <c r="G465" t="inlineStr">
        <is>
          <t>HEBY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45572</v>
      </c>
      <c r="E466" s="1" t="n">
        <v>46263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44659</v>
      </c>
      <c r="E467" s="1" t="n">
        <v>46263</v>
      </c>
      <c r="F467" t="inlineStr">
        <is>
          <t>UPPSALA LÄN</t>
        </is>
      </c>
      <c r="G467" t="inlineStr">
        <is>
          <t>HEBY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46263</v>
      </c>
      <c r="F468" t="inlineStr">
        <is>
          <t>UPPSALA LÄN</t>
        </is>
      </c>
      <c r="G468" t="inlineStr">
        <is>
          <t>HEBY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46263</v>
      </c>
      <c r="F469" t="inlineStr">
        <is>
          <t>UPPSALA LÄN</t>
        </is>
      </c>
      <c r="G469" t="inlineStr">
        <is>
          <t>HEBY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46263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46263</v>
      </c>
      <c r="F471" t="inlineStr">
        <is>
          <t>UPPSALA LÄN</t>
        </is>
      </c>
      <c r="G471" t="inlineStr">
        <is>
          <t>HEBY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46263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46263</v>
      </c>
      <c r="F473" t="inlineStr">
        <is>
          <t>UPPSALA LÄN</t>
        </is>
      </c>
      <c r="G473" t="inlineStr">
        <is>
          <t>HEBY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46263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44684</v>
      </c>
      <c r="E475" s="1" t="n">
        <v>46263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41.8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66873-2021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44522</v>
      </c>
      <c r="E476" s="1" t="n">
        <v>46263</v>
      </c>
      <c r="F476" t="inlineStr">
        <is>
          <t>UPPSALA LÄN</t>
        </is>
      </c>
      <c r="G476" t="inlineStr">
        <is>
          <t>HEBY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29387-2022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44753</v>
      </c>
      <c r="E477" s="1" t="n">
        <v>46263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46263</v>
      </c>
      <c r="F478" t="inlineStr">
        <is>
          <t>UPPSALA LÄN</t>
        </is>
      </c>
      <c r="G478" t="inlineStr">
        <is>
          <t>HEBY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25995-2022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44734</v>
      </c>
      <c r="E479" s="1" t="n">
        <v>46263</v>
      </c>
      <c r="F479" t="inlineStr">
        <is>
          <t>UPPSALA LÄN</t>
        </is>
      </c>
      <c r="G479" t="inlineStr">
        <is>
          <t>HEBY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45083</v>
      </c>
      <c r="E480" s="1" t="n">
        <v>46263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46263</v>
      </c>
      <c r="F481" t="inlineStr">
        <is>
          <t>UPPSALA LÄN</t>
        </is>
      </c>
      <c r="G481" t="inlineStr">
        <is>
          <t>HEBY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46263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46263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56352-2021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44480</v>
      </c>
      <c r="E484" s="1" t="n">
        <v>46263</v>
      </c>
      <c r="F484" t="inlineStr">
        <is>
          <t>UPPSALA LÄN</t>
        </is>
      </c>
      <c r="G484" t="inlineStr">
        <is>
          <t>HEBY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46263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51521-2023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46263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44984</v>
      </c>
      <c r="E487" s="1" t="n">
        <v>46263</v>
      </c>
      <c r="F487" t="inlineStr">
        <is>
          <t>UPPSALA LÄN</t>
        </is>
      </c>
      <c r="G487" t="inlineStr">
        <is>
          <t>HEBY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45964-2021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44441</v>
      </c>
      <c r="E488" s="1" t="n">
        <v>46263</v>
      </c>
      <c r="F488" t="inlineStr">
        <is>
          <t>UPPSALA LÄN</t>
        </is>
      </c>
      <c r="G488" t="inlineStr">
        <is>
          <t>HEBY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44644</v>
      </c>
      <c r="E489" s="1" t="n">
        <v>46263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45035</v>
      </c>
      <c r="E490" s="1" t="n">
        <v>46263</v>
      </c>
      <c r="F490" t="inlineStr">
        <is>
          <t>UPPSALA LÄN</t>
        </is>
      </c>
      <c r="G490" t="inlineStr">
        <is>
          <t>HEBY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46263</v>
      </c>
      <c r="F491" t="inlineStr">
        <is>
          <t>UPPSALA LÄN</t>
        </is>
      </c>
      <c r="G491" t="inlineStr">
        <is>
          <t>HEBY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46263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46263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46263</v>
      </c>
      <c r="F494" t="inlineStr">
        <is>
          <t>UPPSALA LÄN</t>
        </is>
      </c>
      <c r="G494" t="inlineStr">
        <is>
          <t>HEBY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46263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46263</v>
      </c>
      <c r="F496" t="inlineStr">
        <is>
          <t>UPPSALA LÄN</t>
        </is>
      </c>
      <c r="G496" t="inlineStr">
        <is>
          <t>HEBY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45135</v>
      </c>
      <c r="E497" s="1" t="n">
        <v>46263</v>
      </c>
      <c r="F497" t="inlineStr">
        <is>
          <t>UPPSALA LÄN</t>
        </is>
      </c>
      <c r="G497" t="inlineStr">
        <is>
          <t>HEBY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46263</v>
      </c>
      <c r="F498" t="inlineStr">
        <is>
          <t>UPPSALA LÄN</t>
        </is>
      </c>
      <c r="G498" t="inlineStr">
        <is>
          <t>HEBY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45891</v>
      </c>
      <c r="E499" s="1" t="n">
        <v>46263</v>
      </c>
      <c r="F499" t="inlineStr">
        <is>
          <t>UPPSALA LÄN</t>
        </is>
      </c>
      <c r="G499" t="inlineStr">
        <is>
          <t>HEBY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45946</v>
      </c>
      <c r="E500" s="1" t="n">
        <v>46263</v>
      </c>
      <c r="F500" t="inlineStr">
        <is>
          <t>UPPSALA LÄN</t>
        </is>
      </c>
      <c r="G500" t="inlineStr">
        <is>
          <t>HEBY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46263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öst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45117</v>
      </c>
      <c r="E502" s="1" t="n">
        <v>46263</v>
      </c>
      <c r="F502" t="inlineStr">
        <is>
          <t>UPPSALA LÄN</t>
        </is>
      </c>
      <c r="G502" t="inlineStr">
        <is>
          <t>HEBY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46263</v>
      </c>
      <c r="F503" t="inlineStr">
        <is>
          <t>UPPSALA LÄN</t>
        </is>
      </c>
      <c r="G503" t="inlineStr">
        <is>
          <t>HEBY</t>
        </is>
      </c>
      <c r="H503" t="inlineStr">
        <is>
          <t>Övriga Aktiebolag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46263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45805</v>
      </c>
      <c r="E505" s="1" t="n">
        <v>46263</v>
      </c>
      <c r="F505" t="inlineStr">
        <is>
          <t>UPPSALA LÄN</t>
        </is>
      </c>
      <c r="G505" t="inlineStr">
        <is>
          <t>HEBY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45599</v>
      </c>
      <c r="E506" s="1" t="n">
        <v>46263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45344</v>
      </c>
      <c r="E507" s="1" t="n">
        <v>46263</v>
      </c>
      <c r="F507" t="inlineStr">
        <is>
          <t>UPPSALA LÄN</t>
        </is>
      </c>
      <c r="G507" t="inlineStr">
        <is>
          <t>HEBY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46263</v>
      </c>
      <c r="F508" t="inlineStr">
        <is>
          <t>UPPSALA LÄN</t>
        </is>
      </c>
      <c r="G508" t="inlineStr">
        <is>
          <t>HEBY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60456-2022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44911</v>
      </c>
      <c r="E509" s="1" t="n">
        <v>46263</v>
      </c>
      <c r="F509" t="inlineStr">
        <is>
          <t>UPPSALA LÄN</t>
        </is>
      </c>
      <c r="G509" t="inlineStr">
        <is>
          <t>HEBY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46263</v>
      </c>
      <c r="F510" t="inlineStr">
        <is>
          <t>UPPSALA LÄN</t>
        </is>
      </c>
      <c r="G510" t="inlineStr">
        <is>
          <t>HEBY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46263</v>
      </c>
      <c r="F511" t="inlineStr">
        <is>
          <t>UPPSALA LÄN</t>
        </is>
      </c>
      <c r="G511" t="inlineStr">
        <is>
          <t>HEBY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46263</v>
      </c>
      <c r="F512" t="inlineStr">
        <is>
          <t>UPPSALA LÄN</t>
        </is>
      </c>
      <c r="G512" t="inlineStr">
        <is>
          <t>HEBY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58124-2022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46263</v>
      </c>
      <c r="F513" t="inlineStr">
        <is>
          <t>UPPSALA LÄN</t>
        </is>
      </c>
      <c r="G513" t="inlineStr">
        <is>
          <t>HEBY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46263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48956-2023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45209</v>
      </c>
      <c r="E515" s="1" t="n">
        <v>46263</v>
      </c>
      <c r="F515" t="inlineStr">
        <is>
          <t>UPPSALA LÄN</t>
        </is>
      </c>
      <c r="G515" t="inlineStr">
        <is>
          <t>HEBY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20719-2026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46141</v>
      </c>
      <c r="E516" s="1" t="n">
        <v>46263</v>
      </c>
      <c r="F516" t="inlineStr">
        <is>
          <t>UPPSALA LÄN</t>
        </is>
      </c>
      <c r="G516" t="inlineStr">
        <is>
          <t>HEBY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46263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46263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45321</v>
      </c>
      <c r="E519" s="1" t="n">
        <v>46263</v>
      </c>
      <c r="F519" t="inlineStr">
        <is>
          <t>UPPSALA LÄN</t>
        </is>
      </c>
      <c r="G519" t="inlineStr">
        <is>
          <t>HEBY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44875</v>
      </c>
      <c r="E520" s="1" t="n">
        <v>46263</v>
      </c>
      <c r="F520" t="inlineStr">
        <is>
          <t>UPPSALA LÄN</t>
        </is>
      </c>
      <c r="G520" t="inlineStr">
        <is>
          <t>HEBY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21729-2026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46263</v>
      </c>
      <c r="F521" t="inlineStr">
        <is>
          <t>UPPSALA LÄN</t>
        </is>
      </c>
      <c r="G521" t="inlineStr">
        <is>
          <t>HEBY</t>
        </is>
      </c>
      <c r="H521" t="inlineStr">
        <is>
          <t>Allmännings- och besparingsskogar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26099-2025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45805</v>
      </c>
      <c r="E522" s="1" t="n">
        <v>46263</v>
      </c>
      <c r="F522" t="inlineStr">
        <is>
          <t>UPPSALA LÄN</t>
        </is>
      </c>
      <c r="G522" t="inlineStr">
        <is>
          <t>HEBY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45770</v>
      </c>
      <c r="E523" s="1" t="n">
        <v>46263</v>
      </c>
      <c r="F523" t="inlineStr">
        <is>
          <t>UPPSALA LÄN</t>
        </is>
      </c>
      <c r="G523" t="inlineStr">
        <is>
          <t>HEBY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31575-2023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45117</v>
      </c>
      <c r="E524" s="1" t="n">
        <v>46263</v>
      </c>
      <c r="F524" t="inlineStr">
        <is>
          <t>UPPSALA LÄN</t>
        </is>
      </c>
      <c r="G524" t="inlineStr">
        <is>
          <t>HEBY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45740</v>
      </c>
      <c r="E525" s="1" t="n">
        <v>46263</v>
      </c>
      <c r="F525" t="inlineStr">
        <is>
          <t>UPPSALA LÄN</t>
        </is>
      </c>
      <c r="G525" t="inlineStr">
        <is>
          <t>HEBY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46263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54594-2024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45617</v>
      </c>
      <c r="E527" s="1" t="n">
        <v>46263</v>
      </c>
      <c r="F527" t="inlineStr">
        <is>
          <t>UPPSALA LÄN</t>
        </is>
      </c>
      <c r="G527" t="inlineStr">
        <is>
          <t>HEBY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15424-2025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45747</v>
      </c>
      <c r="E528" s="1" t="n">
        <v>46263</v>
      </c>
      <c r="F528" t="inlineStr">
        <is>
          <t>UPPSALA LÄN</t>
        </is>
      </c>
      <c r="G528" t="inlineStr">
        <is>
          <t>HEBY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46263</v>
      </c>
      <c r="F529" t="inlineStr">
        <is>
          <t>UPPSALA LÄN</t>
        </is>
      </c>
      <c r="G529" t="inlineStr">
        <is>
          <t>HEBY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46263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35.2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46263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46263</v>
      </c>
      <c r="F532" t="inlineStr">
        <is>
          <t>UPPSALA LÄN</t>
        </is>
      </c>
      <c r="G532" t="inlineStr">
        <is>
          <t>HEBY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46263</v>
      </c>
      <c r="F533" t="inlineStr">
        <is>
          <t>UPPSALA LÄN</t>
        </is>
      </c>
      <c r="G533" t="inlineStr">
        <is>
          <t>HEBY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46263</v>
      </c>
      <c r="F534" t="inlineStr">
        <is>
          <t>UPPSALA LÄN</t>
        </is>
      </c>
      <c r="G534" t="inlineStr">
        <is>
          <t>HEBY</t>
        </is>
      </c>
      <c r="I534" t="n">
        <v>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46263</v>
      </c>
      <c r="F535" t="inlineStr">
        <is>
          <t>UPPSALA LÄN</t>
        </is>
      </c>
      <c r="G535" t="inlineStr">
        <is>
          <t>HEBY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55019-2025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46263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46263</v>
      </c>
      <c r="F537" t="inlineStr">
        <is>
          <t>UPPSALA LÄN</t>
        </is>
      </c>
      <c r="G537" t="inlineStr">
        <is>
          <t>HEBY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46263</v>
      </c>
      <c r="F538" t="inlineStr">
        <is>
          <t>UPPSALA LÄN</t>
        </is>
      </c>
      <c r="G538" t="inlineStr">
        <is>
          <t>HEBY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46223</v>
      </c>
      <c r="E539" s="1" t="n">
        <v>46263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46223</v>
      </c>
      <c r="E540" s="1" t="n">
        <v>46263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46263</v>
      </c>
      <c r="F541" t="inlineStr">
        <is>
          <t>UPPSALA LÄN</t>
        </is>
      </c>
      <c r="G541" t="inlineStr">
        <is>
          <t>HEBY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46263</v>
      </c>
      <c r="F542" t="inlineStr">
        <is>
          <t>UPPSALA LÄN</t>
        </is>
      </c>
      <c r="G542" t="inlineStr">
        <is>
          <t>HEBY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46224</v>
      </c>
      <c r="E543" s="1" t="n">
        <v>46263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46231</v>
      </c>
      <c r="E544" s="1" t="n">
        <v>46263</v>
      </c>
      <c r="F544" t="inlineStr">
        <is>
          <t>UPPSALA LÄN</t>
        </is>
      </c>
      <c r="G544" t="inlineStr">
        <is>
          <t>HEBY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46231</v>
      </c>
      <c r="E545" s="1" t="n">
        <v>46263</v>
      </c>
      <c r="F545" t="inlineStr">
        <is>
          <t>UPPSALA LÄN</t>
        </is>
      </c>
      <c r="G545" t="inlineStr">
        <is>
          <t>HEBY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46263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46263</v>
      </c>
      <c r="F547" t="inlineStr">
        <is>
          <t>UPPSALA LÄN</t>
        </is>
      </c>
      <c r="G547" t="inlineStr">
        <is>
          <t>HEBY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46263</v>
      </c>
      <c r="F548" t="inlineStr">
        <is>
          <t>UPPSALA LÄN</t>
        </is>
      </c>
      <c r="G548" t="inlineStr">
        <is>
          <t>HEBY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46263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46263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46.8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46263</v>
      </c>
      <c r="F551" t="inlineStr">
        <is>
          <t>UPPSALA LÄN</t>
        </is>
      </c>
      <c r="G551" t="inlineStr">
        <is>
          <t>HEBY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46263</v>
      </c>
      <c r="F552" t="inlineStr">
        <is>
          <t>UPPSALA LÄN</t>
        </is>
      </c>
      <c r="G552" t="inlineStr">
        <is>
          <t>HEBY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45929</v>
      </c>
      <c r="E553" s="1" t="n">
        <v>46263</v>
      </c>
      <c r="F553" t="inlineStr">
        <is>
          <t>UPPSALA LÄN</t>
        </is>
      </c>
      <c r="G553" t="inlineStr">
        <is>
          <t>HEBY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29816-2026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46263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29847-2026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46263</v>
      </c>
      <c r="F555" t="inlineStr">
        <is>
          <t>UPPSALA LÄN</t>
        </is>
      </c>
      <c r="G555" t="inlineStr">
        <is>
          <t>HEBY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46263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46263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46263</v>
      </c>
      <c r="F558" t="inlineStr">
        <is>
          <t>UPPSALA LÄN</t>
        </is>
      </c>
      <c r="G558" t="inlineStr">
        <is>
          <t>HEBY</t>
        </is>
      </c>
      <c r="H558" t="inlineStr">
        <is>
          <t>Allmännings- och besparingsskogar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46238</v>
      </c>
      <c r="E559" s="1" t="n">
        <v>46263</v>
      </c>
      <c r="F559" t="inlineStr">
        <is>
          <t>UPPSALA LÄN</t>
        </is>
      </c>
      <c r="G559" t="inlineStr">
        <is>
          <t>HEBY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46263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46263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46263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46263</v>
      </c>
      <c r="F563" t="inlineStr">
        <is>
          <t>UPPSALA LÄN</t>
        </is>
      </c>
      <c r="G563" t="inlineStr">
        <is>
          <t>HEBY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46263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46263</v>
      </c>
      <c r="F565" t="inlineStr">
        <is>
          <t>UPPSALA LÄN</t>
        </is>
      </c>
      <c r="G565" t="inlineStr">
        <is>
          <t>HEBY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46263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46263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46263</v>
      </c>
      <c r="F568" t="inlineStr">
        <is>
          <t>UPPSALA LÄN</t>
        </is>
      </c>
      <c r="G568" t="inlineStr">
        <is>
          <t>HEBY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46263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46263</v>
      </c>
      <c r="F570" t="inlineStr">
        <is>
          <t>UPPSALA LÄN</t>
        </is>
      </c>
      <c r="G570" t="inlineStr">
        <is>
          <t>HEBY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46263</v>
      </c>
      <c r="F571" t="inlineStr">
        <is>
          <t>UPPSALA LÄN</t>
        </is>
      </c>
      <c r="G571" t="inlineStr">
        <is>
          <t>HEBY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46263</v>
      </c>
      <c r="F572" t="inlineStr">
        <is>
          <t>UPPSALA LÄN</t>
        </is>
      </c>
      <c r="G572" t="inlineStr">
        <is>
          <t>HEBY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46263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46263</v>
      </c>
      <c r="F574" t="inlineStr">
        <is>
          <t>UPPSALA LÄN</t>
        </is>
      </c>
      <c r="G574" t="inlineStr">
        <is>
          <t>HEBY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35435-2026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46262</v>
      </c>
      <c r="E575" s="1" t="n">
        <v>46263</v>
      </c>
      <c r="F575" t="inlineStr">
        <is>
          <t>UPPSALA LÄN</t>
        </is>
      </c>
      <c r="G575" t="inlineStr">
        <is>
          <t>HEBY</t>
        </is>
      </c>
      <c r="I575" t="n">
        <v>6.3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46220</v>
      </c>
      <c r="E576" s="1" t="n">
        <v>46263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55.9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1334-2022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44629</v>
      </c>
      <c r="E577" s="1" t="n">
        <v>46263</v>
      </c>
      <c r="F577" t="inlineStr">
        <is>
          <t>UPPSALA LÄN</t>
        </is>
      </c>
      <c r="G577" t="inlineStr">
        <is>
          <t>HEBY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10324-2021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44546</v>
      </c>
      <c r="E578" s="1" t="n">
        <v>46263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44588</v>
      </c>
      <c r="E579" s="1" t="n">
        <v>46263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2310-2022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44684</v>
      </c>
      <c r="E580" s="1" t="n">
        <v>46263</v>
      </c>
      <c r="F580" t="inlineStr">
        <is>
          <t>UPPSALA LÄN</t>
        </is>
      </c>
      <c r="G580" t="inlineStr">
        <is>
          <t>HEBY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46263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46263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5859-2021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44438</v>
      </c>
      <c r="E583" s="1" t="n">
        <v>46263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4466-2022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44788</v>
      </c>
      <c r="E584" s="1" t="n">
        <v>46263</v>
      </c>
      <c r="F584" t="inlineStr">
        <is>
          <t>UPPSALA LÄN</t>
        </is>
      </c>
      <c r="G584" t="inlineStr">
        <is>
          <t>HEBY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4423-2024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45590</v>
      </c>
      <c r="E585" s="1" t="n">
        <v>46263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47.6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1385-2024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45411</v>
      </c>
      <c r="E586" s="1" t="n">
        <v>46263</v>
      </c>
      <c r="F586" t="inlineStr">
        <is>
          <t>UPPSALA LÄN</t>
        </is>
      </c>
      <c r="G586" t="inlineStr">
        <is>
          <t>HEBY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2797-2024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45485</v>
      </c>
      <c r="E587" s="1" t="n">
        <v>46263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398-2025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45699</v>
      </c>
      <c r="E588" s="1" t="n">
        <v>46263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46263</v>
      </c>
      <c r="F589" t="inlineStr">
        <is>
          <t>UPPSALA LÄN</t>
        </is>
      </c>
      <c r="G589" t="inlineStr">
        <is>
          <t>HEBY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4464-2022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44788</v>
      </c>
      <c r="E590" s="1" t="n">
        <v>46263</v>
      </c>
      <c r="F590" t="inlineStr">
        <is>
          <t>UPPSALA LÄN</t>
        </is>
      </c>
      <c r="G590" t="inlineStr">
        <is>
          <t>HEBY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46263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46263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46263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46263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2026-08-29T01:52:56Z</dcterms:created>
  <dcterms:modified xmlns:dcterms="http://purl.org/dc/terms/" xmlns:xsi="http://www.w3.org/2001/XMLSchema-instance" xsi:type="dcterms:W3CDTF">2026-08-29T01:52:57Z</dcterms:modified>
</cp:coreProperties>
</file>
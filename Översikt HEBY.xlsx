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46254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46254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46254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46254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46254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46254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46254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46254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46254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46254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46254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46254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46254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46254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46254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54352-2025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46254</v>
      </c>
      <c r="F21" t="inlineStr">
        <is>
          <t>UPPSALA LÄN</t>
        </is>
      </c>
      <c r="G21" t="inlineStr">
        <is>
          <t>HEBY</t>
        </is>
      </c>
      <c r="I21" t="n">
        <v>1.7</v>
      </c>
      <c r="J21" t="n">
        <v>4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5</v>
      </c>
      <c r="T21" t="n">
        <v>21</v>
      </c>
      <c r="U21" t="n">
        <v>21</v>
      </c>
      <c r="V21" s="2" t="inlineStr">
        <is>
          <t>Garnlav
Knärot
Spillkråka
Kungsfågel
Revlummer</t>
        </is>
      </c>
      <c r="W21">
        <f>HYPERLINK("https://klasma.github.io/Logging_0331/artfynd/A 54352-2025 artfynd.xlsx", "A 54352-2025")</f>
        <v/>
      </c>
      <c r="X21">
        <f>HYPERLINK("https://klasma.github.io/Logging_0331/kartor/A 54352-2025 karta.png", "A 54352-2025")</f>
        <v/>
      </c>
      <c r="Y21">
        <f>HYPERLINK("https://klasma.github.io/Logging_0331/kartor_geotiff/A 54352-2025 georefererad karta.tif", "A 54352-2025")</f>
        <v/>
      </c>
      <c r="Z21">
        <f>HYPERLINK("https://klasma.github.io/Logging_0331/knärot/A 54352-2025 karta knärot.png", "A 54352-2025")</f>
        <v/>
      </c>
      <c r="AA21">
        <f>HYPERLINK("https://klasma.github.io/Logging_0331/klagomål/A 54352-2025 FSC-klagomål.docx", "A 54352-2025")</f>
        <v/>
      </c>
      <c r="AB21">
        <f>HYPERLINK("https://klasma.github.io/Logging_0331/klagomålsmail/A 54352-2025 FSC-klagomål mail.docx", "A 54352-2025")</f>
        <v/>
      </c>
      <c r="AC21">
        <f>HYPERLINK("https://klasma.github.io/Logging_0331/tillsyn/A 54352-2025 tillsynsbegäran.docx", "A 54352-2025")</f>
        <v/>
      </c>
      <c r="AD21">
        <f>HYPERLINK("https://klasma.github.io/Logging_0331/tillsynsmail/A 54352-2025 tillsynsbegäran mail.docx", "A 54352-2025")</f>
        <v/>
      </c>
      <c r="AE21">
        <f>HYPERLINK("https://klasma.github.io/Logging_0331/fåglar/A 54352-2025 prioriterade fågelarter.docx", "A 54352-2025")</f>
        <v/>
      </c>
    </row>
    <row r="22" ht="15" customHeight="1">
      <c r="A22" t="inlineStr">
        <is>
          <t>A 58369-2025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46254</v>
      </c>
      <c r="F22" t="inlineStr">
        <is>
          <t>UPPSALA LÄN</t>
        </is>
      </c>
      <c r="G22" t="inlineStr">
        <is>
          <t>HEBY</t>
        </is>
      </c>
      <c r="I22" t="n">
        <v>4.6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5</v>
      </c>
      <c r="U22" t="n">
        <v>4</v>
      </c>
      <c r="V22" s="2" t="inlineStr">
        <is>
          <t>Myskbock
Noshornsoxe
Större träfjäril
Spillkråka
Vanlig padda</t>
        </is>
      </c>
      <c r="W22">
        <f>HYPERLINK("https://klasma.github.io/Logging_0331/artfynd/A 58369-2025 artfynd.xlsx", "A 58369-2025")</f>
        <v/>
      </c>
      <c r="X22">
        <f>HYPERLINK("https://klasma.github.io/Logging_0331/kartor/A 58369-2025 karta.png", "A 58369-2025")</f>
        <v/>
      </c>
      <c r="Y22">
        <f>HYPERLINK("https://klasma.github.io/Logging_0331/kartor_geotiff/A 58369-2025 georefererad karta.tif", "A 58369-2025")</f>
        <v/>
      </c>
      <c r="AA22">
        <f>HYPERLINK("https://klasma.github.io/Logging_0331/klagomål/A 58369-2025 FSC-klagomål.docx", "A 58369-2025")</f>
        <v/>
      </c>
      <c r="AB22">
        <f>HYPERLINK("https://klasma.github.io/Logging_0331/klagomålsmail/A 58369-2025 FSC-klagomål mail.docx", "A 58369-2025")</f>
        <v/>
      </c>
      <c r="AC22">
        <f>HYPERLINK("https://klasma.github.io/Logging_0331/tillsyn/A 58369-2025 tillsynsbegäran.docx", "A 58369-2025")</f>
        <v/>
      </c>
      <c r="AD22">
        <f>HYPERLINK("https://klasma.github.io/Logging_0331/tillsynsmail/A 58369-2025 tillsynsbegäran mail.docx", "A 58369-2025")</f>
        <v/>
      </c>
      <c r="AE22">
        <f>HYPERLINK("https://klasma.github.io/Logging_0331/fåglar/A 58369-2025 prioriterade fågelarter.docx", "A 58369-2025")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46254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46254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46254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46254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46254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46254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46254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Ask
Vårstarr
Blåsippa
Gullviva</t>
        </is>
      </c>
      <c r="W29">
        <f>HYPERLINK("https://klasma.github.io/Logging_0331/artfynd/A 9354-2026 artfynd.xlsx", "A 9354-2026")</f>
        <v/>
      </c>
      <c r="X29">
        <f>HYPERLINK("https://klasma.github.io/Logging_0331/kartor/A 9354-2026 karta.png", "A 9354-2026")</f>
        <v/>
      </c>
      <c r="Y29">
        <f>HYPERLINK("https://klasma.github.io/Logging_0331/kartor_geotiff/A 9354-2026 georefererad karta.tif", "A 9354-2026")</f>
        <v/>
      </c>
      <c r="AA29">
        <f>HYPERLINK("https://klasma.github.io/Logging_0331/klagomål/A 9354-2026 FSC-klagomål.docx", "A 9354-2026")</f>
        <v/>
      </c>
      <c r="AB29">
        <f>HYPERLINK("https://klasma.github.io/Logging_0331/klagomålsmail/A 9354-2026 FSC-klagomål mail.docx", "A 9354-2026")</f>
        <v/>
      </c>
      <c r="AC29">
        <f>HYPERLINK("https://klasma.github.io/Logging_0331/tillsyn/A 9354-2026 tillsynsbegäran.docx", "A 9354-2026")</f>
        <v/>
      </c>
      <c r="AD29">
        <f>HYPERLINK("https://klasma.github.io/Logging_0331/tillsynsmail/A 9354-2026 tillsynsbegäran mail.docx", "A 9354-2026")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46254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46254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46254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46254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46254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46254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46254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46254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46254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46254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46254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46254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46254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46254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46254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46254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46254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63982-2023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45278</v>
      </c>
      <c r="E47" s="1" t="n">
        <v>46254</v>
      </c>
      <c r="F47" t="inlineStr">
        <is>
          <t>UPPSALA LÄN</t>
        </is>
      </c>
      <c r="G47" t="inlineStr">
        <is>
          <t>HEBY</t>
        </is>
      </c>
      <c r="H47" t="inlineStr">
        <is>
          <t>Kyrkan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Större flatbagge
Tjäder</t>
        </is>
      </c>
      <c r="W47">
        <f>HYPERLINK("https://klasma.github.io/Logging_0331/artfynd/A 63982-2023 artfynd.xlsx", "A 63982-2023")</f>
        <v/>
      </c>
      <c r="X47">
        <f>HYPERLINK("https://klasma.github.io/Logging_0331/kartor/A 63982-2023 karta.png", "A 63982-2023")</f>
        <v/>
      </c>
      <c r="Y47">
        <f>HYPERLINK("https://klasma.github.io/Logging_0331/kartor_geotiff/A 63982-2023 georefererad karta.tif", "A 63982-2023")</f>
        <v/>
      </c>
      <c r="AA47">
        <f>HYPERLINK("https://klasma.github.io/Logging_0331/klagomål/A 63982-2023 FSC-klagomål.docx", "A 63982-2023")</f>
        <v/>
      </c>
      <c r="AB47">
        <f>HYPERLINK("https://klasma.github.io/Logging_0331/klagomålsmail/A 63982-2023 FSC-klagomål mail.docx", "A 63982-2023")</f>
        <v/>
      </c>
      <c r="AC47">
        <f>HYPERLINK("https://klasma.github.io/Logging_0331/tillsyn/A 63982-2023 tillsynsbegäran.docx", "A 63982-2023")</f>
        <v/>
      </c>
      <c r="AD47">
        <f>HYPERLINK("https://klasma.github.io/Logging_0331/tillsynsmail/A 63982-2023 tillsynsbegäran mail.docx", "A 63982-2023")</f>
        <v/>
      </c>
      <c r="AE47">
        <f>HYPERLINK("https://klasma.github.io/Logging_0331/fåglar/A 63982-2023 prioriterade fågelarter.docx", "A 63982-2023")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46254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50558-2025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45944</v>
      </c>
      <c r="E49" s="1" t="n">
        <v>46254</v>
      </c>
      <c r="F49" t="inlineStr">
        <is>
          <t>UPPSALA LÄN</t>
        </is>
      </c>
      <c r="G49" t="inlineStr">
        <is>
          <t>HEBY</t>
        </is>
      </c>
      <c r="I49" t="n">
        <v>2.2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Thomsons trägnagare
Kungsfågel</t>
        </is>
      </c>
      <c r="W49">
        <f>HYPERLINK("https://klasma.github.io/Logging_0331/artfynd/A 50558-2025 artfynd.xlsx", "A 50558-2025")</f>
        <v/>
      </c>
      <c r="X49">
        <f>HYPERLINK("https://klasma.github.io/Logging_0331/kartor/A 50558-2025 karta.png", "A 50558-2025")</f>
        <v/>
      </c>
      <c r="Y49">
        <f>HYPERLINK("https://klasma.github.io/Logging_0331/kartor_geotiff/A 50558-2025 georefererad karta.tif", "A 50558-2025")</f>
        <v/>
      </c>
      <c r="AA49">
        <f>HYPERLINK("https://klasma.github.io/Logging_0331/klagomål/A 50558-2025 FSC-klagomål.docx", "A 50558-2025")</f>
        <v/>
      </c>
      <c r="AB49">
        <f>HYPERLINK("https://klasma.github.io/Logging_0331/klagomålsmail/A 50558-2025 FSC-klagomål mail.docx", "A 50558-2025")</f>
        <v/>
      </c>
      <c r="AC49">
        <f>HYPERLINK("https://klasma.github.io/Logging_0331/tillsyn/A 50558-2025 tillsynsbegäran.docx", "A 50558-2025")</f>
        <v/>
      </c>
      <c r="AD49">
        <f>HYPERLINK("https://klasma.github.io/Logging_0331/tillsynsmail/A 50558-2025 tillsynsbegäran mail.docx", "A 50558-2025")</f>
        <v/>
      </c>
    </row>
    <row r="50" ht="15" customHeight="1">
      <c r="A50" t="inlineStr">
        <is>
          <t>A 59728-2025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45992</v>
      </c>
      <c r="E50" s="1" t="n">
        <v>46254</v>
      </c>
      <c r="F50" t="inlineStr">
        <is>
          <t>UPPSALA LÄN</t>
        </is>
      </c>
      <c r="G50" t="inlineStr">
        <is>
          <t>HEBY</t>
        </is>
      </c>
      <c r="I50" t="n">
        <v>2.8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1</v>
      </c>
      <c r="V50" s="2" t="inlineStr">
        <is>
          <t>Knärot
Motaggsvamp</t>
        </is>
      </c>
      <c r="W50">
        <f>HYPERLINK("https://klasma.github.io/Logging_0331/artfynd/A 59728-2025 artfynd.xlsx", "A 59728-2025")</f>
        <v/>
      </c>
      <c r="X50">
        <f>HYPERLINK("https://klasma.github.io/Logging_0331/kartor/A 59728-2025 karta.png", "A 59728-2025")</f>
        <v/>
      </c>
      <c r="Y50">
        <f>HYPERLINK("https://klasma.github.io/Logging_0331/kartor_geotiff/A 59728-2025 georefererad karta.tif", "A 59728-2025")</f>
        <v/>
      </c>
      <c r="Z50">
        <f>HYPERLINK("https://klasma.github.io/Logging_0331/knärot/A 59728-2025 karta knärot.png", "A 59728-2025")</f>
        <v/>
      </c>
      <c r="AA50">
        <f>HYPERLINK("https://klasma.github.io/Logging_0331/klagomål/A 59728-2025 FSC-klagomål.docx", "A 59728-2025")</f>
        <v/>
      </c>
      <c r="AB50">
        <f>HYPERLINK("https://klasma.github.io/Logging_0331/klagomålsmail/A 59728-2025 FSC-klagomål mail.docx", "A 59728-2025")</f>
        <v/>
      </c>
      <c r="AC50">
        <f>HYPERLINK("https://klasma.github.io/Logging_0331/tillsyn/A 59728-2025 tillsynsbegäran.docx", "A 59728-2025")</f>
        <v/>
      </c>
      <c r="AD50">
        <f>HYPERLINK("https://klasma.github.io/Logging_0331/tillsynsmail/A 59728-2025 tillsynsbegäran mail.docx", "A 59728-2025")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46254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46254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46254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46254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46254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46254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46254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46254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46254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20530-2026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46254</v>
      </c>
      <c r="F60" t="inlineStr">
        <is>
          <t>UPPSALA LÄN</t>
        </is>
      </c>
      <c r="G60" t="inlineStr">
        <is>
          <t>HEBY</t>
        </is>
      </c>
      <c r="I60" t="n">
        <v>5.3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Björksplintborre</t>
        </is>
      </c>
      <c r="W60">
        <f>HYPERLINK("https://klasma.github.io/Logging_0331/artfynd/A 20530-2026 artfynd.xlsx", "A 20530-2026")</f>
        <v/>
      </c>
      <c r="X60">
        <f>HYPERLINK("https://klasma.github.io/Logging_0331/kartor/A 20530-2026 karta.png", "A 20530-2026")</f>
        <v/>
      </c>
      <c r="Y60">
        <f>HYPERLINK("https://klasma.github.io/Logging_0331/kartor_geotiff/A 20530-2026 georefererad karta.tif", "A 20530-2026")</f>
        <v/>
      </c>
      <c r="AA60">
        <f>HYPERLINK("https://klasma.github.io/Logging_0331/klagomål/A 20530-2026 FSC-klagomål.docx", "A 20530-2026")</f>
        <v/>
      </c>
      <c r="AB60">
        <f>HYPERLINK("https://klasma.github.io/Logging_0331/klagomålsmail/A 20530-2026 FSC-klagomål mail.docx", "A 20530-2026")</f>
        <v/>
      </c>
      <c r="AC60">
        <f>HYPERLINK("https://klasma.github.io/Logging_0331/tillsyn/A 20530-2026 tillsynsbegäran.docx", "A 20530-2026")</f>
        <v/>
      </c>
      <c r="AD60">
        <f>HYPERLINK("https://klasma.github.io/Logging_0331/tillsynsmail/A 20530-2026 tillsynsbegäran mail.docx", "A 20530-2026")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46254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46254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Mindre bastardsvärmare</t>
        </is>
      </c>
      <c r="W62">
        <f>HYPERLINK("https://klasma.github.io/Logging_0331/artfynd/A 17697-2024 artfynd.xlsx", "A 17697-2024")</f>
        <v/>
      </c>
      <c r="X62">
        <f>HYPERLINK("https://klasma.github.io/Logging_0331/kartor/A 17697-2024 karta.png", "A 17697-2024")</f>
        <v/>
      </c>
      <c r="Y62">
        <f>HYPERLINK("https://klasma.github.io/Logging_0331/kartor_geotiff/A 17697-2024 georefererad karta.tif", "A 17697-2024")</f>
        <v/>
      </c>
      <c r="AA62">
        <f>HYPERLINK("https://klasma.github.io/Logging_0331/klagomål/A 17697-2024 FSC-klagomål.docx", "A 17697-2024")</f>
        <v/>
      </c>
      <c r="AB62">
        <f>HYPERLINK("https://klasma.github.io/Logging_0331/klagomålsmail/A 17697-2024 FSC-klagomål mail.docx", "A 17697-2024")</f>
        <v/>
      </c>
      <c r="AC62">
        <f>HYPERLINK("https://klasma.github.io/Logging_0331/tillsyn/A 17697-2024 tillsynsbegäran.docx", "A 17697-2024")</f>
        <v/>
      </c>
      <c r="AD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46254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45617</v>
      </c>
      <c r="E64" s="1" t="n">
        <v>46254</v>
      </c>
      <c r="F64" t="inlineStr">
        <is>
          <t>UPPSALA LÄN</t>
        </is>
      </c>
      <c r="G64" t="inlineStr">
        <is>
          <t>HEBY</t>
        </is>
      </c>
      <c r="H64" t="inlineStr">
        <is>
          <t>Allmännings- och besparingsskogar</t>
        </is>
      </c>
      <c r="I64" t="n">
        <v>13.9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Talltita</t>
        </is>
      </c>
      <c r="W64">
        <f>HYPERLINK("https://klasma.github.io/Logging_0331/artfynd/A 54368-2024 artfynd.xlsx", "A 54368-2024")</f>
        <v/>
      </c>
      <c r="X64">
        <f>HYPERLINK("https://klasma.github.io/Logging_0331/kartor/A 54368-2024 karta.png", "A 54368-2024")</f>
        <v/>
      </c>
      <c r="Y64">
        <f>HYPERLINK("https://klasma.github.io/Logging_0331/kartor_geotiff/A 54368-2024 georefererad karta.tif", "A 54368-2024")</f>
        <v/>
      </c>
      <c r="AA64">
        <f>HYPERLINK("https://klasma.github.io/Logging_0331/klagomål/A 54368-2024 FSC-klagomål.docx", "A 54368-2024")</f>
        <v/>
      </c>
      <c r="AB64">
        <f>HYPERLINK("https://klasma.github.io/Logging_0331/klagomålsmail/A 54368-2024 FSC-klagomål mail.docx", "A 54368-2024")</f>
        <v/>
      </c>
      <c r="AC64">
        <f>HYPERLINK("https://klasma.github.io/Logging_0331/tillsyn/A 54368-2024 tillsynsbegäran.docx", "A 54368-2024")</f>
        <v/>
      </c>
      <c r="AD64">
        <f>HYPERLINK("https://klasma.github.io/Logging_0331/tillsynsmail/A 54368-2024 tillsynsbegäran mail.docx", "A 54368-2024")</f>
        <v/>
      </c>
      <c r="AE64">
        <f>HYPERLINK("https://klasma.github.io/Logging_0331/fåglar/A 54368-2024 prioriterade fågelarter.docx", "A 54368-2024")</f>
        <v/>
      </c>
    </row>
    <row r="65" ht="15" customHeight="1">
      <c r="A65" t="inlineStr">
        <is>
          <t>A 31885-2026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46231</v>
      </c>
      <c r="E65" s="1" t="n">
        <v>46254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Platt spretmossa</t>
        </is>
      </c>
      <c r="W65">
        <f>HYPERLINK("https://klasma.github.io/Logging_0331/artfynd/A 31885-2026 artfynd.xlsx", "A 31885-2026")</f>
        <v/>
      </c>
      <c r="X65">
        <f>HYPERLINK("https://klasma.github.io/Logging_0331/kartor/A 31885-2026 karta.png", "A 31885-2026")</f>
        <v/>
      </c>
      <c r="Y65">
        <f>HYPERLINK("https://klasma.github.io/Logging_0331/kartor_geotiff/A 31885-2026 georefererad karta.tif", "A 31885-2026")</f>
        <v/>
      </c>
      <c r="AA65">
        <f>HYPERLINK("https://klasma.github.io/Logging_0331/klagomål/A 31885-2026 FSC-klagomål.docx", "A 31885-2026")</f>
        <v/>
      </c>
      <c r="AB65">
        <f>HYPERLINK("https://klasma.github.io/Logging_0331/klagomålsmail/A 31885-2026 FSC-klagomål mail.docx", "A 31885-2026")</f>
        <v/>
      </c>
      <c r="AC65">
        <f>HYPERLINK("https://klasma.github.io/Logging_0331/tillsyn/A 31885-2026 tillsynsbegäran.docx", "A 31885-2026")</f>
        <v/>
      </c>
      <c r="AD65">
        <f>HYPERLINK("https://klasma.github.io/Logging_0331/tillsynsmail/A 31885-2026 tillsynsbegäran mail.docx", "A 31885-2026")</f>
        <v/>
      </c>
    </row>
    <row r="66" ht="15" customHeight="1">
      <c r="A66" t="inlineStr">
        <is>
          <t>A 9618-2026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46254</v>
      </c>
      <c r="F66" t="inlineStr">
        <is>
          <t>UPPSALA LÄN</t>
        </is>
      </c>
      <c r="G66" t="inlineStr">
        <is>
          <t>HEBY</t>
        </is>
      </c>
      <c r="I66" t="n">
        <v>2.3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Vedtrappmossa</t>
        </is>
      </c>
      <c r="W66">
        <f>HYPERLINK("https://klasma.github.io/Logging_0331/artfynd/A 9618-2026 artfynd.xlsx", "A 9618-2026")</f>
        <v/>
      </c>
      <c r="X66">
        <f>HYPERLINK("https://klasma.github.io/Logging_0331/kartor/A 9618-2026 karta.png", "A 9618-2026")</f>
        <v/>
      </c>
      <c r="Y66">
        <f>HYPERLINK("https://klasma.github.io/Logging_0331/kartor_geotiff/A 9618-2026 georefererad karta.tif", "A 9618-2026")</f>
        <v/>
      </c>
      <c r="AA66">
        <f>HYPERLINK("https://klasma.github.io/Logging_0331/klagomål/A 9618-2026 FSC-klagomål.docx", "A 9618-2026")</f>
        <v/>
      </c>
      <c r="AB66">
        <f>HYPERLINK("https://klasma.github.io/Logging_0331/klagomålsmail/A 9618-2026 FSC-klagomål mail.docx", "A 9618-2026")</f>
        <v/>
      </c>
      <c r="AC66">
        <f>HYPERLINK("https://klasma.github.io/Logging_0331/tillsyn/A 9618-2026 tillsynsbegäran.docx", "A 9618-2026")</f>
        <v/>
      </c>
      <c r="AD66">
        <f>HYPERLINK("https://klasma.github.io/Logging_0331/tillsynsmail/A 9618-2026 tillsynsbegäran mail.docx", "A 9618-2026")</f>
        <v/>
      </c>
    </row>
    <row r="67" ht="15" customHeight="1">
      <c r="A67" t="inlineStr">
        <is>
          <t>A 55763-2025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45972</v>
      </c>
      <c r="E67" s="1" t="n">
        <v>46254</v>
      </c>
      <c r="F67" t="inlineStr">
        <is>
          <t>UPPSALA LÄN</t>
        </is>
      </c>
      <c r="G67" t="inlineStr">
        <is>
          <t>HEBY</t>
        </is>
      </c>
      <c r="I67" t="n">
        <v>4.5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Kandelabersvamp</t>
        </is>
      </c>
      <c r="W67">
        <f>HYPERLINK("https://klasma.github.io/Logging_0331/artfynd/A 55763-2025 artfynd.xlsx", "A 55763-2025")</f>
        <v/>
      </c>
      <c r="X67">
        <f>HYPERLINK("https://klasma.github.io/Logging_0331/kartor/A 55763-2025 karta.png", "A 55763-2025")</f>
        <v/>
      </c>
      <c r="Y67">
        <f>HYPERLINK("https://klasma.github.io/Logging_0331/kartor_geotiff/A 55763-2025 georefererad karta.tif", "A 55763-2025")</f>
        <v/>
      </c>
      <c r="AA67">
        <f>HYPERLINK("https://klasma.github.io/Logging_0331/klagomål/A 55763-2025 FSC-klagomål.docx", "A 55763-2025")</f>
        <v/>
      </c>
      <c r="AB67">
        <f>HYPERLINK("https://klasma.github.io/Logging_0331/klagomålsmail/A 55763-2025 FSC-klagomål mail.docx", "A 55763-2025")</f>
        <v/>
      </c>
      <c r="AC67">
        <f>HYPERLINK("https://klasma.github.io/Logging_0331/tillsyn/A 55763-2025 tillsynsbegäran.docx", "A 55763-2025")</f>
        <v/>
      </c>
      <c r="AD67">
        <f>HYPERLINK("https://klasma.github.io/Logging_0331/tillsynsmail/A 55763-2025 tillsynsbegäran mail.docx", "A 55763-2025")</f>
        <v/>
      </c>
    </row>
    <row r="68" ht="15" customHeight="1">
      <c r="A68" t="inlineStr">
        <is>
          <t>A 61598-2021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46254</v>
      </c>
      <c r="F68" t="inlineStr">
        <is>
          <t>UPPSALA LÄN</t>
        </is>
      </c>
      <c r="G68" t="inlineStr">
        <is>
          <t>HEBY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Trana</t>
        </is>
      </c>
      <c r="W68">
        <f>HYPERLINK("https://klasma.github.io/Logging_0331/artfynd/A 61598-2021 artfynd.xlsx", "A 61598-2021")</f>
        <v/>
      </c>
      <c r="X68">
        <f>HYPERLINK("https://klasma.github.io/Logging_0331/kartor/A 61598-2021 karta.png", "A 61598-2021")</f>
        <v/>
      </c>
      <c r="Y68">
        <f>HYPERLINK("https://klasma.github.io/Logging_0331/kartor_geotiff/A 61598-2021 georefererad karta.tif", "A 61598-2021")</f>
        <v/>
      </c>
      <c r="AA68">
        <f>HYPERLINK("https://klasma.github.io/Logging_0331/klagomål/A 61598-2021 FSC-klagomål.docx", "A 61598-2021")</f>
        <v/>
      </c>
      <c r="AB68">
        <f>HYPERLINK("https://klasma.github.io/Logging_0331/klagomålsmail/A 61598-2021 FSC-klagomål mail.docx", "A 61598-2021")</f>
        <v/>
      </c>
      <c r="AC68">
        <f>HYPERLINK("https://klasma.github.io/Logging_0331/tillsyn/A 61598-2021 tillsynsbegäran.docx", "A 61598-2021")</f>
        <v/>
      </c>
      <c r="AD68">
        <f>HYPERLINK("https://klasma.github.io/Logging_0331/tillsynsmail/A 61598-2021 tillsynsbegäran mail.docx", "A 61598-2021")</f>
        <v/>
      </c>
      <c r="AE68">
        <f>HYPERLINK("https://klasma.github.io/Logging_0331/fåglar/A 61598-2021 prioriterade fågelarter.docx", "A 61598-2021")</f>
        <v/>
      </c>
    </row>
    <row r="69" ht="15" customHeight="1">
      <c r="A69" t="inlineStr">
        <is>
          <t>A 27871-2023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45098</v>
      </c>
      <c r="E69" s="1" t="n">
        <v>46254</v>
      </c>
      <c r="F69" t="inlineStr">
        <is>
          <t>UPPSALA LÄN</t>
        </is>
      </c>
      <c r="G69" t="inlineStr">
        <is>
          <t>HEBY</t>
        </is>
      </c>
      <c r="I69" t="n">
        <v>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Tallticka</t>
        </is>
      </c>
      <c r="W69">
        <f>HYPERLINK("https://klasma.github.io/Logging_0331/artfynd/A 27871-2023 artfynd.xlsx", "A 27871-2023")</f>
        <v/>
      </c>
      <c r="X69">
        <f>HYPERLINK("https://klasma.github.io/Logging_0331/kartor/A 27871-2023 karta.png", "A 27871-2023")</f>
        <v/>
      </c>
      <c r="Y69">
        <f>HYPERLINK("https://klasma.github.io/Logging_0331/kartor_geotiff/A 27871-2023 georefererad karta.tif", "A 27871-2023")</f>
        <v/>
      </c>
      <c r="AA69">
        <f>HYPERLINK("https://klasma.github.io/Logging_0331/klagomål/A 27871-2023 FSC-klagomål.docx", "A 27871-2023")</f>
        <v/>
      </c>
      <c r="AB69">
        <f>HYPERLINK("https://klasma.github.io/Logging_0331/klagomålsmail/A 27871-2023 FSC-klagomål mail.docx", "A 27871-2023")</f>
        <v/>
      </c>
      <c r="AC69">
        <f>HYPERLINK("https://klasma.github.io/Logging_0331/tillsyn/A 27871-2023 tillsynsbegäran.docx", "A 27871-2023")</f>
        <v/>
      </c>
      <c r="AD69">
        <f>HYPERLINK("https://klasma.github.io/Logging_0331/tillsynsmail/A 27871-2023 tillsynsbegäran mail.docx", "A 27871-2023")</f>
        <v/>
      </c>
    </row>
    <row r="70" ht="15" customHeight="1">
      <c r="A70" t="inlineStr">
        <is>
          <t>A 8624-2024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46254</v>
      </c>
      <c r="F70" t="inlineStr">
        <is>
          <t>UPPSALA LÄN</t>
        </is>
      </c>
      <c r="G70" t="inlineStr">
        <is>
          <t>HEBY</t>
        </is>
      </c>
      <c r="I70" t="n">
        <v>3.9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11</v>
      </c>
      <c r="U70" t="n">
        <v>0</v>
      </c>
      <c r="V70" s="2" t="inlineStr">
        <is>
          <t>Motaggsvamp</t>
        </is>
      </c>
      <c r="W70">
        <f>HYPERLINK("https://klasma.github.io/Logging_0331/artfynd/A 8624-2024 artfynd.xlsx", "A 8624-2024")</f>
        <v/>
      </c>
      <c r="X70">
        <f>HYPERLINK("https://klasma.github.io/Logging_0331/kartor/A 8624-2024 karta.png", "A 8624-2024")</f>
        <v/>
      </c>
      <c r="Y70">
        <f>HYPERLINK("https://klasma.github.io/Logging_0331/kartor_geotiff/A 8624-2024 georefererad karta.tif", "A 8624-2024")</f>
        <v/>
      </c>
      <c r="AA70">
        <f>HYPERLINK("https://klasma.github.io/Logging_0331/klagomål/A 8624-2024 FSC-klagomål.docx", "A 8624-2024")</f>
        <v/>
      </c>
      <c r="AB70">
        <f>HYPERLINK("https://klasma.github.io/Logging_0331/klagomålsmail/A 8624-2024 FSC-klagomål mail.docx", "A 8624-2024")</f>
        <v/>
      </c>
      <c r="AC70">
        <f>HYPERLINK("https://klasma.github.io/Logging_0331/tillsyn/A 8624-2024 tillsynsbegäran.docx", "A 8624-2024")</f>
        <v/>
      </c>
      <c r="AD70">
        <f>HYPERLINK("https://klasma.github.io/Logging_0331/tillsynsmail/A 8624-2024 tillsynsbegäran mail.docx", "A 8624-2024")</f>
        <v/>
      </c>
    </row>
    <row r="71" ht="15" customHeight="1">
      <c r="A71" t="inlineStr">
        <is>
          <t>A 31569-2023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46254</v>
      </c>
      <c r="F71" t="inlineStr">
        <is>
          <t>UPPSALA LÄN</t>
        </is>
      </c>
      <c r="G71" t="inlineStr">
        <is>
          <t>HEBY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HYPERLINK("https://klasma.github.io/Logging_0331/artfynd/A 31569-2023 artfynd.xlsx", "A 31569-2023")</f>
        <v/>
      </c>
      <c r="X71">
        <f>HYPERLINK("https://klasma.github.io/Logging_0331/kartor/A 31569-2023 karta.png", "A 31569-2023")</f>
        <v/>
      </c>
      <c r="Y71">
        <f>HYPERLINK("https://klasma.github.io/Logging_0331/kartor_geotiff/A 31569-2023 georefererad karta.tif", "A 31569-2023")</f>
        <v/>
      </c>
      <c r="Z71">
        <f>HYPERLINK("https://klasma.github.io/Logging_0331/knärot/A 31569-2023 karta knärot.png", "A 31569-2023")</f>
        <v/>
      </c>
      <c r="AA71">
        <f>HYPERLINK("https://klasma.github.io/Logging_0331/klagomål/A 31569-2023 FSC-klagomål.docx", "A 31569-2023")</f>
        <v/>
      </c>
      <c r="AB71">
        <f>HYPERLINK("https://klasma.github.io/Logging_0331/klagomålsmail/A 31569-2023 FSC-klagomål mail.docx", "A 31569-2023")</f>
        <v/>
      </c>
      <c r="AC71">
        <f>HYPERLINK("https://klasma.github.io/Logging_0331/tillsyn/A 31569-2023 tillsynsbegäran.docx", "A 31569-2023")</f>
        <v/>
      </c>
      <c r="AD71">
        <f>HYPERLINK("https://klasma.github.io/Logging_0331/tillsynsmail/A 31569-2023 tillsynsbegäran mail.docx", "A 31569-2023")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46254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53992-2023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46254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HYPERLINK("https://klasma.github.io/Logging_0331/artfynd/A 53992-2023 artfynd.xlsx", "A 53992-2023")</f>
        <v/>
      </c>
      <c r="X73">
        <f>HYPERLINK("https://klasma.github.io/Logging_0331/kartor/A 53992-2023 karta.png", "A 53992-2023")</f>
        <v/>
      </c>
      <c r="Y73">
        <f>HYPERLINK("https://klasma.github.io/Logging_0331/kartor_geotiff/A 53992-2023 georefererad karta.tif", "A 53992-2023")</f>
        <v/>
      </c>
      <c r="AA73">
        <f>HYPERLINK("https://klasma.github.io/Logging_0331/klagomål/A 53992-2023 FSC-klagomål.docx", "A 53992-2023")</f>
        <v/>
      </c>
      <c r="AB73">
        <f>HYPERLINK("https://klasma.github.io/Logging_0331/klagomålsmail/A 53992-2023 FSC-klagomål mail.docx", "A 53992-2023")</f>
        <v/>
      </c>
      <c r="AC73">
        <f>HYPERLINK("https://klasma.github.io/Logging_0331/tillsyn/A 53992-2023 tillsynsbegäran.docx", "A 53992-2023")</f>
        <v/>
      </c>
      <c r="AD73">
        <f>HYPERLINK("https://klasma.github.io/Logging_0331/tillsynsmail/A 53992-2023 tillsynsbegäran mail.docx", "A 53992-2023")</f>
        <v/>
      </c>
    </row>
    <row r="74" ht="15" customHeight="1">
      <c r="A74" t="inlineStr">
        <is>
          <t>A 49707-2023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45208</v>
      </c>
      <c r="E74" s="1" t="n">
        <v>46254</v>
      </c>
      <c r="F74" t="inlineStr">
        <is>
          <t>UPPSALA LÄN</t>
        </is>
      </c>
      <c r="G74" t="inlineStr">
        <is>
          <t>HEBY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Granbarkgnagare</t>
        </is>
      </c>
      <c r="W74">
        <f>HYPERLINK("https://klasma.github.io/Logging_0331/artfynd/A 49707-2023 artfynd.xlsx", "A 49707-2023")</f>
        <v/>
      </c>
      <c r="X74">
        <f>HYPERLINK("https://klasma.github.io/Logging_0331/kartor/A 49707-2023 karta.png", "A 49707-2023")</f>
        <v/>
      </c>
      <c r="Y74">
        <f>HYPERLINK("https://klasma.github.io/Logging_0331/kartor_geotiff/A 49707-2023 georefererad karta.tif", "A 49707-2023")</f>
        <v/>
      </c>
      <c r="AA74">
        <f>HYPERLINK("https://klasma.github.io/Logging_0331/klagomål/A 49707-2023 FSC-klagomål.docx", "A 49707-2023")</f>
        <v/>
      </c>
      <c r="AB74">
        <f>HYPERLINK("https://klasma.github.io/Logging_0331/klagomålsmail/A 49707-2023 FSC-klagomål mail.docx", "A 49707-2023")</f>
        <v/>
      </c>
      <c r="AC74">
        <f>HYPERLINK("https://klasma.github.io/Logging_0331/tillsyn/A 49707-2023 tillsynsbegäran.docx", "A 49707-2023")</f>
        <v/>
      </c>
      <c r="AD74">
        <f>HYPERLINK("https://klasma.github.io/Logging_0331/tillsynsmail/A 49707-2023 tillsynsbegäran mail.docx", "A 49707-2023")</f>
        <v/>
      </c>
    </row>
    <row r="75" ht="15" customHeight="1">
      <c r="A75" t="inlineStr">
        <is>
          <t>A 9455-2026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46254</v>
      </c>
      <c r="F75" t="inlineStr">
        <is>
          <t>UPPSALA LÄN</t>
        </is>
      </c>
      <c r="G75" t="inlineStr">
        <is>
          <t>HEBY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Kungsspindling</t>
        </is>
      </c>
      <c r="W75">
        <f>HYPERLINK("https://klasma.github.io/Logging_0331/artfynd/A 9455-2026 artfynd.xlsx", "A 9455-2026")</f>
        <v/>
      </c>
      <c r="X75">
        <f>HYPERLINK("https://klasma.github.io/Logging_0331/kartor/A 9455-2026 karta.png", "A 9455-2026")</f>
        <v/>
      </c>
      <c r="Y75">
        <f>HYPERLINK("https://klasma.github.io/Logging_0331/kartor_geotiff/A 9455-2026 georefererad karta.tif", "A 9455-2026")</f>
        <v/>
      </c>
      <c r="AA75">
        <f>HYPERLINK("https://klasma.github.io/Logging_0331/klagomål/A 9455-2026 FSC-klagomål.docx", "A 9455-2026")</f>
        <v/>
      </c>
      <c r="AB75">
        <f>HYPERLINK("https://klasma.github.io/Logging_0331/klagomålsmail/A 9455-2026 FSC-klagomål mail.docx", "A 9455-2026")</f>
        <v/>
      </c>
      <c r="AC75">
        <f>HYPERLINK("https://klasma.github.io/Logging_0331/tillsyn/A 9455-2026 tillsynsbegäran.docx", "A 9455-2026")</f>
        <v/>
      </c>
      <c r="AD75">
        <f>HYPERLINK("https://klasma.github.io/Logging_0331/tillsynsmail/A 9455-2026 tillsynsbegäran mail.docx", "A 9455-2026")</f>
        <v/>
      </c>
    </row>
    <row r="76" ht="15" customHeight="1">
      <c r="A76" t="inlineStr">
        <is>
          <t>A 9358-2026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46254</v>
      </c>
      <c r="F76" t="inlineStr">
        <is>
          <t>UPPSALA LÄN</t>
        </is>
      </c>
      <c r="G76" t="inlineStr">
        <is>
          <t>HEBY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vattensalamander</t>
        </is>
      </c>
      <c r="W76">
        <f>HYPERLINK("https://klasma.github.io/Logging_0331/artfynd/A 9358-2026 artfynd.xlsx", "A 9358-2026")</f>
        <v/>
      </c>
      <c r="X76">
        <f>HYPERLINK("https://klasma.github.io/Logging_0331/kartor/A 9358-2026 karta.png", "A 9358-2026")</f>
        <v/>
      </c>
      <c r="Y76">
        <f>HYPERLINK("https://klasma.github.io/Logging_0331/kartor_geotiff/A 9358-2026 georefererad karta.tif", "A 9358-2026")</f>
        <v/>
      </c>
      <c r="AA76">
        <f>HYPERLINK("https://klasma.github.io/Logging_0331/klagomål/A 9358-2026 FSC-klagomål.docx", "A 9358-2026")</f>
        <v/>
      </c>
      <c r="AB76">
        <f>HYPERLINK("https://klasma.github.io/Logging_0331/klagomålsmail/A 9358-2026 FSC-klagomål mail.docx", "A 9358-2026")</f>
        <v/>
      </c>
      <c r="AC76">
        <f>HYPERLINK("https://klasma.github.io/Logging_0331/tillsyn/A 9358-2026 tillsynsbegäran.docx", "A 9358-2026")</f>
        <v/>
      </c>
      <c r="AD76">
        <f>HYPERLINK("https://klasma.github.io/Logging_0331/tillsynsmail/A 9358-2026 tillsynsbegäran mail.docx", "A 9358-2026")</f>
        <v/>
      </c>
    </row>
    <row r="77" ht="15" customHeight="1">
      <c r="A77" t="inlineStr">
        <is>
          <t>A 11560-2026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46084</v>
      </c>
      <c r="E77" s="1" t="n">
        <v>46254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HYPERLINK("https://klasma.github.io/Logging_0331/artfynd/A 11560-2026 artfynd.xlsx", "A 11560-2026")</f>
        <v/>
      </c>
      <c r="X77">
        <f>HYPERLINK("https://klasma.github.io/Logging_0331/kartor/A 11560-2026 karta.png", "A 11560-2026")</f>
        <v/>
      </c>
      <c r="Y77">
        <f>HYPERLINK("https://klasma.github.io/Logging_0331/kartor_geotiff/A 11560-2026 georefererad karta.tif", "A 11560-2026")</f>
        <v/>
      </c>
      <c r="AA77">
        <f>HYPERLINK("https://klasma.github.io/Logging_0331/klagomål/A 11560-2026 FSC-klagomål.docx", "A 11560-2026")</f>
        <v/>
      </c>
      <c r="AB77">
        <f>HYPERLINK("https://klasma.github.io/Logging_0331/klagomålsmail/A 11560-2026 FSC-klagomål mail.docx", "A 11560-2026")</f>
        <v/>
      </c>
      <c r="AC77">
        <f>HYPERLINK("https://klasma.github.io/Logging_0331/tillsyn/A 11560-2026 tillsynsbegäran.docx", "A 11560-2026")</f>
        <v/>
      </c>
      <c r="AD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46085</v>
      </c>
      <c r="E78" s="1" t="n">
        <v>46254</v>
      </c>
      <c r="F78" t="inlineStr">
        <is>
          <t>UPPSALA LÄN</t>
        </is>
      </c>
      <c r="G78" t="inlineStr">
        <is>
          <t>HEBY</t>
        </is>
      </c>
      <c r="I78" t="n">
        <v>1.1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Stor aspticka</t>
        </is>
      </c>
      <c r="W78">
        <f>HYPERLINK("https://klasma.github.io/Logging_0331/artfynd/A 11841-2026 artfynd.xlsx", "A 11841-2026")</f>
        <v/>
      </c>
      <c r="X78">
        <f>HYPERLINK("https://klasma.github.io/Logging_0331/kartor/A 11841-2026 karta.png", "A 11841-2026")</f>
        <v/>
      </c>
      <c r="Y78">
        <f>HYPERLINK("https://klasma.github.io/Logging_0331/kartor_geotiff/A 11841-2026 georefererad karta.tif", "A 11841-2026")</f>
        <v/>
      </c>
      <c r="AA78">
        <f>HYPERLINK("https://klasma.github.io/Logging_0331/klagomål/A 11841-2026 FSC-klagomål.docx", "A 11841-2026")</f>
        <v/>
      </c>
      <c r="AB78">
        <f>HYPERLINK("https://klasma.github.io/Logging_0331/klagomålsmail/A 11841-2026 FSC-klagomål mail.docx", "A 11841-2026")</f>
        <v/>
      </c>
      <c r="AC78">
        <f>HYPERLINK("https://klasma.github.io/Logging_0331/tillsyn/A 11841-2026 tillsynsbegäran.docx", "A 11841-2026")</f>
        <v/>
      </c>
      <c r="AD78">
        <f>HYPERLINK("https://klasma.github.io/Logging_0331/tillsynsmail/A 11841-2026 tillsynsbegäran mail.docx", "A 11841-2026")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46254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3374-2024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46254</v>
      </c>
      <c r="F80" t="inlineStr">
        <is>
          <t>UPPSALA LÄN</t>
        </is>
      </c>
      <c r="G80" t="inlineStr">
        <is>
          <t>HEBY</t>
        </is>
      </c>
      <c r="I80" t="n">
        <v>8.4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Berggräsfjäril</t>
        </is>
      </c>
      <c r="W80">
        <f>HYPERLINK("https://klasma.github.io/Logging_0331/artfynd/A 3374-2024 artfynd.xlsx", "A 3374-2024")</f>
        <v/>
      </c>
      <c r="X80">
        <f>HYPERLINK("https://klasma.github.io/Logging_0331/kartor/A 3374-2024 karta.png", "A 3374-2024")</f>
        <v/>
      </c>
      <c r="Y80">
        <f>HYPERLINK("https://klasma.github.io/Logging_0331/kartor_geotiff/A 3374-2024 georefererad karta.tif", "A 3374-2024")</f>
        <v/>
      </c>
      <c r="AA80">
        <f>HYPERLINK("https://klasma.github.io/Logging_0331/klagomål/A 3374-2024 FSC-klagomål.docx", "A 3374-2024")</f>
        <v/>
      </c>
      <c r="AB80">
        <f>HYPERLINK("https://klasma.github.io/Logging_0331/klagomålsmail/A 3374-2024 FSC-klagomål mail.docx", "A 3374-2024")</f>
        <v/>
      </c>
      <c r="AC80">
        <f>HYPERLINK("https://klasma.github.io/Logging_0331/tillsyn/A 3374-2024 tillsynsbegäran.docx", "A 3374-2024")</f>
        <v/>
      </c>
      <c r="AD80">
        <f>HYPERLINK("https://klasma.github.io/Logging_0331/tillsynsmail/A 3374-2024 tillsynsbegäran mail.docx", "A 3374-2024")</f>
        <v/>
      </c>
    </row>
    <row r="81" ht="15" customHeight="1">
      <c r="A81" t="inlineStr">
        <is>
          <t>A 11011-2025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46254</v>
      </c>
      <c r="F81" t="inlineStr">
        <is>
          <t>UPPSALA LÄN</t>
        </is>
      </c>
      <c r="G81" t="inlineStr">
        <is>
          <t>HEBY</t>
        </is>
      </c>
      <c r="H81" t="inlineStr">
        <is>
          <t>Kyrkan</t>
        </is>
      </c>
      <c r="I81" t="n">
        <v>2.6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Motaggsvamp</t>
        </is>
      </c>
      <c r="W81">
        <f>HYPERLINK("https://klasma.github.io/Logging_0331/artfynd/A 11011-2025 artfynd.xlsx", "A 11011-2025")</f>
        <v/>
      </c>
      <c r="X81">
        <f>HYPERLINK("https://klasma.github.io/Logging_0331/kartor/A 11011-2025 karta.png", "A 11011-2025")</f>
        <v/>
      </c>
      <c r="Y81">
        <f>HYPERLINK("https://klasma.github.io/Logging_0331/kartor_geotiff/A 11011-2025 georefererad karta.tif", "A 11011-2025")</f>
        <v/>
      </c>
      <c r="AA81">
        <f>HYPERLINK("https://klasma.github.io/Logging_0331/klagomål/A 11011-2025 FSC-klagomål.docx", "A 11011-2025")</f>
        <v/>
      </c>
      <c r="AB81">
        <f>HYPERLINK("https://klasma.github.io/Logging_0331/klagomålsmail/A 11011-2025 FSC-klagomål mail.docx", "A 11011-2025")</f>
        <v/>
      </c>
      <c r="AC81">
        <f>HYPERLINK("https://klasma.github.io/Logging_0331/tillsyn/A 11011-2025 tillsynsbegäran.docx", "A 11011-2025")</f>
        <v/>
      </c>
      <c r="AD81">
        <f>HYPERLINK("https://klasma.github.io/Logging_0331/tillsynsmail/A 11011-2025 tillsynsbegäran mail.docx", "A 11011-2025")</f>
        <v/>
      </c>
    </row>
    <row r="82" ht="15" customHeight="1">
      <c r="A82" t="inlineStr">
        <is>
          <t>A 17006-2024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45411</v>
      </c>
      <c r="E82" s="1" t="n">
        <v>46254</v>
      </c>
      <c r="F82" t="inlineStr">
        <is>
          <t>UPPSALA LÄN</t>
        </is>
      </c>
      <c r="G82" t="inlineStr">
        <is>
          <t>HEBY</t>
        </is>
      </c>
      <c r="H82" t="inlineStr">
        <is>
          <t>Bergvik skog väst AB</t>
        </is>
      </c>
      <c r="I82" t="n">
        <v>14.6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HYPERLINK("https://klasma.github.io/Logging_0331/artfynd/A 17006-2024 artfynd.xlsx", "A 17006-2024")</f>
        <v/>
      </c>
      <c r="X82">
        <f>HYPERLINK("https://klasma.github.io/Logging_0331/kartor/A 17006-2024 karta.png", "A 17006-2024")</f>
        <v/>
      </c>
      <c r="Y82">
        <f>HYPERLINK("https://klasma.github.io/Logging_0331/kartor_geotiff/A 17006-2024 georefererad karta.tif", "A 17006-2024")</f>
        <v/>
      </c>
      <c r="AA82">
        <f>HYPERLINK("https://klasma.github.io/Logging_0331/klagomål/A 17006-2024 FSC-klagomål.docx", "A 17006-2024")</f>
        <v/>
      </c>
      <c r="AB82">
        <f>HYPERLINK("https://klasma.github.io/Logging_0331/klagomålsmail/A 17006-2024 FSC-klagomål mail.docx", "A 17006-2024")</f>
        <v/>
      </c>
      <c r="AC82">
        <f>HYPERLINK("https://klasma.github.io/Logging_0331/tillsyn/A 17006-2024 tillsynsbegäran.docx", "A 17006-2024")</f>
        <v/>
      </c>
      <c r="AD82">
        <f>HYPERLINK("https://klasma.github.io/Logging_0331/tillsynsmail/A 17006-2024 tillsynsbegäran mail.docx", "A 17006-2024")</f>
        <v/>
      </c>
      <c r="AE82">
        <f>HYPERLINK("https://klasma.github.io/Logging_0331/fåglar/A 17006-2024 prioriterade fågelarter.docx", "A 17006-2024")</f>
        <v/>
      </c>
    </row>
    <row r="83" ht="15" customHeight="1">
      <c r="A83" t="inlineStr">
        <is>
          <t>A 38417-2025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45883</v>
      </c>
      <c r="E83" s="1" t="n">
        <v>46254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8.300000000000001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HYPERLINK("https://klasma.github.io/Logging_0331/artfynd/A 38417-2025 artfynd.xlsx", "A 38417-2025")</f>
        <v/>
      </c>
      <c r="X83">
        <f>HYPERLINK("https://klasma.github.io/Logging_0331/kartor/A 38417-2025 karta.png", "A 38417-2025")</f>
        <v/>
      </c>
      <c r="Y83">
        <f>HYPERLINK("https://klasma.github.io/Logging_0331/kartor_geotiff/A 38417-2025 georefererad karta.tif", "A 38417-2025")</f>
        <v/>
      </c>
      <c r="Z83">
        <f>HYPERLINK("https://klasma.github.io/Logging_0331/knärot/A 38417-2025 karta knärot.png", "A 38417-2025")</f>
        <v/>
      </c>
      <c r="AA83">
        <f>HYPERLINK("https://klasma.github.io/Logging_0331/klagomål/A 38417-2025 FSC-klagomål.docx", "A 38417-2025")</f>
        <v/>
      </c>
      <c r="AB83">
        <f>HYPERLINK("https://klasma.github.io/Logging_0331/klagomålsmail/A 38417-2025 FSC-klagomål mail.docx", "A 38417-2025")</f>
        <v/>
      </c>
      <c r="AC83">
        <f>HYPERLINK("https://klasma.github.io/Logging_0331/tillsyn/A 38417-2025 tillsynsbegäran.docx", "A 38417-2025")</f>
        <v/>
      </c>
      <c r="AD83">
        <f>HYPERLINK("https://klasma.github.io/Logging_0331/tillsynsmail/A 38417-2025 tillsynsbegäran mail.docx", "A 38417-2025")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46254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46254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46254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46254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46254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46254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46254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46254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46254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52424-2021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44466</v>
      </c>
      <c r="E93" s="1" t="n">
        <v>46254</v>
      </c>
      <c r="F93" t="inlineStr">
        <is>
          <t>UPPSALA LÄN</t>
        </is>
      </c>
      <c r="G93" t="inlineStr">
        <is>
          <t>HEBY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46254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46254</v>
      </c>
      <c r="F95" t="inlineStr">
        <is>
          <t>UPPSALA LÄN</t>
        </is>
      </c>
      <c r="G95" t="inlineStr">
        <is>
          <t>HEBY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46254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46254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46254</v>
      </c>
      <c r="F98" t="inlineStr">
        <is>
          <t>UPPSALA LÄN</t>
        </is>
      </c>
      <c r="G98" t="inlineStr">
        <is>
          <t>HEBY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46254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46254</v>
      </c>
      <c r="F100" t="inlineStr">
        <is>
          <t>UPPSALA LÄN</t>
        </is>
      </c>
      <c r="G100" t="inlineStr">
        <is>
          <t>HEBY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46254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46254</v>
      </c>
      <c r="F102" t="inlineStr">
        <is>
          <t>UPPSALA LÄN</t>
        </is>
      </c>
      <c r="G102" t="inlineStr">
        <is>
          <t>HEBY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46254</v>
      </c>
      <c r="F103" t="inlineStr">
        <is>
          <t>UPPSALA LÄN</t>
        </is>
      </c>
      <c r="G103" t="inlineStr">
        <is>
          <t>HEBY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46254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väst AB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46254</v>
      </c>
      <c r="F105" t="inlineStr">
        <is>
          <t>UPPSALA LÄN</t>
        </is>
      </c>
      <c r="G105" t="inlineStr">
        <is>
          <t>HEBY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33284-2022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46254</v>
      </c>
      <c r="F106" t="inlineStr">
        <is>
          <t>UPPSALA LÄN</t>
        </is>
      </c>
      <c r="G106" t="inlineStr">
        <is>
          <t>HEBY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46254</v>
      </c>
      <c r="F107" t="inlineStr">
        <is>
          <t>UPPSALA LÄN</t>
        </is>
      </c>
      <c r="G107" t="inlineStr">
        <is>
          <t>HEBY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46254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46254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46254</v>
      </c>
      <c r="F110" t="inlineStr">
        <is>
          <t>UPPSALA LÄN</t>
        </is>
      </c>
      <c r="G110" t="inlineStr">
        <is>
          <t>HEBY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66025-2021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46254</v>
      </c>
      <c r="F111" t="inlineStr">
        <is>
          <t>UPPSALA LÄN</t>
        </is>
      </c>
      <c r="G111" t="inlineStr">
        <is>
          <t>HEBY</t>
        </is>
      </c>
      <c r="H111" t="inlineStr">
        <is>
          <t>Bergvik skog öst AB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46254</v>
      </c>
      <c r="F112" t="inlineStr">
        <is>
          <t>UPPSALA LÄN</t>
        </is>
      </c>
      <c r="G112" t="inlineStr">
        <is>
          <t>HEBY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44565</v>
      </c>
      <c r="E113" s="1" t="n">
        <v>46254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44844</v>
      </c>
      <c r="E114" s="1" t="n">
        <v>46254</v>
      </c>
      <c r="F114" t="inlineStr">
        <is>
          <t>UPPSALA LÄN</t>
        </is>
      </c>
      <c r="G114" t="inlineStr">
        <is>
          <t>HEBY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46254</v>
      </c>
      <c r="F115" t="inlineStr">
        <is>
          <t>UPPSALA LÄN</t>
        </is>
      </c>
      <c r="G115" t="inlineStr">
        <is>
          <t>HEBY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46254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73238-2021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44550</v>
      </c>
      <c r="E117" s="1" t="n">
        <v>46254</v>
      </c>
      <c r="F117" t="inlineStr">
        <is>
          <t>UPPSALA LÄN</t>
        </is>
      </c>
      <c r="G117" t="inlineStr">
        <is>
          <t>HEBY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42855-2022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44832</v>
      </c>
      <c r="E118" s="1" t="n">
        <v>46254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46254</v>
      </c>
      <c r="F119" t="inlineStr">
        <is>
          <t>UPPSALA LÄN</t>
        </is>
      </c>
      <c r="G119" t="inlineStr">
        <is>
          <t>HEBY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46254</v>
      </c>
      <c r="F120" t="inlineStr">
        <is>
          <t>UPPSALA LÄN</t>
        </is>
      </c>
      <c r="G120" t="inlineStr">
        <is>
          <t>HEBY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66519-2021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44519</v>
      </c>
      <c r="E121" s="1" t="n">
        <v>46254</v>
      </c>
      <c r="F121" t="inlineStr">
        <is>
          <t>UPPSALA LÄN</t>
        </is>
      </c>
      <c r="G121" t="inlineStr">
        <is>
          <t>HEBY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46254</v>
      </c>
      <c r="F122" t="inlineStr">
        <is>
          <t>UPPSALA LÄN</t>
        </is>
      </c>
      <c r="G122" t="inlineStr">
        <is>
          <t>HEBY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46651-2022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44850</v>
      </c>
      <c r="E123" s="1" t="n">
        <v>46254</v>
      </c>
      <c r="F123" t="inlineStr">
        <is>
          <t>UPPSALA LÄN</t>
        </is>
      </c>
      <c r="G123" t="inlineStr">
        <is>
          <t>HEBY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8762-2022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46254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46254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46254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66818-2021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44522</v>
      </c>
      <c r="E127" s="1" t="n">
        <v>46254</v>
      </c>
      <c r="F127" t="inlineStr">
        <is>
          <t>UPPSALA LÄN</t>
        </is>
      </c>
      <c r="G127" t="inlineStr">
        <is>
          <t>HEBY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44832</v>
      </c>
      <c r="E128" s="1" t="n">
        <v>46254</v>
      </c>
      <c r="F128" t="inlineStr">
        <is>
          <t>UPPSALA LÄN</t>
        </is>
      </c>
      <c r="G128" t="inlineStr">
        <is>
          <t>HEBY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44748</v>
      </c>
      <c r="E129" s="1" t="n">
        <v>46254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50546-2021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44459</v>
      </c>
      <c r="E130" s="1" t="n">
        <v>46254</v>
      </c>
      <c r="F130" t="inlineStr">
        <is>
          <t>UPPSALA LÄN</t>
        </is>
      </c>
      <c r="G130" t="inlineStr">
        <is>
          <t>HEBY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44459</v>
      </c>
      <c r="E131" s="1" t="n">
        <v>46254</v>
      </c>
      <c r="F131" t="inlineStr">
        <is>
          <t>UPPSALA LÄN</t>
        </is>
      </c>
      <c r="G131" t="inlineStr">
        <is>
          <t>HEBY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46254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46254</v>
      </c>
      <c r="F133" t="inlineStr">
        <is>
          <t>UPPSALA LÄN</t>
        </is>
      </c>
      <c r="G133" t="inlineStr">
        <is>
          <t>HEBY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31049-2022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44769</v>
      </c>
      <c r="E134" s="1" t="n">
        <v>46254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14008-2022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44650</v>
      </c>
      <c r="E135" s="1" t="n">
        <v>46254</v>
      </c>
      <c r="F135" t="inlineStr">
        <is>
          <t>UPPSALA LÄN</t>
        </is>
      </c>
      <c r="G135" t="inlineStr">
        <is>
          <t>HEBY</t>
        </is>
      </c>
      <c r="H135" t="inlineStr">
        <is>
          <t>Bergvik skog öst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46254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46254</v>
      </c>
      <c r="F137" t="inlineStr">
        <is>
          <t>UPPSALA LÄN</t>
        </is>
      </c>
      <c r="G137" t="inlineStr">
        <is>
          <t>HEBY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46254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46254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44573</v>
      </c>
      <c r="E140" s="1" t="n">
        <v>46254</v>
      </c>
      <c r="F140" t="inlineStr">
        <is>
          <t>UPPSALA LÄN</t>
        </is>
      </c>
      <c r="G140" t="inlineStr">
        <is>
          <t>HEBY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44753</v>
      </c>
      <c r="E141" s="1" t="n">
        <v>46254</v>
      </c>
      <c r="F141" t="inlineStr">
        <is>
          <t>UPPSALA LÄN</t>
        </is>
      </c>
      <c r="G141" t="inlineStr">
        <is>
          <t>HEBY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46254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46254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46254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44609</v>
      </c>
      <c r="E145" s="1" t="n">
        <v>46254</v>
      </c>
      <c r="F145" t="inlineStr">
        <is>
          <t>UPPSALA LÄN</t>
        </is>
      </c>
      <c r="G145" t="inlineStr">
        <is>
          <t>HEBY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46254</v>
      </c>
      <c r="F146" t="inlineStr">
        <is>
          <t>UPPSALA LÄN</t>
        </is>
      </c>
      <c r="G146" t="inlineStr">
        <is>
          <t>HEBY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73622-2021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44552</v>
      </c>
      <c r="E147" s="1" t="n">
        <v>46254</v>
      </c>
      <c r="F147" t="inlineStr">
        <is>
          <t>UPPSALA LÄN</t>
        </is>
      </c>
      <c r="G147" t="inlineStr">
        <is>
          <t>HEBY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44802</v>
      </c>
      <c r="E148" s="1" t="n">
        <v>46254</v>
      </c>
      <c r="F148" t="inlineStr">
        <is>
          <t>UPPSALA LÄN</t>
        </is>
      </c>
      <c r="G148" t="inlineStr">
        <is>
          <t>HEBY</t>
        </is>
      </c>
      <c r="I148" t="n">
        <v>12.1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45133</v>
      </c>
      <c r="E149" s="1" t="n">
        <v>46254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44732</v>
      </c>
      <c r="E150" s="1" t="n">
        <v>46254</v>
      </c>
      <c r="F150" t="inlineStr">
        <is>
          <t>UPPSALA LÄN</t>
        </is>
      </c>
      <c r="G150" t="inlineStr">
        <is>
          <t>HEBY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45599</v>
      </c>
      <c r="E151" s="1" t="n">
        <v>46254</v>
      </c>
      <c r="F151" t="inlineStr">
        <is>
          <t>UPPSALA LÄN</t>
        </is>
      </c>
      <c r="G151" t="inlineStr">
        <is>
          <t>HEBY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44697</v>
      </c>
      <c r="E152" s="1" t="n">
        <v>46254</v>
      </c>
      <c r="F152" t="inlineStr">
        <is>
          <t>UPPSALA LÄN</t>
        </is>
      </c>
      <c r="G152" t="inlineStr">
        <is>
          <t>HEBY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46647-2022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44849</v>
      </c>
      <c r="E153" s="1" t="n">
        <v>46254</v>
      </c>
      <c r="F153" t="inlineStr">
        <is>
          <t>UPPSALA LÄN</t>
        </is>
      </c>
      <c r="G153" t="inlineStr">
        <is>
          <t>HEBY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46254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45670</v>
      </c>
      <c r="E155" s="1" t="n">
        <v>46254</v>
      </c>
      <c r="F155" t="inlineStr">
        <is>
          <t>UPPSALA LÄN</t>
        </is>
      </c>
      <c r="G155" t="inlineStr">
        <is>
          <t>HEBY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19654-2022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44694</v>
      </c>
      <c r="E156" s="1" t="n">
        <v>46254</v>
      </c>
      <c r="F156" t="inlineStr">
        <is>
          <t>UPPSALA LÄN</t>
        </is>
      </c>
      <c r="G156" t="inlineStr">
        <is>
          <t>HEBY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17407-2023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45035</v>
      </c>
      <c r="E157" s="1" t="n">
        <v>46254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46254</v>
      </c>
      <c r="F158" t="inlineStr">
        <is>
          <t>UPPSALA LÄN</t>
        </is>
      </c>
      <c r="G158" t="inlineStr">
        <is>
          <t>HEBY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46254</v>
      </c>
      <c r="F159" t="inlineStr">
        <is>
          <t>UPPSALA LÄN</t>
        </is>
      </c>
      <c r="G159" t="inlineStr">
        <is>
          <t>HEBY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46254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18056-2025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46254</v>
      </c>
      <c r="F161" t="inlineStr">
        <is>
          <t>UPPSALA LÄN</t>
        </is>
      </c>
      <c r="G161" t="inlineStr">
        <is>
          <t>HEBY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45313-2022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46254</v>
      </c>
      <c r="F162" t="inlineStr">
        <is>
          <t>UPPSALA LÄN</t>
        </is>
      </c>
      <c r="G162" t="inlineStr">
        <is>
          <t>HEBY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46254</v>
      </c>
      <c r="F163" t="inlineStr">
        <is>
          <t>UPPSALA LÄN</t>
        </is>
      </c>
      <c r="G163" t="inlineStr">
        <is>
          <t>HEBY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70976-2021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44538</v>
      </c>
      <c r="E164" s="1" t="n">
        <v>46254</v>
      </c>
      <c r="F164" t="inlineStr">
        <is>
          <t>UPPSALA LÄN</t>
        </is>
      </c>
      <c r="G164" t="inlineStr">
        <is>
          <t>HEBY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45688</v>
      </c>
      <c r="E165" s="1" t="n">
        <v>46254</v>
      </c>
      <c r="F165" t="inlineStr">
        <is>
          <t>UPPSALA LÄN</t>
        </is>
      </c>
      <c r="G165" t="inlineStr">
        <is>
          <t>HEBY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46254</v>
      </c>
      <c r="F166" t="inlineStr">
        <is>
          <t>UPPSALA LÄN</t>
        </is>
      </c>
      <c r="G166" t="inlineStr">
        <is>
          <t>HEBY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72180-2021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44543</v>
      </c>
      <c r="E167" s="1" t="n">
        <v>46254</v>
      </c>
      <c r="F167" t="inlineStr">
        <is>
          <t>UPPSALA LÄN</t>
        </is>
      </c>
      <c r="G167" t="inlineStr">
        <is>
          <t>HEBY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33379-2022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46254</v>
      </c>
      <c r="F168" t="inlineStr">
        <is>
          <t>UPPSALA LÄN</t>
        </is>
      </c>
      <c r="G168" t="inlineStr">
        <is>
          <t>HEBY</t>
        </is>
      </c>
      <c r="I168" t="n">
        <v>18.8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37782-2022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44810</v>
      </c>
      <c r="E169" s="1" t="n">
        <v>46254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45331</v>
      </c>
      <c r="E170" s="1" t="n">
        <v>46254</v>
      </c>
      <c r="F170" t="inlineStr">
        <is>
          <t>UPPSALA LÄN</t>
        </is>
      </c>
      <c r="G170" t="inlineStr">
        <is>
          <t>HEBY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44684</v>
      </c>
      <c r="E171" s="1" t="n">
        <v>46254</v>
      </c>
      <c r="F171" t="inlineStr">
        <is>
          <t>UPPSALA LÄN</t>
        </is>
      </c>
      <c r="G171" t="inlineStr">
        <is>
          <t>HEBY</t>
        </is>
      </c>
      <c r="H171" t="inlineStr">
        <is>
          <t>Bergvik skog väst AB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18148-2022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44684</v>
      </c>
      <c r="E172" s="1" t="n">
        <v>46254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41.8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46254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44734</v>
      </c>
      <c r="E174" s="1" t="n">
        <v>46254</v>
      </c>
      <c r="F174" t="inlineStr">
        <is>
          <t>UPPSALA LÄN</t>
        </is>
      </c>
      <c r="G174" t="inlineStr">
        <is>
          <t>HEBY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46254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56302-2021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46254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46254</v>
      </c>
      <c r="F177" t="inlineStr">
        <is>
          <t>UPPSALA LÄN</t>
        </is>
      </c>
      <c r="G177" t="inlineStr">
        <is>
          <t>HEBY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50859-2022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44862</v>
      </c>
      <c r="E178" s="1" t="n">
        <v>46254</v>
      </c>
      <c r="F178" t="inlineStr">
        <is>
          <t>UPPSALA LÄN</t>
        </is>
      </c>
      <c r="G178" t="inlineStr">
        <is>
          <t>HEBY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60722-2022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44913</v>
      </c>
      <c r="E179" s="1" t="n">
        <v>46254</v>
      </c>
      <c r="F179" t="inlineStr">
        <is>
          <t>UPPSALA LÄN</t>
        </is>
      </c>
      <c r="G179" t="inlineStr">
        <is>
          <t>HEBY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45439</v>
      </c>
      <c r="E180" s="1" t="n">
        <v>46254</v>
      </c>
      <c r="F180" t="inlineStr">
        <is>
          <t>UPPSALA LÄN</t>
        </is>
      </c>
      <c r="G180" t="inlineStr">
        <is>
          <t>HEBY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45293</v>
      </c>
      <c r="E181" s="1" t="n">
        <v>46254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45519</v>
      </c>
      <c r="E182" s="1" t="n">
        <v>46254</v>
      </c>
      <c r="F182" t="inlineStr">
        <is>
          <t>UPPSALA LÄN</t>
        </is>
      </c>
      <c r="G182" t="inlineStr">
        <is>
          <t>HEBY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46254</v>
      </c>
      <c r="F183" t="inlineStr">
        <is>
          <t>UPPSALA LÄN</t>
        </is>
      </c>
      <c r="G183" t="inlineStr">
        <is>
          <t>HEBY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46254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44574</v>
      </c>
      <c r="E185" s="1" t="n">
        <v>46254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46254</v>
      </c>
      <c r="F186" t="inlineStr">
        <is>
          <t>UPPSALA LÄN</t>
        </is>
      </c>
      <c r="G186" t="inlineStr">
        <is>
          <t>HEBY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45279</v>
      </c>
      <c r="E187" s="1" t="n">
        <v>46254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44886</v>
      </c>
      <c r="E188" s="1" t="n">
        <v>46254</v>
      </c>
      <c r="F188" t="inlineStr">
        <is>
          <t>UPPSALA LÄN</t>
        </is>
      </c>
      <c r="G188" t="inlineStr">
        <is>
          <t>HEBY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46254</v>
      </c>
      <c r="F189" t="inlineStr">
        <is>
          <t>UPPSALA LÄN</t>
        </is>
      </c>
      <c r="G189" t="inlineStr">
        <is>
          <t>HEBY</t>
        </is>
      </c>
      <c r="H189" t="inlineStr">
        <is>
          <t>Övriga Aktiebolag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45058</v>
      </c>
      <c r="E190" s="1" t="n">
        <v>46254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45453</v>
      </c>
      <c r="E191" s="1" t="n">
        <v>46254</v>
      </c>
      <c r="F191" t="inlineStr">
        <is>
          <t>UPPSALA LÄN</t>
        </is>
      </c>
      <c r="G191" t="inlineStr">
        <is>
          <t>HEBY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43179-2021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44431</v>
      </c>
      <c r="E192" s="1" t="n">
        <v>46254</v>
      </c>
      <c r="F192" t="inlineStr">
        <is>
          <t>UPPSALA LÄN</t>
        </is>
      </c>
      <c r="G192" t="inlineStr">
        <is>
          <t>HEBY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46254</v>
      </c>
      <c r="F193" t="inlineStr">
        <is>
          <t>UPPSALA LÄN</t>
        </is>
      </c>
      <c r="G193" t="inlineStr">
        <is>
          <t>HEBY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46254</v>
      </c>
      <c r="F194" t="inlineStr">
        <is>
          <t>UPPSALA LÄN</t>
        </is>
      </c>
      <c r="G194" t="inlineStr">
        <is>
          <t>HEBY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45502</v>
      </c>
      <c r="E195" s="1" t="n">
        <v>46254</v>
      </c>
      <c r="F195" t="inlineStr">
        <is>
          <t>UPPSALA LÄN</t>
        </is>
      </c>
      <c r="G195" t="inlineStr">
        <is>
          <t>HEBY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8181-2022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44609</v>
      </c>
      <c r="E196" s="1" t="n">
        <v>46254</v>
      </c>
      <c r="F196" t="inlineStr">
        <is>
          <t>UPPSALA LÄN</t>
        </is>
      </c>
      <c r="G196" t="inlineStr">
        <is>
          <t>HEBY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45006</v>
      </c>
      <c r="E197" s="1" t="n">
        <v>46254</v>
      </c>
      <c r="F197" t="inlineStr">
        <is>
          <t>UPPSALA LÄN</t>
        </is>
      </c>
      <c r="G197" t="inlineStr">
        <is>
          <t>HEBY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46254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44914</v>
      </c>
      <c r="E199" s="1" t="n">
        <v>46254</v>
      </c>
      <c r="F199" t="inlineStr">
        <is>
          <t>UPPSALA LÄN</t>
        </is>
      </c>
      <c r="G199" t="inlineStr">
        <is>
          <t>HEBY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44781</v>
      </c>
      <c r="E200" s="1" t="n">
        <v>46254</v>
      </c>
      <c r="F200" t="inlineStr">
        <is>
          <t>UPPSALA LÄN</t>
        </is>
      </c>
      <c r="G200" t="inlineStr">
        <is>
          <t>HEBY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51091-2023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45218</v>
      </c>
      <c r="E201" s="1" t="n">
        <v>46254</v>
      </c>
      <c r="F201" t="inlineStr">
        <is>
          <t>UPPSALA LÄN</t>
        </is>
      </c>
      <c r="G201" t="inlineStr">
        <is>
          <t>HEBY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46254</v>
      </c>
      <c r="F202" t="inlineStr">
        <is>
          <t>UPPSALA LÄN</t>
        </is>
      </c>
      <c r="G202" t="inlineStr">
        <is>
          <t>HEBY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46254</v>
      </c>
      <c r="F203" t="inlineStr">
        <is>
          <t>UPPSALA LÄN</t>
        </is>
      </c>
      <c r="G203" t="inlineStr">
        <is>
          <t>HEBY</t>
        </is>
      </c>
      <c r="H203" t="inlineStr">
        <is>
          <t>Allmännings- och besparingsskogar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44623</v>
      </c>
      <c r="E204" s="1" t="n">
        <v>46254</v>
      </c>
      <c r="F204" t="inlineStr">
        <is>
          <t>UPPSALA LÄN</t>
        </is>
      </c>
      <c r="G204" t="inlineStr">
        <is>
          <t>HEBY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6523-2022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46254</v>
      </c>
      <c r="F205" t="inlineStr">
        <is>
          <t>UPPSALA LÄN</t>
        </is>
      </c>
      <c r="G205" t="inlineStr">
        <is>
          <t>HEBY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44614</v>
      </c>
      <c r="E206" s="1" t="n">
        <v>46254</v>
      </c>
      <c r="F206" t="inlineStr">
        <is>
          <t>UPPSALA LÄN</t>
        </is>
      </c>
      <c r="G206" t="inlineStr">
        <is>
          <t>HEBY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45339</v>
      </c>
      <c r="E207" s="1" t="n">
        <v>46254</v>
      </c>
      <c r="F207" t="inlineStr">
        <is>
          <t>UPPSALA LÄN</t>
        </is>
      </c>
      <c r="G207" t="inlineStr">
        <is>
          <t>HEBY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46254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45331</v>
      </c>
      <c r="E209" s="1" t="n">
        <v>46254</v>
      </c>
      <c r="F209" t="inlineStr">
        <is>
          <t>UPPSALA LÄN</t>
        </is>
      </c>
      <c r="G209" t="inlineStr">
        <is>
          <t>HEBY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45317</v>
      </c>
      <c r="E210" s="1" t="n">
        <v>46254</v>
      </c>
      <c r="F210" t="inlineStr">
        <is>
          <t>UPPSALA LÄN</t>
        </is>
      </c>
      <c r="G210" t="inlineStr">
        <is>
          <t>HEBY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54594-2024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45617</v>
      </c>
      <c r="E211" s="1" t="n">
        <v>46254</v>
      </c>
      <c r="F211" t="inlineStr">
        <is>
          <t>UPPSALA LÄN</t>
        </is>
      </c>
      <c r="G211" t="inlineStr">
        <is>
          <t>HEBY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46254</v>
      </c>
      <c r="F212" t="inlineStr">
        <is>
          <t>UPPSALA LÄN</t>
        </is>
      </c>
      <c r="G212" t="inlineStr">
        <is>
          <t>HEBY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33381-2024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46254</v>
      </c>
      <c r="F213" t="inlineStr">
        <is>
          <t>UPPSALA LÄN</t>
        </is>
      </c>
      <c r="G213" t="inlineStr">
        <is>
          <t>HEBY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45586</v>
      </c>
      <c r="E214" s="1" t="n">
        <v>46254</v>
      </c>
      <c r="F214" t="inlineStr">
        <is>
          <t>UPPSALA LÄN</t>
        </is>
      </c>
      <c r="G214" t="inlineStr">
        <is>
          <t>HEBY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44701</v>
      </c>
      <c r="E215" s="1" t="n">
        <v>46254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46254</v>
      </c>
      <c r="F216" t="inlineStr">
        <is>
          <t>UPPSALA LÄN</t>
        </is>
      </c>
      <c r="G216" t="inlineStr">
        <is>
          <t>HEBY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45119</v>
      </c>
      <c r="E217" s="1" t="n">
        <v>46254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66.90000000000001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45132</v>
      </c>
      <c r="E218" s="1" t="n">
        <v>46254</v>
      </c>
      <c r="F218" t="inlineStr">
        <is>
          <t>UPPSALA LÄN</t>
        </is>
      </c>
      <c r="G218" t="inlineStr">
        <is>
          <t>HEBY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6885-2024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45342</v>
      </c>
      <c r="E219" s="1" t="n">
        <v>46254</v>
      </c>
      <c r="F219" t="inlineStr">
        <is>
          <t>UPPSALA LÄN</t>
        </is>
      </c>
      <c r="G219" t="inlineStr">
        <is>
          <t>HEBY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45607</v>
      </c>
      <c r="E220" s="1" t="n">
        <v>46254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46254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46254</v>
      </c>
      <c r="F222" t="inlineStr">
        <is>
          <t>UPPSALA LÄN</t>
        </is>
      </c>
      <c r="G222" t="inlineStr">
        <is>
          <t>HEBY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50802-2025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45946</v>
      </c>
      <c r="E223" s="1" t="n">
        <v>46254</v>
      </c>
      <c r="F223" t="inlineStr">
        <is>
          <t>UPPSALA LÄN</t>
        </is>
      </c>
      <c r="G223" t="inlineStr">
        <is>
          <t>HEBY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45674</v>
      </c>
      <c r="E224" s="1" t="n">
        <v>46254</v>
      </c>
      <c r="F224" t="inlineStr">
        <is>
          <t>UPPSALA LÄN</t>
        </is>
      </c>
      <c r="G224" t="inlineStr">
        <is>
          <t>HEBY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45889</v>
      </c>
      <c r="E225" s="1" t="n">
        <v>46254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16847-2024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46254</v>
      </c>
      <c r="F226" t="inlineStr">
        <is>
          <t>UPPSALA LÄN</t>
        </is>
      </c>
      <c r="G226" t="inlineStr">
        <is>
          <t>HEBY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46254</v>
      </c>
      <c r="F227" t="inlineStr">
        <is>
          <t>UPPSALA LÄN</t>
        </is>
      </c>
      <c r="G227" t="inlineStr">
        <is>
          <t>HEBY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70158-2021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44533</v>
      </c>
      <c r="E228" s="1" t="n">
        <v>46254</v>
      </c>
      <c r="F228" t="inlineStr">
        <is>
          <t>UPPSALA LÄN</t>
        </is>
      </c>
      <c r="G228" t="inlineStr">
        <is>
          <t>HEBY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46254</v>
      </c>
      <c r="F229" t="inlineStr">
        <is>
          <t>UPPSALA LÄN</t>
        </is>
      </c>
      <c r="G229" t="inlineStr">
        <is>
          <t>HEBY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46254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öst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45891</v>
      </c>
      <c r="E231" s="1" t="n">
        <v>46254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19990-2022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44697</v>
      </c>
      <c r="E232" s="1" t="n">
        <v>46254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14.3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45895</v>
      </c>
      <c r="E233" s="1" t="n">
        <v>46254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öst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46254</v>
      </c>
      <c r="F234" t="inlineStr">
        <is>
          <t>UPPSALA LÄN</t>
        </is>
      </c>
      <c r="G234" t="inlineStr">
        <is>
          <t>HEBY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44701</v>
      </c>
      <c r="E235" s="1" t="n">
        <v>46254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46254</v>
      </c>
      <c r="F236" t="inlineStr">
        <is>
          <t>UPPSALA LÄN</t>
        </is>
      </c>
      <c r="G236" t="inlineStr">
        <is>
          <t>HEBY</t>
        </is>
      </c>
      <c r="H236" t="inlineStr">
        <is>
          <t>Kyrkan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46254</v>
      </c>
      <c r="F237" t="inlineStr">
        <is>
          <t>UPPSALA LÄN</t>
        </is>
      </c>
      <c r="G237" t="inlineStr">
        <is>
          <t>HEBY</t>
        </is>
      </c>
      <c r="H237" t="inlineStr">
        <is>
          <t>Övriga Aktiebolag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13593-2023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46254</v>
      </c>
      <c r="F238" t="inlineStr">
        <is>
          <t>UPPSALA LÄN</t>
        </is>
      </c>
      <c r="G238" t="inlineStr">
        <is>
          <t>HEBY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20719-2026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46254</v>
      </c>
      <c r="F239" t="inlineStr">
        <is>
          <t>UPPSALA LÄN</t>
        </is>
      </c>
      <c r="G239" t="inlineStr">
        <is>
          <t>HEBY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20459-2026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46254</v>
      </c>
      <c r="F240" t="inlineStr">
        <is>
          <t>UPPSALA LÄN</t>
        </is>
      </c>
      <c r="G240" t="inlineStr">
        <is>
          <t>HEBY</t>
        </is>
      </c>
      <c r="H240" t="inlineStr">
        <is>
          <t>Övriga Aktiebolag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46254</v>
      </c>
      <c r="F241" t="inlineStr">
        <is>
          <t>UPPSALA LÄN</t>
        </is>
      </c>
      <c r="G241" t="inlineStr">
        <is>
          <t>HEBY</t>
        </is>
      </c>
      <c r="H241" t="inlineStr">
        <is>
          <t>Övriga Aktiebolag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45308</v>
      </c>
      <c r="E242" s="1" t="n">
        <v>46254</v>
      </c>
      <c r="F242" t="inlineStr">
        <is>
          <t>UPPSALA LÄN</t>
        </is>
      </c>
      <c r="G242" t="inlineStr">
        <is>
          <t>HEBY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45805</v>
      </c>
      <c r="E243" s="1" t="n">
        <v>46254</v>
      </c>
      <c r="F243" t="inlineStr">
        <is>
          <t>UPPSALA LÄN</t>
        </is>
      </c>
      <c r="G243" t="inlineStr">
        <is>
          <t>HEBY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46254</v>
      </c>
      <c r="F244" t="inlineStr">
        <is>
          <t>UPPSALA LÄN</t>
        </is>
      </c>
      <c r="G244" t="inlineStr">
        <is>
          <t>HEBY</t>
        </is>
      </c>
      <c r="H244" t="inlineStr">
        <is>
          <t>Kyrkan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46254</v>
      </c>
      <c r="F245" t="inlineStr">
        <is>
          <t>UPPSALA LÄN</t>
        </is>
      </c>
      <c r="G245" t="inlineStr">
        <is>
          <t>HEBY</t>
        </is>
      </c>
      <c r="I245" t="n">
        <v>14.8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46254</v>
      </c>
      <c r="F246" t="inlineStr">
        <is>
          <t>UPPSALA LÄN</t>
        </is>
      </c>
      <c r="G246" t="inlineStr">
        <is>
          <t>HEBY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41246-2025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46254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46254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46254</v>
      </c>
      <c r="F249" t="inlineStr">
        <is>
          <t>UPPSALA LÄN</t>
        </is>
      </c>
      <c r="G249" t="inlineStr">
        <is>
          <t>HEBY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44568</v>
      </c>
      <c r="E250" s="1" t="n">
        <v>46254</v>
      </c>
      <c r="F250" t="inlineStr">
        <is>
          <t>UPPSALA LÄN</t>
        </is>
      </c>
      <c r="G250" t="inlineStr">
        <is>
          <t>HEBY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46254</v>
      </c>
      <c r="F251" t="inlineStr">
        <is>
          <t>UPPSALA LÄN</t>
        </is>
      </c>
      <c r="G251" t="inlineStr">
        <is>
          <t>HEBY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46254</v>
      </c>
      <c r="F252" t="inlineStr">
        <is>
          <t>UPPSALA LÄN</t>
        </is>
      </c>
      <c r="G252" t="inlineStr">
        <is>
          <t>HEBY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46149</v>
      </c>
      <c r="E253" s="1" t="n">
        <v>46254</v>
      </c>
      <c r="F253" t="inlineStr">
        <is>
          <t>UPPSALA LÄN</t>
        </is>
      </c>
      <c r="G253" t="inlineStr">
        <is>
          <t>HEBY</t>
        </is>
      </c>
      <c r="H253" t="inlineStr">
        <is>
          <t>Allmännings- och besparingsskogar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45321</v>
      </c>
      <c r="E254" s="1" t="n">
        <v>46254</v>
      </c>
      <c r="F254" t="inlineStr">
        <is>
          <t>UPPSALA LÄN</t>
        </is>
      </c>
      <c r="G254" t="inlineStr">
        <is>
          <t>HEBY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44734</v>
      </c>
      <c r="E255" s="1" t="n">
        <v>46254</v>
      </c>
      <c r="F255" t="inlineStr">
        <is>
          <t>UPPSALA LÄN</t>
        </is>
      </c>
      <c r="G255" t="inlineStr">
        <is>
          <t>HEBY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45805</v>
      </c>
      <c r="E256" s="1" t="n">
        <v>46254</v>
      </c>
      <c r="F256" t="inlineStr">
        <is>
          <t>UPPSALA LÄN</t>
        </is>
      </c>
      <c r="G256" t="inlineStr">
        <is>
          <t>HEBY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45364</v>
      </c>
      <c r="E257" s="1" t="n">
        <v>46254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19559-2025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45770</v>
      </c>
      <c r="E258" s="1" t="n">
        <v>46254</v>
      </c>
      <c r="F258" t="inlineStr">
        <is>
          <t>UPPSALA LÄN</t>
        </is>
      </c>
      <c r="G258" t="inlineStr">
        <is>
          <t>HEBY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46254</v>
      </c>
      <c r="F259" t="inlineStr">
        <is>
          <t>UPPSALA LÄN</t>
        </is>
      </c>
      <c r="G259" t="inlineStr">
        <is>
          <t>HEBY</t>
        </is>
      </c>
      <c r="H259" t="inlineStr">
        <is>
          <t>Övriga Aktiebolag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56352-2021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44480</v>
      </c>
      <c r="E260" s="1" t="n">
        <v>46254</v>
      </c>
      <c r="F260" t="inlineStr">
        <is>
          <t>UPPSALA LÄN</t>
        </is>
      </c>
      <c r="G260" t="inlineStr">
        <is>
          <t>HEBY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46254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46254</v>
      </c>
      <c r="F262" t="inlineStr">
        <is>
          <t>UPPSALA LÄN</t>
        </is>
      </c>
      <c r="G262" t="inlineStr">
        <is>
          <t>HEBY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46254</v>
      </c>
      <c r="F263" t="inlineStr">
        <is>
          <t>UPPSALA LÄN</t>
        </is>
      </c>
      <c r="G263" t="inlineStr">
        <is>
          <t>HEBY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46160</v>
      </c>
      <c r="E264" s="1" t="n">
        <v>46254</v>
      </c>
      <c r="F264" t="inlineStr">
        <is>
          <t>UPPSALA LÄN</t>
        </is>
      </c>
      <c r="G264" t="inlineStr">
        <is>
          <t>HEBY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45351</v>
      </c>
      <c r="E265" s="1" t="n">
        <v>46254</v>
      </c>
      <c r="F265" t="inlineStr">
        <is>
          <t>UPPSALA LÄN</t>
        </is>
      </c>
      <c r="G265" t="inlineStr">
        <is>
          <t>HEBY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46254</v>
      </c>
      <c r="F266" t="inlineStr">
        <is>
          <t>UPPSALA LÄN</t>
        </is>
      </c>
      <c r="G266" t="inlineStr">
        <is>
          <t>HEBY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43855-2025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45912</v>
      </c>
      <c r="E267" s="1" t="n">
        <v>46254</v>
      </c>
      <c r="F267" t="inlineStr">
        <is>
          <t>UPPSALA LÄN</t>
        </is>
      </c>
      <c r="G267" t="inlineStr">
        <is>
          <t>HEBY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45294</v>
      </c>
      <c r="E268" s="1" t="n">
        <v>46254</v>
      </c>
      <c r="F268" t="inlineStr">
        <is>
          <t>UPPSALA LÄN</t>
        </is>
      </c>
      <c r="G268" t="inlineStr">
        <is>
          <t>HEBY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46254</v>
      </c>
      <c r="F269" t="inlineStr">
        <is>
          <t>UPPSALA LÄN</t>
        </is>
      </c>
      <c r="G269" t="inlineStr">
        <is>
          <t>HEBY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29536-2023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45106</v>
      </c>
      <c r="E270" s="1" t="n">
        <v>46254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46254</v>
      </c>
      <c r="F271" t="inlineStr">
        <is>
          <t>UPPSALA LÄN</t>
        </is>
      </c>
      <c r="G271" t="inlineStr">
        <is>
          <t>HEBY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19721-2022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44694</v>
      </c>
      <c r="E272" s="1" t="n">
        <v>46254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45092</v>
      </c>
      <c r="E273" s="1" t="n">
        <v>46254</v>
      </c>
      <c r="F273" t="inlineStr">
        <is>
          <t>UPPSALA LÄN</t>
        </is>
      </c>
      <c r="G273" t="inlineStr">
        <is>
          <t>HEBY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48956-2023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45209</v>
      </c>
      <c r="E274" s="1" t="n">
        <v>46254</v>
      </c>
      <c r="F274" t="inlineStr">
        <is>
          <t>UPPSALA LÄN</t>
        </is>
      </c>
      <c r="G274" t="inlineStr">
        <is>
          <t>HEBY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46430-2023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46254</v>
      </c>
      <c r="F275" t="inlineStr">
        <is>
          <t>UPPSALA LÄN</t>
        </is>
      </c>
      <c r="G275" t="inlineStr">
        <is>
          <t>HEBY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46164</v>
      </c>
      <c r="E276" s="1" t="n">
        <v>46254</v>
      </c>
      <c r="F276" t="inlineStr">
        <is>
          <t>UPPSALA LÄN</t>
        </is>
      </c>
      <c r="G276" t="inlineStr">
        <is>
          <t>HEBY</t>
        </is>
      </c>
      <c r="H276" t="inlineStr">
        <is>
          <t>Bergvik skog väst AB</t>
        </is>
      </c>
      <c r="I276" t="n">
        <v>35.2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46254</v>
      </c>
      <c r="F277" t="inlineStr">
        <is>
          <t>UPPSALA LÄN</t>
        </is>
      </c>
      <c r="G277" t="inlineStr">
        <is>
          <t>HEBY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45175</v>
      </c>
      <c r="E278" s="1" t="n">
        <v>46254</v>
      </c>
      <c r="F278" t="inlineStr">
        <is>
          <t>UPPSALA LÄN</t>
        </is>
      </c>
      <c r="G278" t="inlineStr">
        <is>
          <t>HEBY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46037</v>
      </c>
      <c r="E279" s="1" t="n">
        <v>46254</v>
      </c>
      <c r="F279" t="inlineStr">
        <is>
          <t>UPPSALA LÄN</t>
        </is>
      </c>
      <c r="G279" t="inlineStr">
        <is>
          <t>HEBY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46169</v>
      </c>
      <c r="E280" s="1" t="n">
        <v>46254</v>
      </c>
      <c r="F280" t="inlineStr">
        <is>
          <t>UPPSALA LÄN</t>
        </is>
      </c>
      <c r="G280" t="inlineStr">
        <is>
          <t>HEBY</t>
        </is>
      </c>
      <c r="I280" t="n">
        <v>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45922</v>
      </c>
      <c r="E281" s="1" t="n">
        <v>46254</v>
      </c>
      <c r="F281" t="inlineStr">
        <is>
          <t>UPPSALA LÄN</t>
        </is>
      </c>
      <c r="G281" t="inlineStr">
        <is>
          <t>HEBY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46254</v>
      </c>
      <c r="F282" t="inlineStr">
        <is>
          <t>UPPSALA LÄN</t>
        </is>
      </c>
      <c r="G282" t="inlineStr">
        <is>
          <t>HEBY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46254</v>
      </c>
      <c r="F283" t="inlineStr">
        <is>
          <t>UPPSALA LÄN</t>
        </is>
      </c>
      <c r="G283" t="inlineStr">
        <is>
          <t>HEBY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24212-2026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46254</v>
      </c>
      <c r="F284" t="inlineStr">
        <is>
          <t>UPPSALA LÄN</t>
        </is>
      </c>
      <c r="G284" t="inlineStr">
        <is>
          <t>HEBY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45922</v>
      </c>
      <c r="E285" s="1" t="n">
        <v>46254</v>
      </c>
      <c r="F285" t="inlineStr">
        <is>
          <t>UPPSALA LÄN</t>
        </is>
      </c>
      <c r="G285" t="inlineStr">
        <is>
          <t>HEBY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45440-2025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45922</v>
      </c>
      <c r="E286" s="1" t="n">
        <v>46254</v>
      </c>
      <c r="F286" t="inlineStr">
        <is>
          <t>UPPSALA LÄN</t>
        </is>
      </c>
      <c r="G286" t="inlineStr">
        <is>
          <t>HEBY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24991-2026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46254</v>
      </c>
      <c r="F287" t="inlineStr">
        <is>
          <t>UPPSALA LÄN</t>
        </is>
      </c>
      <c r="G287" t="inlineStr">
        <is>
          <t>HEBY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24963-2026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46254</v>
      </c>
      <c r="F288" t="inlineStr">
        <is>
          <t>UPPSALA LÄN</t>
        </is>
      </c>
      <c r="G288" t="inlineStr">
        <is>
          <t>HEBY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46254</v>
      </c>
      <c r="F289" t="inlineStr">
        <is>
          <t>UPPSALA LÄN</t>
        </is>
      </c>
      <c r="G289" t="inlineStr">
        <is>
          <t>HEBY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58332-2023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45250</v>
      </c>
      <c r="E290" s="1" t="n">
        <v>46254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69377-2021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44531</v>
      </c>
      <c r="E291" s="1" t="n">
        <v>46254</v>
      </c>
      <c r="F291" t="inlineStr">
        <is>
          <t>UPPSALA LÄN</t>
        </is>
      </c>
      <c r="G291" t="inlineStr">
        <is>
          <t>HEBY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64364-2021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46254</v>
      </c>
      <c r="F292" t="inlineStr">
        <is>
          <t>UPPSALA LÄN</t>
        </is>
      </c>
      <c r="G292" t="inlineStr">
        <is>
          <t>HEBY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45551</v>
      </c>
      <c r="E293" s="1" t="n">
        <v>46254</v>
      </c>
      <c r="F293" t="inlineStr">
        <is>
          <t>UPPSALA LÄN</t>
        </is>
      </c>
      <c r="G293" t="inlineStr">
        <is>
          <t>HEBY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45029</v>
      </c>
      <c r="E294" s="1" t="n">
        <v>46254</v>
      </c>
      <c r="F294" t="inlineStr">
        <is>
          <t>UPPSALA LÄN</t>
        </is>
      </c>
      <c r="G294" t="inlineStr">
        <is>
          <t>HEBY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45406</v>
      </c>
      <c r="E295" s="1" t="n">
        <v>46254</v>
      </c>
      <c r="F295" t="inlineStr">
        <is>
          <t>UPPSALA LÄN</t>
        </is>
      </c>
      <c r="G295" t="inlineStr">
        <is>
          <t>HEBY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45599</v>
      </c>
      <c r="E296" s="1" t="n">
        <v>46254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46254</v>
      </c>
      <c r="F297" t="inlineStr">
        <is>
          <t>UPPSALA LÄN</t>
        </is>
      </c>
      <c r="G297" t="inlineStr">
        <is>
          <t>HEBY</t>
        </is>
      </c>
      <c r="I297" t="n">
        <v>10.6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46254</v>
      </c>
      <c r="F298" t="inlineStr">
        <is>
          <t>UPPSALA LÄN</t>
        </is>
      </c>
      <c r="G298" t="inlineStr">
        <is>
          <t>HEBY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46254</v>
      </c>
      <c r="F299" t="inlineStr">
        <is>
          <t>UPPSALA LÄN</t>
        </is>
      </c>
      <c r="G299" t="inlineStr">
        <is>
          <t>HEBY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47506-2025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45930</v>
      </c>
      <c r="E300" s="1" t="n">
        <v>46254</v>
      </c>
      <c r="F300" t="inlineStr">
        <is>
          <t>UPPSALA LÄN</t>
        </is>
      </c>
      <c r="G300" t="inlineStr">
        <is>
          <t>HEBY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47846-2025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45932</v>
      </c>
      <c r="E301" s="1" t="n">
        <v>46254</v>
      </c>
      <c r="F301" t="inlineStr">
        <is>
          <t>UPPSALA LÄN</t>
        </is>
      </c>
      <c r="G301" t="inlineStr">
        <is>
          <t>HEBY</t>
        </is>
      </c>
      <c r="H301" t="inlineStr">
        <is>
          <t>Allmännings- och besparingsskogar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31561-2026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46223</v>
      </c>
      <c r="E302" s="1" t="n">
        <v>46254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väst AB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46224</v>
      </c>
      <c r="E303" s="1" t="n">
        <v>46254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31560-2026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46223</v>
      </c>
      <c r="E304" s="1" t="n">
        <v>46254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33385-2023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45128</v>
      </c>
      <c r="E305" s="1" t="n">
        <v>46254</v>
      </c>
      <c r="F305" t="inlineStr">
        <is>
          <t>UPPSALA LÄN</t>
        </is>
      </c>
      <c r="G305" t="inlineStr">
        <is>
          <t>HEBY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13243-2022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44644</v>
      </c>
      <c r="E306" s="1" t="n">
        <v>46254</v>
      </c>
      <c r="F306" t="inlineStr">
        <is>
          <t>UPPSALA LÄN</t>
        </is>
      </c>
      <c r="G306" t="inlineStr">
        <is>
          <t>HEBY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44942</v>
      </c>
      <c r="E307" s="1" t="n">
        <v>46254</v>
      </c>
      <c r="F307" t="inlineStr">
        <is>
          <t>UPPSALA LÄN</t>
        </is>
      </c>
      <c r="G307" t="inlineStr">
        <is>
          <t>HEBY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45013</v>
      </c>
      <c r="E308" s="1" t="n">
        <v>46254</v>
      </c>
      <c r="F308" t="inlineStr">
        <is>
          <t>UPPSALA LÄN</t>
        </is>
      </c>
      <c r="G308" t="inlineStr">
        <is>
          <t>HEBY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46231</v>
      </c>
      <c r="E309" s="1" t="n">
        <v>46254</v>
      </c>
      <c r="F309" t="inlineStr">
        <is>
          <t>UPPSALA LÄN</t>
        </is>
      </c>
      <c r="G309" t="inlineStr">
        <is>
          <t>HEBY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45092</v>
      </c>
      <c r="E310" s="1" t="n">
        <v>46254</v>
      </c>
      <c r="F310" t="inlineStr">
        <is>
          <t>UPPSALA LÄN</t>
        </is>
      </c>
      <c r="G310" t="inlineStr">
        <is>
          <t>HEBY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46254</v>
      </c>
      <c r="F311" t="inlineStr">
        <is>
          <t>UPPSALA LÄN</t>
        </is>
      </c>
      <c r="G311" t="inlineStr">
        <is>
          <t>HEBY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50255-2025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45944</v>
      </c>
      <c r="E312" s="1" t="n">
        <v>46254</v>
      </c>
      <c r="F312" t="inlineStr">
        <is>
          <t>UPPSALA LÄN</t>
        </is>
      </c>
      <c r="G312" t="inlineStr">
        <is>
          <t>HEBY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46231</v>
      </c>
      <c r="E313" s="1" t="n">
        <v>46254</v>
      </c>
      <c r="F313" t="inlineStr">
        <is>
          <t>UPPSALA LÄN</t>
        </is>
      </c>
      <c r="G313" t="inlineStr">
        <is>
          <t>HEBY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44659</v>
      </c>
      <c r="E314" s="1" t="n">
        <v>46254</v>
      </c>
      <c r="F314" t="inlineStr">
        <is>
          <t>UPPSALA LÄN</t>
        </is>
      </c>
      <c r="G314" t="inlineStr">
        <is>
          <t>HEBY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44694</v>
      </c>
      <c r="E315" s="1" t="n">
        <v>46254</v>
      </c>
      <c r="F315" t="inlineStr">
        <is>
          <t>UPPSALA LÄN</t>
        </is>
      </c>
      <c r="G315" t="inlineStr">
        <is>
          <t>HEBY</t>
        </is>
      </c>
      <c r="I315" t="n">
        <v>22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50657-2025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45945</v>
      </c>
      <c r="E316" s="1" t="n">
        <v>46254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32292-2026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46237</v>
      </c>
      <c r="E317" s="1" t="n">
        <v>46254</v>
      </c>
      <c r="F317" t="inlineStr">
        <is>
          <t>UPPSALA LÄN</t>
        </is>
      </c>
      <c r="G317" t="inlineStr">
        <is>
          <t>HEBY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32290-2026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46237</v>
      </c>
      <c r="E318" s="1" t="n">
        <v>46254</v>
      </c>
      <c r="F318" t="inlineStr">
        <is>
          <t>UPPSALA LÄN</t>
        </is>
      </c>
      <c r="G318" t="inlineStr">
        <is>
          <t>HEBY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45639</v>
      </c>
      <c r="E319" s="1" t="n">
        <v>46254</v>
      </c>
      <c r="F319" t="inlineStr">
        <is>
          <t>UPPSALA LÄN</t>
        </is>
      </c>
      <c r="G319" t="inlineStr">
        <is>
          <t>HEBY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45950</v>
      </c>
      <c r="E320" s="1" t="n">
        <v>46254</v>
      </c>
      <c r="F320" t="inlineStr">
        <is>
          <t>UPPSALA LÄN</t>
        </is>
      </c>
      <c r="G320" t="inlineStr">
        <is>
          <t>HEBY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45337</v>
      </c>
      <c r="E321" s="1" t="n">
        <v>46254</v>
      </c>
      <c r="F321" t="inlineStr">
        <is>
          <t>UPPSALA LÄN</t>
        </is>
      </c>
      <c r="G321" t="inlineStr">
        <is>
          <t>HEBY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45589</v>
      </c>
      <c r="E322" s="1" t="n">
        <v>46254</v>
      </c>
      <c r="F322" t="inlineStr">
        <is>
          <t>UPPSALA LÄN</t>
        </is>
      </c>
      <c r="G322" t="inlineStr">
        <is>
          <t>HEBY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46238</v>
      </c>
      <c r="E323" s="1" t="n">
        <v>46254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46254</v>
      </c>
      <c r="F324" t="inlineStr">
        <is>
          <t>UPPSALA LÄN</t>
        </is>
      </c>
      <c r="G324" t="inlineStr">
        <is>
          <t>HEBY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46254</v>
      </c>
      <c r="F325" t="inlineStr">
        <is>
          <t>UPPSALA LÄN</t>
        </is>
      </c>
      <c r="G325" t="inlineStr">
        <is>
          <t>HEBY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46254</v>
      </c>
      <c r="F326" t="inlineStr">
        <is>
          <t>UPPSALA LÄN</t>
        </is>
      </c>
      <c r="G326" t="inlineStr">
        <is>
          <t>HEBY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42731-2023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45181</v>
      </c>
      <c r="E327" s="1" t="n">
        <v>46254</v>
      </c>
      <c r="F327" t="inlineStr">
        <is>
          <t>UPPSALA LÄN</t>
        </is>
      </c>
      <c r="G327" t="inlineStr">
        <is>
          <t>HEBY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45062</v>
      </c>
      <c r="E328" s="1" t="n">
        <v>46254</v>
      </c>
      <c r="F328" t="inlineStr">
        <is>
          <t>UPPSALA LÄN</t>
        </is>
      </c>
      <c r="G328" t="inlineStr">
        <is>
          <t>HEBY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46254</v>
      </c>
      <c r="F329" t="inlineStr">
        <is>
          <t>UPPSALA LÄN</t>
        </is>
      </c>
      <c r="G329" t="inlineStr">
        <is>
          <t>HEBY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53186-2025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45958</v>
      </c>
      <c r="E330" s="1" t="n">
        <v>46254</v>
      </c>
      <c r="F330" t="inlineStr">
        <is>
          <t>UPPSALA LÄN</t>
        </is>
      </c>
      <c r="G330" t="inlineStr">
        <is>
          <t>HEBY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46254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34140-2023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45135</v>
      </c>
      <c r="E332" s="1" t="n">
        <v>46254</v>
      </c>
      <c r="F332" t="inlineStr">
        <is>
          <t>UPPSALA LÄN</t>
        </is>
      </c>
      <c r="G332" t="inlineStr">
        <is>
          <t>HEBY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46254</v>
      </c>
      <c r="F333" t="inlineStr">
        <is>
          <t>UPPSALA LÄN</t>
        </is>
      </c>
      <c r="G333" t="inlineStr">
        <is>
          <t>HEBY</t>
        </is>
      </c>
      <c r="H333" t="inlineStr">
        <is>
          <t>Bergvik skog väst AB</t>
        </is>
      </c>
      <c r="I333" t="n">
        <v>46.8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45364</v>
      </c>
      <c r="E334" s="1" t="n">
        <v>46254</v>
      </c>
      <c r="F334" t="inlineStr">
        <is>
          <t>UPPSALA LÄN</t>
        </is>
      </c>
      <c r="G334" t="inlineStr">
        <is>
          <t>HEBY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55018-2025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45967</v>
      </c>
      <c r="E335" s="1" t="n">
        <v>46254</v>
      </c>
      <c r="F335" t="inlineStr">
        <is>
          <t>UPPSALA LÄN</t>
        </is>
      </c>
      <c r="G335" t="inlineStr">
        <is>
          <t>HEBY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46254</v>
      </c>
      <c r="F336" t="inlineStr">
        <is>
          <t>UPPSALA LÄN</t>
        </is>
      </c>
      <c r="G336" t="inlineStr">
        <is>
          <t>HEBY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46237</v>
      </c>
      <c r="E337" s="1" t="n">
        <v>46254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43957-2021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44434</v>
      </c>
      <c r="E338" s="1" t="n">
        <v>46254</v>
      </c>
      <c r="F338" t="inlineStr">
        <is>
          <t>UPPSALA LÄN</t>
        </is>
      </c>
      <c r="G338" t="inlineStr">
        <is>
          <t>HEBY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54635-2025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46254</v>
      </c>
      <c r="F339" t="inlineStr">
        <is>
          <t>UPPSALA LÄN</t>
        </is>
      </c>
      <c r="G339" t="inlineStr">
        <is>
          <t>HEBY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9623-2026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46254</v>
      </c>
      <c r="F340" t="inlineStr">
        <is>
          <t>UPPSALA LÄN</t>
        </is>
      </c>
      <c r="G340" t="inlineStr">
        <is>
          <t>HEBY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64899-2021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44512</v>
      </c>
      <c r="E341" s="1" t="n">
        <v>46254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7.6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46863-2025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45929</v>
      </c>
      <c r="E342" s="1" t="n">
        <v>46254</v>
      </c>
      <c r="F342" t="inlineStr">
        <is>
          <t>UPPSALA LÄN</t>
        </is>
      </c>
      <c r="G342" t="inlineStr">
        <is>
          <t>HEBY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46254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55488-2025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45971</v>
      </c>
      <c r="E344" s="1" t="n">
        <v>46254</v>
      </c>
      <c r="F344" t="inlineStr">
        <is>
          <t>UPPSALA LÄN</t>
        </is>
      </c>
      <c r="G344" t="inlineStr">
        <is>
          <t>HEBY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55496-2025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45971</v>
      </c>
      <c r="E345" s="1" t="n">
        <v>46254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46254</v>
      </c>
      <c r="F346" t="inlineStr">
        <is>
          <t>UPPSALA LÄN</t>
        </is>
      </c>
      <c r="G346" t="inlineStr">
        <is>
          <t>HEBY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35865-2022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44802</v>
      </c>
      <c r="E347" s="1" t="n">
        <v>46254</v>
      </c>
      <c r="F347" t="inlineStr">
        <is>
          <t>UPPSALA LÄN</t>
        </is>
      </c>
      <c r="G347" t="inlineStr">
        <is>
          <t>HEBY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44802</v>
      </c>
      <c r="E348" s="1" t="n">
        <v>46254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44734</v>
      </c>
      <c r="E349" s="1" t="n">
        <v>46254</v>
      </c>
      <c r="F349" t="inlineStr">
        <is>
          <t>UPPSALA LÄN</t>
        </is>
      </c>
      <c r="G349" t="inlineStr">
        <is>
          <t>HEBY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66055-2021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44517</v>
      </c>
      <c r="E350" s="1" t="n">
        <v>46254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öst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32347-2026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46238</v>
      </c>
      <c r="E351" s="1" t="n">
        <v>46254</v>
      </c>
      <c r="F351" t="inlineStr">
        <is>
          <t>UPPSALA LÄN</t>
        </is>
      </c>
      <c r="G351" t="inlineStr">
        <is>
          <t>HEBY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74215-2021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44558</v>
      </c>
      <c r="E352" s="1" t="n">
        <v>46254</v>
      </c>
      <c r="F352" t="inlineStr">
        <is>
          <t>UPPSALA LÄN</t>
        </is>
      </c>
      <c r="G352" t="inlineStr">
        <is>
          <t>HEBY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46220</v>
      </c>
      <c r="E353" s="1" t="n">
        <v>46254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55.9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45250</v>
      </c>
      <c r="E354" s="1" t="n">
        <v>46254</v>
      </c>
      <c r="F354" t="inlineStr">
        <is>
          <t>UPPSALA LÄN</t>
        </is>
      </c>
      <c r="G354" t="inlineStr">
        <is>
          <t>HEBY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56623-2023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46254</v>
      </c>
      <c r="F355" t="inlineStr">
        <is>
          <t>UPPSALA LÄN</t>
        </is>
      </c>
      <c r="G355" t="inlineStr">
        <is>
          <t>HEBY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44791</v>
      </c>
      <c r="E356" s="1" t="n">
        <v>46254</v>
      </c>
      <c r="F356" t="inlineStr">
        <is>
          <t>UPPSALA LÄN</t>
        </is>
      </c>
      <c r="G356" t="inlineStr">
        <is>
          <t>HEBY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46254</v>
      </c>
      <c r="F357" t="inlineStr">
        <is>
          <t>UPPSALA LÄN</t>
        </is>
      </c>
      <c r="G357" t="inlineStr">
        <is>
          <t>HEBY</t>
        </is>
      </c>
      <c r="H357" t="inlineStr">
        <is>
          <t>Kyrkan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44945</v>
      </c>
      <c r="E358" s="1" t="n">
        <v>46254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46254</v>
      </c>
      <c r="F359" t="inlineStr">
        <is>
          <t>UPPSALA LÄN</t>
        </is>
      </c>
      <c r="G359" t="inlineStr">
        <is>
          <t>HEBY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57397-2025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45980</v>
      </c>
      <c r="E360" s="1" t="n">
        <v>46254</v>
      </c>
      <c r="F360" t="inlineStr">
        <is>
          <t>UPPSALA LÄN</t>
        </is>
      </c>
      <c r="G360" t="inlineStr">
        <is>
          <t>HEBY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46205</v>
      </c>
      <c r="E361" s="1" t="n">
        <v>46254</v>
      </c>
      <c r="F361" t="inlineStr">
        <is>
          <t>UPPSALA LÄN</t>
        </is>
      </c>
      <c r="G361" t="inlineStr">
        <is>
          <t>HEBY</t>
        </is>
      </c>
      <c r="H361" t="inlineStr">
        <is>
          <t>Kyrkan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57403-2025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46254</v>
      </c>
      <c r="F362" t="inlineStr">
        <is>
          <t>UPPSALA LÄN</t>
        </is>
      </c>
      <c r="G362" t="inlineStr">
        <is>
          <t>HEBY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46254</v>
      </c>
      <c r="F363" t="inlineStr">
        <is>
          <t>UPPSALA LÄN</t>
        </is>
      </c>
      <c r="G363" t="inlineStr">
        <is>
          <t>HEBY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46254</v>
      </c>
      <c r="F364" t="inlineStr">
        <is>
          <t>UPPSALA LÄN</t>
        </is>
      </c>
      <c r="G364" t="inlineStr">
        <is>
          <t>HEBY</t>
        </is>
      </c>
      <c r="H364" t="inlineStr">
        <is>
          <t>Allmännings- och besparingsskogar</t>
        </is>
      </c>
      <c r="I364" t="n">
        <v>10.4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31560-2023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45117</v>
      </c>
      <c r="E365" s="1" t="n">
        <v>46254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8051-2023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44974</v>
      </c>
      <c r="E366" s="1" t="n">
        <v>46254</v>
      </c>
      <c r="F366" t="inlineStr">
        <is>
          <t>UPPSALA LÄN</t>
        </is>
      </c>
      <c r="G366" t="inlineStr">
        <is>
          <t>HEBY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46252</v>
      </c>
      <c r="E367" s="1" t="n">
        <v>46254</v>
      </c>
      <c r="F367" t="inlineStr">
        <is>
          <t>UPPSALA LÄN</t>
        </is>
      </c>
      <c r="G367" t="inlineStr">
        <is>
          <t>HEBY</t>
        </is>
      </c>
      <c r="H367" t="inlineStr">
        <is>
          <t>Kyrkan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46254</v>
      </c>
      <c r="F368" t="inlineStr">
        <is>
          <t>UPPSALA LÄN</t>
        </is>
      </c>
      <c r="G368" t="inlineStr">
        <is>
          <t>HEBY</t>
        </is>
      </c>
      <c r="H368" t="inlineStr">
        <is>
          <t>Övriga Aktiebolag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45132</v>
      </c>
      <c r="E369" s="1" t="n">
        <v>46254</v>
      </c>
      <c r="F369" t="inlineStr">
        <is>
          <t>UPPSALA LÄN</t>
        </is>
      </c>
      <c r="G369" t="inlineStr">
        <is>
          <t>HEBY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45132</v>
      </c>
      <c r="E370" s="1" t="n">
        <v>46254</v>
      </c>
      <c r="F370" t="inlineStr">
        <is>
          <t>UPPSALA LÄN</t>
        </is>
      </c>
      <c r="G370" t="inlineStr">
        <is>
          <t>HEBY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45132</v>
      </c>
      <c r="E371" s="1" t="n">
        <v>46254</v>
      </c>
      <c r="F371" t="inlineStr">
        <is>
          <t>UPPSALA LÄN</t>
        </is>
      </c>
      <c r="G371" t="inlineStr">
        <is>
          <t>HEBY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19764-2023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45050</v>
      </c>
      <c r="E372" s="1" t="n">
        <v>46254</v>
      </c>
      <c r="F372" t="inlineStr">
        <is>
          <t>UPPSALA LÄN</t>
        </is>
      </c>
      <c r="G372" t="inlineStr">
        <is>
          <t>HEBY</t>
        </is>
      </c>
      <c r="H372" t="inlineStr">
        <is>
          <t>Bergvik skog väst AB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46254</v>
      </c>
      <c r="F373" t="inlineStr">
        <is>
          <t>UPPSALA LÄN</t>
        </is>
      </c>
      <c r="G373" t="inlineStr">
        <is>
          <t>HEBY</t>
        </is>
      </c>
      <c r="H373" t="inlineStr">
        <is>
          <t>Bergvik skog väst AB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44944</v>
      </c>
      <c r="E374" s="1" t="n">
        <v>46254</v>
      </c>
      <c r="F374" t="inlineStr">
        <is>
          <t>UPPSALA LÄN</t>
        </is>
      </c>
      <c r="G374" t="inlineStr">
        <is>
          <t>HEBY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42859-2024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46254</v>
      </c>
      <c r="F375" t="inlineStr">
        <is>
          <t>UPPSALA LÄN</t>
        </is>
      </c>
      <c r="G375" t="inlineStr">
        <is>
          <t>HEBY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46254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öst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45951</v>
      </c>
      <c r="E377" s="1" t="n">
        <v>46254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öst AB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45030</v>
      </c>
      <c r="E378" s="1" t="n">
        <v>46254</v>
      </c>
      <c r="F378" t="inlineStr">
        <is>
          <t>UPPSALA LÄN</t>
        </is>
      </c>
      <c r="G378" t="inlineStr">
        <is>
          <t>HEBY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45006</v>
      </c>
      <c r="E379" s="1" t="n">
        <v>46254</v>
      </c>
      <c r="F379" t="inlineStr">
        <is>
          <t>UPPSALA LÄN</t>
        </is>
      </c>
      <c r="G379" t="inlineStr">
        <is>
          <t>HEBY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59837-2025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46254</v>
      </c>
      <c r="F380" t="inlineStr">
        <is>
          <t>UPPSALA LÄN</t>
        </is>
      </c>
      <c r="G380" t="inlineStr">
        <is>
          <t>HEBY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45117</v>
      </c>
      <c r="E381" s="1" t="n">
        <v>46254</v>
      </c>
      <c r="F381" t="inlineStr">
        <is>
          <t>UPPSALA LÄN</t>
        </is>
      </c>
      <c r="G381" t="inlineStr">
        <is>
          <t>HEBY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46254</v>
      </c>
      <c r="F382" t="inlineStr">
        <is>
          <t>UPPSALA LÄN</t>
        </is>
      </c>
      <c r="G382" t="inlineStr">
        <is>
          <t>HEBY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45821-2023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45195</v>
      </c>
      <c r="E383" s="1" t="n">
        <v>46254</v>
      </c>
      <c r="F383" t="inlineStr">
        <is>
          <t>UPPSALA LÄN</t>
        </is>
      </c>
      <c r="G383" t="inlineStr">
        <is>
          <t>HEBY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34593-2023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45138</v>
      </c>
      <c r="E384" s="1" t="n">
        <v>46254</v>
      </c>
      <c r="F384" t="inlineStr">
        <is>
          <t>UPPSALA LÄN</t>
        </is>
      </c>
      <c r="G384" t="inlineStr">
        <is>
          <t>HEBY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45166</v>
      </c>
      <c r="E385" s="1" t="n">
        <v>46254</v>
      </c>
      <c r="F385" t="inlineStr">
        <is>
          <t>UPPSALA LÄN</t>
        </is>
      </c>
      <c r="G385" t="inlineStr">
        <is>
          <t>HEBY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46254</v>
      </c>
      <c r="F386" t="inlineStr">
        <is>
          <t>UPPSALA LÄN</t>
        </is>
      </c>
      <c r="G386" t="inlineStr">
        <is>
          <t>HEBY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44464-2021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44435</v>
      </c>
      <c r="E387" s="1" t="n">
        <v>46254</v>
      </c>
      <c r="F387" t="inlineStr">
        <is>
          <t>UPPSALA LÄN</t>
        </is>
      </c>
      <c r="G387" t="inlineStr">
        <is>
          <t>HEBY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46254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46254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61886-2025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46254</v>
      </c>
      <c r="F390" t="inlineStr">
        <is>
          <t>UPPSALA LÄN</t>
        </is>
      </c>
      <c r="G390" t="inlineStr">
        <is>
          <t>HEBY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50281-2023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45216</v>
      </c>
      <c r="E391" s="1" t="n">
        <v>46254</v>
      </c>
      <c r="F391" t="inlineStr">
        <is>
          <t>UPPSALA LÄN</t>
        </is>
      </c>
      <c r="G391" t="inlineStr">
        <is>
          <t>HEBY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62042-2025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46005</v>
      </c>
      <c r="E392" s="1" t="n">
        <v>46254</v>
      </c>
      <c r="F392" t="inlineStr">
        <is>
          <t>UPPSALA LÄN</t>
        </is>
      </c>
      <c r="G392" t="inlineStr">
        <is>
          <t>HEBY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62475-2025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46254</v>
      </c>
      <c r="F393" t="inlineStr">
        <is>
          <t>UPPSALA LÄN</t>
        </is>
      </c>
      <c r="G393" t="inlineStr">
        <is>
          <t>HEBY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31143-2023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46254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väst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11835-2024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45376</v>
      </c>
      <c r="E395" s="1" t="n">
        <v>46254</v>
      </c>
      <c r="F395" t="inlineStr">
        <is>
          <t>UPPSALA LÄN</t>
        </is>
      </c>
      <c r="G395" t="inlineStr">
        <is>
          <t>HEBY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45083</v>
      </c>
      <c r="E396" s="1" t="n">
        <v>46254</v>
      </c>
      <c r="F396" t="inlineStr">
        <is>
          <t>UPPSALA LÄN</t>
        </is>
      </c>
      <c r="G396" t="inlineStr">
        <is>
          <t>HEBY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44944</v>
      </c>
      <c r="E397" s="1" t="n">
        <v>46254</v>
      </c>
      <c r="F397" t="inlineStr">
        <is>
          <t>UPPSALA LÄN</t>
        </is>
      </c>
      <c r="G397" t="inlineStr">
        <is>
          <t>HEBY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46023</v>
      </c>
      <c r="E398" s="1" t="n">
        <v>46254</v>
      </c>
      <c r="F398" t="inlineStr">
        <is>
          <t>UPPSALA LÄN</t>
        </is>
      </c>
      <c r="G398" t="inlineStr">
        <is>
          <t>HEBY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12489-2024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45379</v>
      </c>
      <c r="E399" s="1" t="n">
        <v>46254</v>
      </c>
      <c r="F399" t="inlineStr">
        <is>
          <t>UPPSALA LÄN</t>
        </is>
      </c>
      <c r="G399" t="inlineStr">
        <is>
          <t>HEBY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44574</v>
      </c>
      <c r="E400" s="1" t="n">
        <v>46254</v>
      </c>
      <c r="F400" t="inlineStr">
        <is>
          <t>UPPSALA LÄN</t>
        </is>
      </c>
      <c r="G400" t="inlineStr">
        <is>
          <t>HEBY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46254</v>
      </c>
      <c r="F401" t="inlineStr">
        <is>
          <t>UPPSALA LÄN</t>
        </is>
      </c>
      <c r="G401" t="inlineStr">
        <is>
          <t>HEBY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3641-2022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44586</v>
      </c>
      <c r="E402" s="1" t="n">
        <v>46254</v>
      </c>
      <c r="F402" t="inlineStr">
        <is>
          <t>UPPSALA LÄN</t>
        </is>
      </c>
      <c r="G402" t="inlineStr">
        <is>
          <t>HEBY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59486-2021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44491</v>
      </c>
      <c r="E403" s="1" t="n">
        <v>46254</v>
      </c>
      <c r="F403" t="inlineStr">
        <is>
          <t>UPPSALA LÄN</t>
        </is>
      </c>
      <c r="G403" t="inlineStr">
        <is>
          <t>HEBY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60461-2022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44911</v>
      </c>
      <c r="E404" s="1" t="n">
        <v>46254</v>
      </c>
      <c r="F404" t="inlineStr">
        <is>
          <t>UPPSALA LÄN</t>
        </is>
      </c>
      <c r="G404" t="inlineStr">
        <is>
          <t>HEBY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3368-2024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45317</v>
      </c>
      <c r="E405" s="1" t="n">
        <v>46254</v>
      </c>
      <c r="F405" t="inlineStr">
        <is>
          <t>UPPSALA LÄN</t>
        </is>
      </c>
      <c r="G405" t="inlineStr">
        <is>
          <t>HEBY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44979</v>
      </c>
      <c r="E406" s="1" t="n">
        <v>46254</v>
      </c>
      <c r="F406" t="inlineStr">
        <is>
          <t>UPPSALA LÄN</t>
        </is>
      </c>
      <c r="G406" t="inlineStr">
        <is>
          <t>HEBY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27879-2023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46254</v>
      </c>
      <c r="F407" t="inlineStr">
        <is>
          <t>UPPSALA LÄN</t>
        </is>
      </c>
      <c r="G407" t="inlineStr">
        <is>
          <t>HEBY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56884-2022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44888</v>
      </c>
      <c r="E408" s="1" t="n">
        <v>46254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8783-2023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44978</v>
      </c>
      <c r="E409" s="1" t="n">
        <v>46254</v>
      </c>
      <c r="F409" t="inlineStr">
        <is>
          <t>UPPSALA LÄN</t>
        </is>
      </c>
      <c r="G409" t="inlineStr">
        <is>
          <t>HEBY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45294</v>
      </c>
      <c r="E410" s="1" t="n">
        <v>46254</v>
      </c>
      <c r="F410" t="inlineStr">
        <is>
          <t>UPPSALA LÄN</t>
        </is>
      </c>
      <c r="G410" t="inlineStr">
        <is>
          <t>HEBY</t>
        </is>
      </c>
      <c r="H410" t="inlineStr">
        <is>
          <t>Kommuner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46254</v>
      </c>
      <c r="F411" t="inlineStr">
        <is>
          <t>UPPSALA LÄN</t>
        </is>
      </c>
      <c r="G411" t="inlineStr">
        <is>
          <t>HEBY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46254</v>
      </c>
      <c r="F412" t="inlineStr">
        <is>
          <t>UPPSALA LÄN</t>
        </is>
      </c>
      <c r="G412" t="inlineStr">
        <is>
          <t>HEBY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45726</v>
      </c>
      <c r="E413" s="1" t="n">
        <v>46254</v>
      </c>
      <c r="F413" t="inlineStr">
        <is>
          <t>UPPSALA LÄN</t>
        </is>
      </c>
      <c r="G413" t="inlineStr">
        <is>
          <t>HEBY</t>
        </is>
      </c>
      <c r="I413" t="n">
        <v>6.8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45532</v>
      </c>
      <c r="E414" s="1" t="n">
        <v>46254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46254</v>
      </c>
      <c r="F415" t="inlineStr">
        <is>
          <t>UPPSALA LÄN</t>
        </is>
      </c>
      <c r="G415" t="inlineStr">
        <is>
          <t>HEBY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46254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46254</v>
      </c>
      <c r="F417" t="inlineStr">
        <is>
          <t>UPPSALA LÄN</t>
        </is>
      </c>
      <c r="G417" t="inlineStr">
        <is>
          <t>HEBY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46254</v>
      </c>
      <c r="F418" t="inlineStr">
        <is>
          <t>UPPSALA LÄN</t>
        </is>
      </c>
      <c r="G418" t="inlineStr">
        <is>
          <t>HEBY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44943</v>
      </c>
      <c r="E419" s="1" t="n">
        <v>46254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44943</v>
      </c>
      <c r="E420" s="1" t="n">
        <v>46254</v>
      </c>
      <c r="F420" t="inlineStr">
        <is>
          <t>UPPSALA LÄN</t>
        </is>
      </c>
      <c r="G420" t="inlineStr">
        <is>
          <t>HEBY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44944</v>
      </c>
      <c r="E421" s="1" t="n">
        <v>46254</v>
      </c>
      <c r="F421" t="inlineStr">
        <is>
          <t>UPPSALA LÄN</t>
        </is>
      </c>
      <c r="G421" t="inlineStr">
        <is>
          <t>HEBY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59207-2023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45252</v>
      </c>
      <c r="E422" s="1" t="n">
        <v>46254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46254</v>
      </c>
      <c r="F423" t="inlineStr">
        <is>
          <t>UPPSALA LÄN</t>
        </is>
      </c>
      <c r="G423" t="inlineStr">
        <is>
          <t>HEBY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46254</v>
      </c>
      <c r="F424" t="inlineStr">
        <is>
          <t>UPPSALA LÄN</t>
        </is>
      </c>
      <c r="G424" t="inlineStr">
        <is>
          <t>HEBY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11555-2026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46084</v>
      </c>
      <c r="E425" s="1" t="n">
        <v>46254</v>
      </c>
      <c r="F425" t="inlineStr">
        <is>
          <t>UPPSALA LÄN</t>
        </is>
      </c>
      <c r="G425" t="inlineStr">
        <is>
          <t>HEBY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46254</v>
      </c>
      <c r="F426" t="inlineStr">
        <is>
          <t>UPPSALA LÄN</t>
        </is>
      </c>
      <c r="G426" t="inlineStr">
        <is>
          <t>HEBY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46056</v>
      </c>
      <c r="E427" s="1" t="n">
        <v>46254</v>
      </c>
      <c r="F427" t="inlineStr">
        <is>
          <t>UPPSALA LÄN</t>
        </is>
      </c>
      <c r="G427" t="inlineStr">
        <is>
          <t>HEBY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46057</v>
      </c>
      <c r="E428" s="1" t="n">
        <v>46254</v>
      </c>
      <c r="F428" t="inlineStr">
        <is>
          <t>UPPSALA LÄN</t>
        </is>
      </c>
      <c r="G428" t="inlineStr">
        <is>
          <t>HEBY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46057</v>
      </c>
      <c r="E429" s="1" t="n">
        <v>46254</v>
      </c>
      <c r="F429" t="inlineStr">
        <is>
          <t>UPPSALA LÄN</t>
        </is>
      </c>
      <c r="G429" t="inlineStr">
        <is>
          <t>HEBY</t>
        </is>
      </c>
      <c r="H429" t="inlineStr">
        <is>
          <t>Kommuner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46058</v>
      </c>
      <c r="E430" s="1" t="n">
        <v>46254</v>
      </c>
      <c r="F430" t="inlineStr">
        <is>
          <t>UPPSALA LÄN</t>
        </is>
      </c>
      <c r="G430" t="inlineStr">
        <is>
          <t>HEBY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60295-2021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44495</v>
      </c>
      <c r="E431" s="1" t="n">
        <v>46254</v>
      </c>
      <c r="F431" t="inlineStr">
        <is>
          <t>UPPSALA LÄN</t>
        </is>
      </c>
      <c r="G431" t="inlineStr">
        <is>
          <t>HEBY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62145-2022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44914</v>
      </c>
      <c r="E432" s="1" t="n">
        <v>46254</v>
      </c>
      <c r="F432" t="inlineStr">
        <is>
          <t>UPPSALA LÄN</t>
        </is>
      </c>
      <c r="G432" t="inlineStr">
        <is>
          <t>HEBY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46254</v>
      </c>
      <c r="F433" t="inlineStr">
        <is>
          <t>UPPSALA LÄN</t>
        </is>
      </c>
      <c r="G433" t="inlineStr">
        <is>
          <t>HEBY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8046-2023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46254</v>
      </c>
      <c r="F434" t="inlineStr">
        <is>
          <t>UPPSALA LÄN</t>
        </is>
      </c>
      <c r="G434" t="inlineStr">
        <is>
          <t>HEBY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46254</v>
      </c>
      <c r="F435" t="inlineStr">
        <is>
          <t>UPPSALA LÄN</t>
        </is>
      </c>
      <c r="G435" t="inlineStr">
        <is>
          <t>HEBY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46254</v>
      </c>
      <c r="F436" t="inlineStr">
        <is>
          <t>UPPSALA LÄN</t>
        </is>
      </c>
      <c r="G436" t="inlineStr">
        <is>
          <t>HEBY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40924-2023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46254</v>
      </c>
      <c r="F437" t="inlineStr">
        <is>
          <t>UPPSALA LÄN</t>
        </is>
      </c>
      <c r="G437" t="inlineStr">
        <is>
          <t>HEBY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40926-2023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45173</v>
      </c>
      <c r="E438" s="1" t="n">
        <v>46254</v>
      </c>
      <c r="F438" t="inlineStr">
        <is>
          <t>UPPSALA LÄN</t>
        </is>
      </c>
      <c r="G438" t="inlineStr">
        <is>
          <t>HEBY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7986-2026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46254</v>
      </c>
      <c r="F439" t="inlineStr">
        <is>
          <t>UPPSALA LÄN</t>
        </is>
      </c>
      <c r="G439" t="inlineStr">
        <is>
          <t>HEBY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8003-2026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46063</v>
      </c>
      <c r="E440" s="1" t="n">
        <v>46254</v>
      </c>
      <c r="F440" t="inlineStr">
        <is>
          <t>UPPSALA LÄN</t>
        </is>
      </c>
      <c r="G440" t="inlineStr">
        <is>
          <t>HEBY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44956</v>
      </c>
      <c r="E441" s="1" t="n">
        <v>46254</v>
      </c>
      <c r="F441" t="inlineStr">
        <is>
          <t>UPPSALA LÄN</t>
        </is>
      </c>
      <c r="G441" t="inlineStr">
        <is>
          <t>HEBY</t>
        </is>
      </c>
      <c r="H441" t="inlineStr">
        <is>
          <t>Kyrkan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15427-2025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46254</v>
      </c>
      <c r="F442" t="inlineStr">
        <is>
          <t>UPPSALA LÄN</t>
        </is>
      </c>
      <c r="G442" t="inlineStr">
        <is>
          <t>HEBY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45344</v>
      </c>
      <c r="E443" s="1" t="n">
        <v>46254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29340-2022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44752</v>
      </c>
      <c r="E444" s="1" t="n">
        <v>46254</v>
      </c>
      <c r="F444" t="inlineStr">
        <is>
          <t>UPPSALA LÄN</t>
        </is>
      </c>
      <c r="G444" t="inlineStr">
        <is>
          <t>HEBY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6660-2026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46254</v>
      </c>
      <c r="F445" t="inlineStr">
        <is>
          <t>UPPSALA LÄN</t>
        </is>
      </c>
      <c r="G445" t="inlineStr">
        <is>
          <t>HEBY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5633-2025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45693</v>
      </c>
      <c r="E446" s="1" t="n">
        <v>46254</v>
      </c>
      <c r="F446" t="inlineStr">
        <is>
          <t>UPPSALA LÄN</t>
        </is>
      </c>
      <c r="G446" t="inlineStr">
        <is>
          <t>HEBY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46071</v>
      </c>
      <c r="E447" s="1" t="n">
        <v>46254</v>
      </c>
      <c r="F447" t="inlineStr">
        <is>
          <t>UPPSALA LÄN</t>
        </is>
      </c>
      <c r="G447" t="inlineStr">
        <is>
          <t>HEBY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46254</v>
      </c>
      <c r="F448" t="inlineStr">
        <is>
          <t>UPPSALA LÄN</t>
        </is>
      </c>
      <c r="G448" t="inlineStr">
        <is>
          <t>HEBY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9877-2026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46073</v>
      </c>
      <c r="E449" s="1" t="n">
        <v>46254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46073</v>
      </c>
      <c r="E450" s="1" t="n">
        <v>46254</v>
      </c>
      <c r="F450" t="inlineStr">
        <is>
          <t>UPPSALA LÄN</t>
        </is>
      </c>
      <c r="G450" t="inlineStr">
        <is>
          <t>HEBY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11057-2024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46254</v>
      </c>
      <c r="F451" t="inlineStr">
        <is>
          <t>UPPSALA LÄN</t>
        </is>
      </c>
      <c r="G451" t="inlineStr">
        <is>
          <t>HEBY</t>
        </is>
      </c>
      <c r="H451" t="inlineStr">
        <is>
          <t>Övriga Aktiebolag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46076</v>
      </c>
      <c r="E452" s="1" t="n">
        <v>46254</v>
      </c>
      <c r="F452" t="inlineStr">
        <is>
          <t>UPPSALA LÄN</t>
        </is>
      </c>
      <c r="G452" t="inlineStr">
        <is>
          <t>HEBY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44602</v>
      </c>
      <c r="E453" s="1" t="n">
        <v>46254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46254</v>
      </c>
      <c r="F454" t="inlineStr">
        <is>
          <t>UPPSALA LÄN</t>
        </is>
      </c>
      <c r="G454" t="inlineStr">
        <is>
          <t>HEBY</t>
        </is>
      </c>
      <c r="I454" t="n">
        <v>11.5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19718-2023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45050</v>
      </c>
      <c r="E455" s="1" t="n">
        <v>46254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46254</v>
      </c>
      <c r="F456" t="inlineStr">
        <is>
          <t>UPPSALA LÄN</t>
        </is>
      </c>
      <c r="G456" t="inlineStr">
        <is>
          <t>HEBY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8805-2023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44978</v>
      </c>
      <c r="E457" s="1" t="n">
        <v>46254</v>
      </c>
      <c r="F457" t="inlineStr">
        <is>
          <t>UPPSALA LÄN</t>
        </is>
      </c>
      <c r="G457" t="inlineStr">
        <is>
          <t>HEBY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11056-2026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46254</v>
      </c>
      <c r="F458" t="inlineStr">
        <is>
          <t>UPPSALA LÄN</t>
        </is>
      </c>
      <c r="G458" t="inlineStr">
        <is>
          <t>HEBY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45743</v>
      </c>
      <c r="E459" s="1" t="n">
        <v>46254</v>
      </c>
      <c r="F459" t="inlineStr">
        <is>
          <t>UPPSALA LÄN</t>
        </is>
      </c>
      <c r="G459" t="inlineStr">
        <is>
          <t>HEBY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46254</v>
      </c>
      <c r="F460" t="inlineStr">
        <is>
          <t>UPPSALA LÄN</t>
        </is>
      </c>
      <c r="G460" t="inlineStr">
        <is>
          <t>HEBY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18278-2024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45422</v>
      </c>
      <c r="E461" s="1" t="n">
        <v>46254</v>
      </c>
      <c r="F461" t="inlineStr">
        <is>
          <t>UPPSALA LÄN</t>
        </is>
      </c>
      <c r="G461" t="inlineStr">
        <is>
          <t>HEBY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45099</v>
      </c>
      <c r="E462" s="1" t="n">
        <v>46254</v>
      </c>
      <c r="F462" t="inlineStr">
        <is>
          <t>UPPSALA LÄN</t>
        </is>
      </c>
      <c r="G462" t="inlineStr">
        <is>
          <t>HEBY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45231</v>
      </c>
      <c r="E463" s="1" t="n">
        <v>46254</v>
      </c>
      <c r="F463" t="inlineStr">
        <is>
          <t>UPPSALA LÄN</t>
        </is>
      </c>
      <c r="G463" t="inlineStr">
        <is>
          <t>HEBY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32181-2024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45511</v>
      </c>
      <c r="E464" s="1" t="n">
        <v>46254</v>
      </c>
      <c r="F464" t="inlineStr">
        <is>
          <t>UPPSALA LÄN</t>
        </is>
      </c>
      <c r="G464" t="inlineStr">
        <is>
          <t>HEBY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45058</v>
      </c>
      <c r="E465" s="1" t="n">
        <v>46254</v>
      </c>
      <c r="F465" t="inlineStr">
        <is>
          <t>UPPSALA LÄN</t>
        </is>
      </c>
      <c r="G465" t="inlineStr">
        <is>
          <t>HEBY</t>
        </is>
      </c>
      <c r="H465" t="inlineStr">
        <is>
          <t>Bergvik skog väst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44993</v>
      </c>
      <c r="E466" s="1" t="n">
        <v>46254</v>
      </c>
      <c r="F466" t="inlineStr">
        <is>
          <t>UPPSALA LÄN</t>
        </is>
      </c>
      <c r="G466" t="inlineStr">
        <is>
          <t>HEBY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13302-2026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46254</v>
      </c>
      <c r="F467" t="inlineStr">
        <is>
          <t>UPPSALA LÄN</t>
        </is>
      </c>
      <c r="G467" t="inlineStr">
        <is>
          <t>HEBY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46254</v>
      </c>
      <c r="F468" t="inlineStr">
        <is>
          <t>UPPSALA LÄN</t>
        </is>
      </c>
      <c r="G468" t="inlineStr">
        <is>
          <t>HEBY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46254</v>
      </c>
      <c r="F469" t="inlineStr">
        <is>
          <t>UPPSALA LÄN</t>
        </is>
      </c>
      <c r="G469" t="inlineStr">
        <is>
          <t>HEBY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46254</v>
      </c>
      <c r="F470" t="inlineStr">
        <is>
          <t>UPPSALA LÄN</t>
        </is>
      </c>
      <c r="G470" t="inlineStr">
        <is>
          <t>HEBY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46254</v>
      </c>
      <c r="F471" t="inlineStr">
        <is>
          <t>UPPSALA LÄN</t>
        </is>
      </c>
      <c r="G471" t="inlineStr">
        <is>
          <t>HEBY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44093-2024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45572</v>
      </c>
      <c r="E472" s="1" t="n">
        <v>46254</v>
      </c>
      <c r="F472" t="inlineStr">
        <is>
          <t>UPPSALA LÄN</t>
        </is>
      </c>
      <c r="G472" t="inlineStr">
        <is>
          <t>HEBY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40533-2022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44823</v>
      </c>
      <c r="E473" s="1" t="n">
        <v>46254</v>
      </c>
      <c r="F473" t="inlineStr">
        <is>
          <t>UPPSALA LÄN</t>
        </is>
      </c>
      <c r="G473" t="inlineStr">
        <is>
          <t>HEBY</t>
        </is>
      </c>
      <c r="H473" t="inlineStr">
        <is>
          <t>Övriga Aktiebolag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29387-2022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44753</v>
      </c>
      <c r="E474" s="1" t="n">
        <v>46254</v>
      </c>
      <c r="F474" t="inlineStr">
        <is>
          <t>UPPSALA LÄN</t>
        </is>
      </c>
      <c r="G474" t="inlineStr">
        <is>
          <t>HEBY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45118</v>
      </c>
      <c r="E475" s="1" t="n">
        <v>46254</v>
      </c>
      <c r="F475" t="inlineStr">
        <is>
          <t>UPPSALA LÄN</t>
        </is>
      </c>
      <c r="G475" t="inlineStr">
        <is>
          <t>HEBY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46408-2024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45582</v>
      </c>
      <c r="E476" s="1" t="n">
        <v>46254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46254</v>
      </c>
      <c r="F477" t="inlineStr">
        <is>
          <t>UPPSALA LÄN</t>
        </is>
      </c>
      <c r="G477" t="inlineStr">
        <is>
          <t>HEBY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4213-2023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44951</v>
      </c>
      <c r="E478" s="1" t="n">
        <v>46254</v>
      </c>
      <c r="F478" t="inlineStr">
        <is>
          <t>UPPSALA LÄN</t>
        </is>
      </c>
      <c r="G478" t="inlineStr">
        <is>
          <t>HEBY</t>
        </is>
      </c>
      <c r="I478" t="n">
        <v>11.2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45917-2023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45195</v>
      </c>
      <c r="E479" s="1" t="n">
        <v>46254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46110</v>
      </c>
      <c r="E480" s="1" t="n">
        <v>46254</v>
      </c>
      <c r="F480" t="inlineStr">
        <is>
          <t>UPPSALA LÄN</t>
        </is>
      </c>
      <c r="G480" t="inlineStr">
        <is>
          <t>HEBY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61453-2022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44916</v>
      </c>
      <c r="E481" s="1" t="n">
        <v>46254</v>
      </c>
      <c r="F481" t="inlineStr">
        <is>
          <t>UPPSALA LÄN</t>
        </is>
      </c>
      <c r="G481" t="inlineStr">
        <is>
          <t>HEBY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46254</v>
      </c>
      <c r="F482" t="inlineStr">
        <is>
          <t>UPPSALA LÄN</t>
        </is>
      </c>
      <c r="G482" t="inlineStr">
        <is>
          <t>HEBY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8660-2022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44613</v>
      </c>
      <c r="E483" s="1" t="n">
        <v>46254</v>
      </c>
      <c r="F483" t="inlineStr">
        <is>
          <t>UPPSALA LÄN</t>
        </is>
      </c>
      <c r="G483" t="inlineStr">
        <is>
          <t>HEBY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16515-2026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46254</v>
      </c>
      <c r="F484" t="inlineStr">
        <is>
          <t>UPPSALA LÄN</t>
        </is>
      </c>
      <c r="G484" t="inlineStr">
        <is>
          <t>HEBY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46254</v>
      </c>
      <c r="F485" t="inlineStr">
        <is>
          <t>UPPSALA LÄN</t>
        </is>
      </c>
      <c r="G485" t="inlineStr">
        <is>
          <t>HEBY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46254</v>
      </c>
      <c r="F486" t="inlineStr">
        <is>
          <t>UPPSALA LÄN</t>
        </is>
      </c>
      <c r="G486" t="inlineStr">
        <is>
          <t>HEBY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16506-2026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46112</v>
      </c>
      <c r="E487" s="1" t="n">
        <v>46254</v>
      </c>
      <c r="F487" t="inlineStr">
        <is>
          <t>UPPSALA LÄN</t>
        </is>
      </c>
      <c r="G487" t="inlineStr">
        <is>
          <t>HEBY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46254</v>
      </c>
      <c r="F488" t="inlineStr">
        <is>
          <t>UPPSALA LÄN</t>
        </is>
      </c>
      <c r="G488" t="inlineStr">
        <is>
          <t>HEBY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23065-2023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45075</v>
      </c>
      <c r="E489" s="1" t="n">
        <v>46254</v>
      </c>
      <c r="F489" t="inlineStr">
        <is>
          <t>UPPSALA LÄN</t>
        </is>
      </c>
      <c r="G489" t="inlineStr">
        <is>
          <t>HEBY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52292-2022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44873</v>
      </c>
      <c r="E490" s="1" t="n">
        <v>46254</v>
      </c>
      <c r="F490" t="inlineStr">
        <is>
          <t>UPPSALA LÄN</t>
        </is>
      </c>
      <c r="G490" t="inlineStr">
        <is>
          <t>HEBY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17078-2026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46254</v>
      </c>
      <c r="F491" t="inlineStr">
        <is>
          <t>UPPSALA LÄN</t>
        </is>
      </c>
      <c r="G491" t="inlineStr">
        <is>
          <t>HEBY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41546-2023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45175</v>
      </c>
      <c r="E492" s="1" t="n">
        <v>46254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8881-2025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45713</v>
      </c>
      <c r="E493" s="1" t="n">
        <v>46254</v>
      </c>
      <c r="F493" t="inlineStr">
        <is>
          <t>UPPSALA LÄN</t>
        </is>
      </c>
      <c r="G493" t="inlineStr">
        <is>
          <t>HEBY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46254</v>
      </c>
      <c r="F494" t="inlineStr">
        <is>
          <t>UPPSALA LÄN</t>
        </is>
      </c>
      <c r="G494" t="inlineStr">
        <is>
          <t>HEBY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46254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44981</v>
      </c>
      <c r="E496" s="1" t="n">
        <v>46254</v>
      </c>
      <c r="F496" t="inlineStr">
        <is>
          <t>UPPSALA LÄN</t>
        </is>
      </c>
      <c r="G496" t="inlineStr">
        <is>
          <t>HEBY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31564-2023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45117</v>
      </c>
      <c r="E497" s="1" t="n">
        <v>46254</v>
      </c>
      <c r="F497" t="inlineStr">
        <is>
          <t>UPPSALA LÄN</t>
        </is>
      </c>
      <c r="G497" t="inlineStr">
        <is>
          <t>HEBY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45117</v>
      </c>
      <c r="E498" s="1" t="n">
        <v>46254</v>
      </c>
      <c r="F498" t="inlineStr">
        <is>
          <t>UPPSALA LÄN</t>
        </is>
      </c>
      <c r="G498" t="inlineStr">
        <is>
          <t>HEBY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31567-2023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45117</v>
      </c>
      <c r="E499" s="1" t="n">
        <v>46254</v>
      </c>
      <c r="F499" t="inlineStr">
        <is>
          <t>UPPSALA LÄN</t>
        </is>
      </c>
      <c r="G499" t="inlineStr">
        <is>
          <t>HEBY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45964-2021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44441</v>
      </c>
      <c r="E500" s="1" t="n">
        <v>46254</v>
      </c>
      <c r="F500" t="inlineStr">
        <is>
          <t>UPPSALA LÄN</t>
        </is>
      </c>
      <c r="G500" t="inlineStr">
        <is>
          <t>HEBY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46126</v>
      </c>
      <c r="E501" s="1" t="n">
        <v>46254</v>
      </c>
      <c r="F501" t="inlineStr">
        <is>
          <t>UPPSALA LÄN</t>
        </is>
      </c>
      <c r="G501" t="inlineStr">
        <is>
          <t>HEBY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58914-2023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45250</v>
      </c>
      <c r="E502" s="1" t="n">
        <v>46254</v>
      </c>
      <c r="F502" t="inlineStr">
        <is>
          <t>UPPSALA LÄN</t>
        </is>
      </c>
      <c r="G502" t="inlineStr">
        <is>
          <t>HEBY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62650-2022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44925</v>
      </c>
      <c r="E503" s="1" t="n">
        <v>46254</v>
      </c>
      <c r="F503" t="inlineStr">
        <is>
          <t>UPPSALA LÄN</t>
        </is>
      </c>
      <c r="G503" t="inlineStr">
        <is>
          <t>HEBY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46126</v>
      </c>
      <c r="E504" s="1" t="n">
        <v>46254</v>
      </c>
      <c r="F504" t="inlineStr">
        <is>
          <t>UPPSALA LÄN</t>
        </is>
      </c>
      <c r="G504" t="inlineStr">
        <is>
          <t>HEBY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11573-2025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45727</v>
      </c>
      <c r="E505" s="1" t="n">
        <v>46254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45686</v>
      </c>
      <c r="E506" s="1" t="n">
        <v>46254</v>
      </c>
      <c r="F506" t="inlineStr">
        <is>
          <t>UPPSALA LÄN</t>
        </is>
      </c>
      <c r="G506" t="inlineStr">
        <is>
          <t>HEBY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31139-2023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46254</v>
      </c>
      <c r="F507" t="inlineStr">
        <is>
          <t>UPPSALA LÄN</t>
        </is>
      </c>
      <c r="G507" t="inlineStr">
        <is>
          <t>HEBY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44620</v>
      </c>
      <c r="E508" s="1" t="n">
        <v>46254</v>
      </c>
      <c r="F508" t="inlineStr">
        <is>
          <t>UPPSALA LÄN</t>
        </is>
      </c>
      <c r="G508" t="inlineStr">
        <is>
          <t>HEBY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46127</v>
      </c>
      <c r="E509" s="1" t="n">
        <v>46254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19337-2026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46133</v>
      </c>
      <c r="E510" s="1" t="n">
        <v>46254</v>
      </c>
      <c r="F510" t="inlineStr">
        <is>
          <t>UPPSALA LÄN</t>
        </is>
      </c>
      <c r="G510" t="inlineStr">
        <is>
          <t>HEBY</t>
        </is>
      </c>
      <c r="H510" t="inlineStr">
        <is>
          <t>Kyrkan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46135</v>
      </c>
      <c r="E511" s="1" t="n">
        <v>46254</v>
      </c>
      <c r="F511" t="inlineStr">
        <is>
          <t>UPPSALA LÄN</t>
        </is>
      </c>
      <c r="G511" t="inlineStr">
        <is>
          <t>HEBY</t>
        </is>
      </c>
      <c r="H511" t="inlineStr">
        <is>
          <t>Kyrkan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20066-2026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46254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15424-2025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45747</v>
      </c>
      <c r="E513" s="1" t="n">
        <v>46254</v>
      </c>
      <c r="F513" t="inlineStr">
        <is>
          <t>UPPSALA LÄN</t>
        </is>
      </c>
      <c r="G513" t="inlineStr">
        <is>
          <t>HEBY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42216-2025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45904</v>
      </c>
      <c r="E514" s="1" t="n">
        <v>46254</v>
      </c>
      <c r="F514" t="inlineStr">
        <is>
          <t>UPPSALA LÄN</t>
        </is>
      </c>
      <c r="G514" t="inlineStr">
        <is>
          <t>HEBY</t>
        </is>
      </c>
      <c r="H514" t="inlineStr">
        <is>
          <t>Bergvik skog öst AB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38472-2025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45884</v>
      </c>
      <c r="E515" s="1" t="n">
        <v>46254</v>
      </c>
      <c r="F515" t="inlineStr">
        <is>
          <t>UPPSALA LÄN</t>
        </is>
      </c>
      <c r="G515" t="inlineStr">
        <is>
          <t>HEBY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14437-2024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45394</v>
      </c>
      <c r="E516" s="1" t="n">
        <v>46254</v>
      </c>
      <c r="F516" t="inlineStr">
        <is>
          <t>UPPSALA LÄN</t>
        </is>
      </c>
      <c r="G516" t="inlineStr">
        <is>
          <t>HEBY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47861-2025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45932</v>
      </c>
      <c r="E517" s="1" t="n">
        <v>46254</v>
      </c>
      <c r="F517" t="inlineStr">
        <is>
          <t>UPPSALA LÄN</t>
        </is>
      </c>
      <c r="G517" t="inlineStr">
        <is>
          <t>HEBY</t>
        </is>
      </c>
      <c r="H517" t="inlineStr">
        <is>
          <t>Allmännings- och besparingsskogar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3371-2024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45317</v>
      </c>
      <c r="E518" s="1" t="n">
        <v>46254</v>
      </c>
      <c r="F518" t="inlineStr">
        <is>
          <t>UPPSALA LÄN</t>
        </is>
      </c>
      <c r="G518" t="inlineStr">
        <is>
          <t>HEBY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13213-2022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44644</v>
      </c>
      <c r="E519" s="1" t="n">
        <v>46254</v>
      </c>
      <c r="F519" t="inlineStr">
        <is>
          <t>UPPSALA LÄN</t>
        </is>
      </c>
      <c r="G519" t="inlineStr">
        <is>
          <t>HEBY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8699-2024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45355</v>
      </c>
      <c r="E520" s="1" t="n">
        <v>46254</v>
      </c>
      <c r="F520" t="inlineStr">
        <is>
          <t>UPPSALA LÄN</t>
        </is>
      </c>
      <c r="G520" t="inlineStr">
        <is>
          <t>HEBY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45390</v>
      </c>
      <c r="E521" s="1" t="n">
        <v>46254</v>
      </c>
      <c r="F521" t="inlineStr">
        <is>
          <t>UPPSALA LÄN</t>
        </is>
      </c>
      <c r="G521" t="inlineStr">
        <is>
          <t>HEBY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22333-2025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45786</v>
      </c>
      <c r="E522" s="1" t="n">
        <v>46254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22334-2025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45786</v>
      </c>
      <c r="E523" s="1" t="n">
        <v>46254</v>
      </c>
      <c r="F523" t="inlineStr">
        <is>
          <t>UPPSALA LÄN</t>
        </is>
      </c>
      <c r="G523" t="inlineStr">
        <is>
          <t>HEBY</t>
        </is>
      </c>
      <c r="H523" t="inlineStr">
        <is>
          <t>Kyrkan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45891</v>
      </c>
      <c r="E524" s="1" t="n">
        <v>46254</v>
      </c>
      <c r="F524" t="inlineStr">
        <is>
          <t>UPPSALA LÄN</t>
        </is>
      </c>
      <c r="G524" t="inlineStr">
        <is>
          <t>HEBY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22455-2025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45786</v>
      </c>
      <c r="E525" s="1" t="n">
        <v>46254</v>
      </c>
      <c r="F525" t="inlineStr">
        <is>
          <t>UPPSALA LÄN</t>
        </is>
      </c>
      <c r="G525" t="inlineStr">
        <is>
          <t>HEBY</t>
        </is>
      </c>
      <c r="H525" t="inlineStr">
        <is>
          <t>Kyrkan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46254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50954-2025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45946</v>
      </c>
      <c r="E527" s="1" t="n">
        <v>46254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46254</v>
      </c>
      <c r="F528" t="inlineStr">
        <is>
          <t>UPPSALA LÄN</t>
        </is>
      </c>
      <c r="G528" t="inlineStr">
        <is>
          <t>HEBY</t>
        </is>
      </c>
      <c r="H528" t="inlineStr">
        <is>
          <t>Allmännings- och besparingsskogar</t>
        </is>
      </c>
      <c r="I528" t="n">
        <v>7.4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3234-2023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44946</v>
      </c>
      <c r="E529" s="1" t="n">
        <v>46254</v>
      </c>
      <c r="F529" t="inlineStr">
        <is>
          <t>UPPSALA LÄN</t>
        </is>
      </c>
      <c r="G529" t="inlineStr">
        <is>
          <t>HEBY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45328</v>
      </c>
      <c r="E530" s="1" t="n">
        <v>46254</v>
      </c>
      <c r="F530" t="inlineStr">
        <is>
          <t>UPPSALA LÄN</t>
        </is>
      </c>
      <c r="G530" t="inlineStr">
        <is>
          <t>HEBY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33734-2023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45133</v>
      </c>
      <c r="E531" s="1" t="n">
        <v>46254</v>
      </c>
      <c r="F531" t="inlineStr">
        <is>
          <t>UPPSALA LÄN</t>
        </is>
      </c>
      <c r="G531" t="inlineStr">
        <is>
          <t>HEBY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48948-2023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45209</v>
      </c>
      <c r="E532" s="1" t="n">
        <v>46254</v>
      </c>
      <c r="F532" t="inlineStr">
        <is>
          <t>UPPSALA LÄN</t>
        </is>
      </c>
      <c r="G532" t="inlineStr">
        <is>
          <t>HEBY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45112</v>
      </c>
      <c r="E533" s="1" t="n">
        <v>46254</v>
      </c>
      <c r="F533" t="inlineStr">
        <is>
          <t>UPPSALA LÄN</t>
        </is>
      </c>
      <c r="G533" t="inlineStr">
        <is>
          <t>HEBY</t>
        </is>
      </c>
      <c r="H533" t="inlineStr">
        <is>
          <t>Bergvik skog väst AB</t>
        </is>
      </c>
      <c r="I533" t="n">
        <v>12.3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24381-2025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46254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10.6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41556-2023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45175</v>
      </c>
      <c r="E535" s="1" t="n">
        <v>46254</v>
      </c>
      <c r="F535" t="inlineStr">
        <is>
          <t>UPPSALA LÄN</t>
        </is>
      </c>
      <c r="G535" t="inlineStr">
        <is>
          <t>HEBY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52796-2024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45610</v>
      </c>
      <c r="E536" s="1" t="n">
        <v>46254</v>
      </c>
      <c r="F536" t="inlineStr">
        <is>
          <t>UPPSALA LÄN</t>
        </is>
      </c>
      <c r="G536" t="inlineStr">
        <is>
          <t>HEBY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45547</v>
      </c>
      <c r="E537" s="1" t="n">
        <v>46254</v>
      </c>
      <c r="F537" t="inlineStr">
        <is>
          <t>UPPSALA LÄN</t>
        </is>
      </c>
      <c r="G537" t="inlineStr">
        <is>
          <t>HEBY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25677-2025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46254</v>
      </c>
      <c r="F538" t="inlineStr">
        <is>
          <t>UPPSALA LÄN</t>
        </is>
      </c>
      <c r="G538" t="inlineStr">
        <is>
          <t>HEBY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7497-2025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45705</v>
      </c>
      <c r="E539" s="1" t="n">
        <v>46254</v>
      </c>
      <c r="F539" t="inlineStr">
        <is>
          <t>UPPSALA LÄN</t>
        </is>
      </c>
      <c r="G539" t="inlineStr">
        <is>
          <t>HEBY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25969-2025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45804</v>
      </c>
      <c r="E540" s="1" t="n">
        <v>46254</v>
      </c>
      <c r="F540" t="inlineStr">
        <is>
          <t>UPPSALA LÄN</t>
        </is>
      </c>
      <c r="G540" t="inlineStr">
        <is>
          <t>HEBY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25968-2025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45804</v>
      </c>
      <c r="E541" s="1" t="n">
        <v>46254</v>
      </c>
      <c r="F541" t="inlineStr">
        <is>
          <t>UPPSALA LÄN</t>
        </is>
      </c>
      <c r="G541" t="inlineStr">
        <is>
          <t>HEBY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45390</v>
      </c>
      <c r="E542" s="1" t="n">
        <v>46254</v>
      </c>
      <c r="F542" t="inlineStr">
        <is>
          <t>UPPSALA LÄN</t>
        </is>
      </c>
      <c r="G542" t="inlineStr">
        <is>
          <t>HEBY</t>
        </is>
      </c>
      <c r="I542" t="n">
        <v>15.8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8199-2025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45708</v>
      </c>
      <c r="E543" s="1" t="n">
        <v>46254</v>
      </c>
      <c r="F543" t="inlineStr">
        <is>
          <t>UPPSALA LÄN</t>
        </is>
      </c>
      <c r="G543" t="inlineStr">
        <is>
          <t>HEBY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9758-2023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44984</v>
      </c>
      <c r="E544" s="1" t="n">
        <v>46254</v>
      </c>
      <c r="F544" t="inlineStr">
        <is>
          <t>UPPSALA LÄN</t>
        </is>
      </c>
      <c r="G544" t="inlineStr">
        <is>
          <t>HEBY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56795-2024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45628</v>
      </c>
      <c r="E545" s="1" t="n">
        <v>46254</v>
      </c>
      <c r="F545" t="inlineStr">
        <is>
          <t>UPPSALA LÄN</t>
        </is>
      </c>
      <c r="G545" t="inlineStr">
        <is>
          <t>HEBY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46254</v>
      </c>
      <c r="F546" t="inlineStr">
        <is>
          <t>UPPSALA LÄN</t>
        </is>
      </c>
      <c r="G546" t="inlineStr">
        <is>
          <t>HEBY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49536-2024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46254</v>
      </c>
      <c r="F547" t="inlineStr">
        <is>
          <t>UPPSALA LÄN</t>
        </is>
      </c>
      <c r="G547" t="inlineStr">
        <is>
          <t>HEBY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14884-2024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45398</v>
      </c>
      <c r="E548" s="1" t="n">
        <v>46254</v>
      </c>
      <c r="F548" t="inlineStr">
        <is>
          <t>UPPSALA LÄN</t>
        </is>
      </c>
      <c r="G548" t="inlineStr">
        <is>
          <t>HEBY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33366-2024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45519</v>
      </c>
      <c r="E549" s="1" t="n">
        <v>46254</v>
      </c>
      <c r="F549" t="inlineStr">
        <is>
          <t>UPPSALA LÄN</t>
        </is>
      </c>
      <c r="G549" t="inlineStr">
        <is>
          <t>HEBY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25525-2023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45089</v>
      </c>
      <c r="E550" s="1" t="n">
        <v>46254</v>
      </c>
      <c r="F550" t="inlineStr">
        <is>
          <t>UPPSALA LÄN</t>
        </is>
      </c>
      <c r="G550" t="inlineStr">
        <is>
          <t>HEBY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28561-2025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46254</v>
      </c>
      <c r="F551" t="inlineStr">
        <is>
          <t>UPPSALA LÄN</t>
        </is>
      </c>
      <c r="G551" t="inlineStr">
        <is>
          <t>HEBY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28558-2025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46254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28812-2025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45820</v>
      </c>
      <c r="E553" s="1" t="n">
        <v>46254</v>
      </c>
      <c r="F553" t="inlineStr">
        <is>
          <t>UPPSALA LÄN</t>
        </is>
      </c>
      <c r="G553" t="inlineStr">
        <is>
          <t>HEBY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45825</v>
      </c>
      <c r="E554" s="1" t="n">
        <v>46254</v>
      </c>
      <c r="F554" t="inlineStr">
        <is>
          <t>UPPSALA LÄN</t>
        </is>
      </c>
      <c r="G554" t="inlineStr">
        <is>
          <t>HEBY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45827</v>
      </c>
      <c r="E555" s="1" t="n">
        <v>46254</v>
      </c>
      <c r="F555" t="inlineStr">
        <is>
          <t>UPPSALA LÄN</t>
        </is>
      </c>
      <c r="G555" t="inlineStr">
        <is>
          <t>HEBY</t>
        </is>
      </c>
      <c r="H555" t="inlineStr">
        <is>
          <t>Övriga Aktiebolag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45826</v>
      </c>
      <c r="E556" s="1" t="n">
        <v>46254</v>
      </c>
      <c r="F556" t="inlineStr">
        <is>
          <t>UPPSALA LÄN</t>
        </is>
      </c>
      <c r="G556" t="inlineStr">
        <is>
          <t>HEBY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30418-2025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45827</v>
      </c>
      <c r="E557" s="1" t="n">
        <v>46254</v>
      </c>
      <c r="F557" t="inlineStr">
        <is>
          <t>UPPSALA LÄN</t>
        </is>
      </c>
      <c r="G557" t="inlineStr">
        <is>
          <t>HEBY</t>
        </is>
      </c>
      <c r="H557" t="inlineStr">
        <is>
          <t>Övriga Aktiebolag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19132-2025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46254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45764</v>
      </c>
      <c r="E559" s="1" t="n">
        <v>46254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43.4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31058-2025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45832</v>
      </c>
      <c r="E560" s="1" t="n">
        <v>46254</v>
      </c>
      <c r="F560" t="inlineStr">
        <is>
          <t>UPPSALA LÄN</t>
        </is>
      </c>
      <c r="G560" t="inlineStr">
        <is>
          <t>HEBY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32432-2025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45838</v>
      </c>
      <c r="E561" s="1" t="n">
        <v>46254</v>
      </c>
      <c r="F561" t="inlineStr">
        <is>
          <t>UPPSALA LÄN</t>
        </is>
      </c>
      <c r="G561" t="inlineStr">
        <is>
          <t>HEBY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45825</v>
      </c>
      <c r="E562" s="1" t="n">
        <v>46254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45847</v>
      </c>
      <c r="E563" s="1" t="n">
        <v>46254</v>
      </c>
      <c r="F563" t="inlineStr">
        <is>
          <t>UPPSALA LÄN</t>
        </is>
      </c>
      <c r="G563" t="inlineStr">
        <is>
          <t>HEBY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34072-2025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45845</v>
      </c>
      <c r="E564" s="1" t="n">
        <v>46254</v>
      </c>
      <c r="F564" t="inlineStr">
        <is>
          <t>UPPSALA LÄN</t>
        </is>
      </c>
      <c r="G564" t="inlineStr">
        <is>
          <t>HEBY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45852</v>
      </c>
      <c r="E565" s="1" t="n">
        <v>46254</v>
      </c>
      <c r="F565" t="inlineStr">
        <is>
          <t>UPPSALA LÄN</t>
        </is>
      </c>
      <c r="G565" t="inlineStr">
        <is>
          <t>HEBY</t>
        </is>
      </c>
      <c r="H565" t="inlineStr">
        <is>
          <t>Kyrkan</t>
        </is>
      </c>
      <c r="I565" t="n">
        <v>10.3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35265-2025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45852</v>
      </c>
      <c r="E566" s="1" t="n">
        <v>46254</v>
      </c>
      <c r="F566" t="inlineStr">
        <is>
          <t>UPPSALA LÄN</t>
        </is>
      </c>
      <c r="G566" t="inlineStr">
        <is>
          <t>HEBY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20995-2025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45777</v>
      </c>
      <c r="E567" s="1" t="n">
        <v>46254</v>
      </c>
      <c r="F567" t="inlineStr">
        <is>
          <t>UPPSALA LÄN</t>
        </is>
      </c>
      <c r="G567" t="inlineStr">
        <is>
          <t>HEBY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38371-2025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46254</v>
      </c>
      <c r="F568" t="inlineStr">
        <is>
          <t>UPPSALA LÄN</t>
        </is>
      </c>
      <c r="G568" t="inlineStr">
        <is>
          <t>HEBY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1334-2022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44629</v>
      </c>
      <c r="E569" s="1" t="n">
        <v>46254</v>
      </c>
      <c r="F569" t="inlineStr">
        <is>
          <t>UPPSALA LÄN</t>
        </is>
      </c>
      <c r="G569" t="inlineStr">
        <is>
          <t>HEBY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10324-2021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44546</v>
      </c>
      <c r="E570" s="1" t="n">
        <v>46254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46254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517-2022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44588</v>
      </c>
      <c r="E572" s="1" t="n">
        <v>46254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30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5859-2021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44438</v>
      </c>
      <c r="E573" s="1" t="n">
        <v>46254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öst AB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4466-2022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44788</v>
      </c>
      <c r="E574" s="1" t="n">
        <v>46254</v>
      </c>
      <c r="F574" t="inlineStr">
        <is>
          <t>UPPSALA LÄN</t>
        </is>
      </c>
      <c r="G574" t="inlineStr">
        <is>
          <t>HEBY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2310-2022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44684</v>
      </c>
      <c r="E575" s="1" t="n">
        <v>46254</v>
      </c>
      <c r="F575" t="inlineStr">
        <is>
          <t>UPPSALA LÄN</t>
        </is>
      </c>
      <c r="G575" t="inlineStr">
        <is>
          <t>HEBY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4423-2024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45590</v>
      </c>
      <c r="E576" s="1" t="n">
        <v>46254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47.6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46254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2797-2024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45485</v>
      </c>
      <c r="E578" s="1" t="n">
        <v>46254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398-2025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45699</v>
      </c>
      <c r="E579" s="1" t="n">
        <v>46254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45411</v>
      </c>
      <c r="E580" s="1" t="n">
        <v>46254</v>
      </c>
      <c r="F580" t="inlineStr">
        <is>
          <t>UPPSALA LÄN</t>
        </is>
      </c>
      <c r="G580" t="inlineStr">
        <is>
          <t>HEBY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4464-2022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44788</v>
      </c>
      <c r="E581" s="1" t="n">
        <v>46254</v>
      </c>
      <c r="F581" t="inlineStr">
        <is>
          <t>UPPSALA LÄN</t>
        </is>
      </c>
      <c r="G581" t="inlineStr">
        <is>
          <t>HEBY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1330-2022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46254</v>
      </c>
      <c r="F582" t="inlineStr">
        <is>
          <t>UPPSALA LÄN</t>
        </is>
      </c>
      <c r="G582" t="inlineStr">
        <is>
          <t>HEBY</t>
        </is>
      </c>
      <c r="I582" t="n">
        <v>25.1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  <c r="Z582">
        <f>HYPERLINK("https://klasma.github.io/Logging_0331/knärot/S 1330-2022 karta knärot.png", "S 1330-2022")</f>
        <v/>
      </c>
      <c r="AA582">
        <f>HYPERLINK("https://klasma.github.io/Logging_0331/klagomål/S 1330-2022 FSC-klagomål.docx", "S 1330-2022")</f>
        <v/>
      </c>
      <c r="AB582">
        <f>HYPERLINK("https://klasma.github.io/Logging_0331/klagomålsmail/S 1330-2022 FSC-klagomål mail.docx", "S 1330-2022")</f>
        <v/>
      </c>
      <c r="AC582">
        <f>HYPERLINK("https://klasma.github.io/Logging_0331/tillsyn/S 1330-2022 tillsynsbegäran.docx", "S 1330-2022")</f>
        <v/>
      </c>
      <c r="AD582">
        <f>HYPERLINK("https://klasma.github.io/Logging_0331/tillsynsmail/S 1330-2022 tillsynsbegäran mail.docx", "S 1330-2022")</f>
        <v/>
      </c>
    </row>
    <row r="583" ht="15" customHeight="1">
      <c r="A583" t="inlineStr">
        <is>
          <t>S 3301-2025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45987</v>
      </c>
      <c r="E583" s="1" t="n">
        <v>46254</v>
      </c>
      <c r="F583" t="inlineStr">
        <is>
          <t>UPPSALA LÄN</t>
        </is>
      </c>
      <c r="G583" t="inlineStr">
        <is>
          <t>HEBY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3478-2025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46000</v>
      </c>
      <c r="E584" s="1" t="n">
        <v>46254</v>
      </c>
      <c r="F584" t="inlineStr">
        <is>
          <t>UPPSALA LÄN</t>
        </is>
      </c>
      <c r="G584" t="inlineStr">
        <is>
          <t>HEBY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598-2026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46085</v>
      </c>
      <c r="E585" s="1" t="n">
        <v>46254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43.4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>
      <c r="A586" t="inlineStr">
        <is>
          <t>S 1818-2026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46190</v>
      </c>
      <c r="E586" s="1" t="n">
        <v>46254</v>
      </c>
      <c r="F586" t="inlineStr">
        <is>
          <t>UPPSALA LÄN</t>
        </is>
      </c>
      <c r="G586" t="inlineStr">
        <is>
          <t>HEBY</t>
        </is>
      </c>
      <c r="H586" t="inlineStr">
        <is>
          <t>Kommuner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2026-08-20T01:47:56Z</dcterms:created>
  <dcterms:modified xmlns:dcterms="http://purl.org/dc/terms/" xmlns:xsi="http://www.w3.org/2001/XMLSchema-instance" xsi:type="dcterms:W3CDTF">2026-08-20T01:47:56Z</dcterms:modified>
</cp:coreProperties>
</file>
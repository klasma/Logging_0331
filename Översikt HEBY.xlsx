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46278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46278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46278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46278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46278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46278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46278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46278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46278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46278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46278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46278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46278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46278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46278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46278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46278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46278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30090-2024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45485</v>
      </c>
      <c r="E25" s="1" t="n">
        <v>46278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2.1</v>
      </c>
      <c r="J25" t="n">
        <v>0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Aspsplintbock
Aspvedgnagare
Björksplintborre
Jättesvampmal</t>
        </is>
      </c>
      <c r="W25">
        <f>HYPERLINK("https://klasma.github.io/Logging_0331/artfynd/A 30090-2024 artfynd.xlsx", "A 30090-2024")</f>
        <v/>
      </c>
      <c r="X25">
        <f>HYPERLINK("https://klasma.github.io/Logging_0331/kartor/A 30090-2024 karta.png", "A 30090-2024")</f>
        <v/>
      </c>
      <c r="Y25">
        <f>HYPERLINK("https://klasma.github.io/Logging_0331/kartor_geotiff/A 30090-2024 georefererad karta.tif", "A 30090-2024")</f>
        <v/>
      </c>
      <c r="AA25">
        <f>HYPERLINK("https://klasma.github.io/Logging_0331/klagomål/A 30090-2024 FSC-klagomål.docx", "A 30090-2024")</f>
        <v/>
      </c>
      <c r="AB25">
        <f>HYPERLINK("https://klasma.github.io/Logging_0331/klagomålsmail/A 30090-2024 FSC-klagomål mail.docx", "A 30090-2024")</f>
        <v/>
      </c>
      <c r="AC25">
        <f>HYPERLINK("https://klasma.github.io/Logging_0331/tillsyn/A 30090-2024 tillsynsbegäran.docx", "A 30090-2024")</f>
        <v/>
      </c>
      <c r="AD25">
        <f>HYPERLINK("https://klasma.github.io/Logging_0331/tillsynsmail/A 30090-2024 tillsynsbegäran mail.docx", "A 30090-2024")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46278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46278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46278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46278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46278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46278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46278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46278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46278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46278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46278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46278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46278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46278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46278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46278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46278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46278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46278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46278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25632-2026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46177</v>
      </c>
      <c r="E46" s="1" t="n">
        <v>46278</v>
      </c>
      <c r="F46" t="inlineStr">
        <is>
          <t>UPPSALA LÄN</t>
        </is>
      </c>
      <c r="G46" t="inlineStr">
        <is>
          <t>HEBY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Tjäder
Havsörn</t>
        </is>
      </c>
      <c r="W46">
        <f>HYPERLINK("https://klasma.github.io/Logging_0331/artfynd/A 25632-2026 artfynd.xlsx", "A 25632-2026")</f>
        <v/>
      </c>
      <c r="X46">
        <f>HYPERLINK("https://klasma.github.io/Logging_0331/kartor/A 25632-2026 karta.png", "A 25632-2026")</f>
        <v/>
      </c>
      <c r="Y46">
        <f>HYPERLINK("https://klasma.github.io/Logging_0331/kartor_geotiff/A 25632-2026 georefererad karta.tif", "A 25632-2026")</f>
        <v/>
      </c>
      <c r="AA46">
        <f>HYPERLINK("https://klasma.github.io/Logging_0331/klagomål/A 25632-2026 FSC-klagomål.docx", "A 25632-2026")</f>
        <v/>
      </c>
      <c r="AB46">
        <f>HYPERLINK("https://klasma.github.io/Logging_0331/klagomålsmail/A 25632-2026 FSC-klagomål mail.docx", "A 25632-2026")</f>
        <v/>
      </c>
      <c r="AC46">
        <f>HYPERLINK("https://klasma.github.io/Logging_0331/tillsyn/A 25632-2026 tillsynsbegäran.docx", "A 25632-2026")</f>
        <v/>
      </c>
      <c r="AD46">
        <f>HYPERLINK("https://klasma.github.io/Logging_0331/tillsynsmail/A 25632-2026 tillsynsbegäran mail.docx", "A 25632-2026")</f>
        <v/>
      </c>
      <c r="AE46">
        <f>HYPERLINK("https://klasma.github.io/Logging_0331/fåglar/A 25632-2026 prioriterade fågelarter.docx", "A 25632-2026")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46278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46278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46278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46278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46278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46278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46278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46278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46278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9358-2026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46278</v>
      </c>
      <c r="F56" t="inlineStr">
        <is>
          <t>UPPSALA LÄN</t>
        </is>
      </c>
      <c r="G56" t="inlineStr">
        <is>
          <t>HEBY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vattensalamander</t>
        </is>
      </c>
      <c r="W56">
        <f>HYPERLINK("https://klasma.github.io/Logging_0331/artfynd/A 9358-2026 artfynd.xlsx", "A 9358-2026")</f>
        <v/>
      </c>
      <c r="X56">
        <f>HYPERLINK("https://klasma.github.io/Logging_0331/kartor/A 9358-2026 karta.png", "A 9358-2026")</f>
        <v/>
      </c>
      <c r="Y56">
        <f>HYPERLINK("https://klasma.github.io/Logging_0331/kartor_geotiff/A 9358-2026 georefererad karta.tif", "A 9358-2026")</f>
        <v/>
      </c>
      <c r="AA56">
        <f>HYPERLINK("https://klasma.github.io/Logging_0331/klagomål/A 9358-2026 FSC-klagomål.docx", "A 9358-2026")</f>
        <v/>
      </c>
      <c r="AB56">
        <f>HYPERLINK("https://klasma.github.io/Logging_0331/klagomålsmail/A 9358-2026 FSC-klagomål mail.docx", "A 9358-2026")</f>
        <v/>
      </c>
      <c r="AC56">
        <f>HYPERLINK("https://klasma.github.io/Logging_0331/tillsyn/A 9358-2026 tillsynsbegäran.docx", "A 9358-2026")</f>
        <v/>
      </c>
      <c r="AD56">
        <f>HYPERLINK("https://klasma.github.io/Logging_0331/tillsynsmail/A 9358-2026 tillsynsbegäran mail.docx", "A 9358-2026")</f>
        <v/>
      </c>
    </row>
    <row r="57" ht="15" customHeight="1">
      <c r="A57" t="inlineStr">
        <is>
          <t>A 9455-2026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46278</v>
      </c>
      <c r="F57" t="inlineStr">
        <is>
          <t>UPPSALA LÄN</t>
        </is>
      </c>
      <c r="G57" t="inlineStr">
        <is>
          <t>HEBY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Kungsspindling</t>
        </is>
      </c>
      <c r="W57">
        <f>HYPERLINK("https://klasma.github.io/Logging_0331/artfynd/A 9455-2026 artfynd.xlsx", "A 9455-2026")</f>
        <v/>
      </c>
      <c r="X57">
        <f>HYPERLINK("https://klasma.github.io/Logging_0331/kartor/A 9455-2026 karta.png", "A 9455-2026")</f>
        <v/>
      </c>
      <c r="Y57">
        <f>HYPERLINK("https://klasma.github.io/Logging_0331/kartor_geotiff/A 9455-2026 georefererad karta.tif", "A 9455-2026")</f>
        <v/>
      </c>
      <c r="AA57">
        <f>HYPERLINK("https://klasma.github.io/Logging_0331/klagomål/A 9455-2026 FSC-klagomål.docx", "A 9455-2026")</f>
        <v/>
      </c>
      <c r="AB57">
        <f>HYPERLINK("https://klasma.github.io/Logging_0331/klagomålsmail/A 9455-2026 FSC-klagomål mail.docx", "A 9455-2026")</f>
        <v/>
      </c>
      <c r="AC57">
        <f>HYPERLINK("https://klasma.github.io/Logging_0331/tillsyn/A 9455-2026 tillsynsbegäran.docx", "A 9455-2026")</f>
        <v/>
      </c>
      <c r="AD57">
        <f>HYPERLINK("https://klasma.github.io/Logging_0331/tillsynsmail/A 9455-2026 tillsynsbegäran mail.docx", "A 9455-2026")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46278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11560-2026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46278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11560-2026 artfynd.xlsx", "A 11560-2026")</f>
        <v/>
      </c>
      <c r="X59">
        <f>HYPERLINK("https://klasma.github.io/Logging_0331/kartor/A 11560-2026 karta.png", "A 11560-2026")</f>
        <v/>
      </c>
      <c r="Y59">
        <f>HYPERLINK("https://klasma.github.io/Logging_0331/kartor_geotiff/A 11560-2026 georefererad karta.tif", "A 11560-2026")</f>
        <v/>
      </c>
      <c r="AA59">
        <f>HYPERLINK("https://klasma.github.io/Logging_0331/klagomål/A 11560-2026 FSC-klagomål.docx", "A 11560-2026")</f>
        <v/>
      </c>
      <c r="AB59">
        <f>HYPERLINK("https://klasma.github.io/Logging_0331/klagomålsmail/A 11560-2026 FSC-klagomål mail.docx", "A 11560-2026")</f>
        <v/>
      </c>
      <c r="AC59">
        <f>HYPERLINK("https://klasma.github.io/Logging_0331/tillsyn/A 11560-2026 tillsynsbegäran.docx", "A 11560-2026")</f>
        <v/>
      </c>
      <c r="AD59">
        <f>HYPERLINK("https://klasma.github.io/Logging_0331/tillsynsmail/A 11560-2026 tillsynsbegäran mail.docx", "A 11560-2026")</f>
        <v/>
      </c>
    </row>
    <row r="60" ht="15" customHeight="1">
      <c r="A60" t="inlineStr">
        <is>
          <t>A 11841-2026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46278</v>
      </c>
      <c r="F60" t="inlineStr">
        <is>
          <t>UPPSALA LÄN</t>
        </is>
      </c>
      <c r="G60" t="inlineStr">
        <is>
          <t>HEBY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Stor aspticka</t>
        </is>
      </c>
      <c r="W60">
        <f>HYPERLINK("https://klasma.github.io/Logging_0331/artfynd/A 11841-2026 artfynd.xlsx", "A 11841-2026")</f>
        <v/>
      </c>
      <c r="X60">
        <f>HYPERLINK("https://klasma.github.io/Logging_0331/kartor/A 11841-2026 karta.png", "A 11841-2026")</f>
        <v/>
      </c>
      <c r="Y60">
        <f>HYPERLINK("https://klasma.github.io/Logging_0331/kartor_geotiff/A 11841-2026 georefererad karta.tif", "A 11841-2026")</f>
        <v/>
      </c>
      <c r="AA60">
        <f>HYPERLINK("https://klasma.github.io/Logging_0331/klagomål/A 11841-2026 FSC-klagomål.docx", "A 11841-2026")</f>
        <v/>
      </c>
      <c r="AB60">
        <f>HYPERLINK("https://klasma.github.io/Logging_0331/klagomålsmail/A 11841-2026 FSC-klagomål mail.docx", "A 11841-2026")</f>
        <v/>
      </c>
      <c r="AC60">
        <f>HYPERLINK("https://klasma.github.io/Logging_0331/tillsyn/A 11841-2026 tillsynsbegäran.docx", "A 11841-2026")</f>
        <v/>
      </c>
      <c r="AD60">
        <f>HYPERLINK("https://klasma.github.io/Logging_0331/tillsynsmail/A 11841-2026 tillsynsbegäran mail.docx", "A 11841-2026")</f>
        <v/>
      </c>
    </row>
    <row r="61" ht="15" customHeight="1">
      <c r="A61" t="inlineStr">
        <is>
          <t>A 27871-2023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45098</v>
      </c>
      <c r="E61" s="1" t="n">
        <v>46278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HYPERLINK("https://klasma.github.io/Logging_0331/artfynd/A 27871-2023 artfynd.xlsx", "A 27871-2023")</f>
        <v/>
      </c>
      <c r="X61">
        <f>HYPERLINK("https://klasma.github.io/Logging_0331/kartor/A 27871-2023 karta.png", "A 27871-2023")</f>
        <v/>
      </c>
      <c r="Y61">
        <f>HYPERLINK("https://klasma.github.io/Logging_0331/kartor_geotiff/A 27871-2023 georefererad karta.tif", "A 27871-2023")</f>
        <v/>
      </c>
      <c r="AA61">
        <f>HYPERLINK("https://klasma.github.io/Logging_0331/klagomål/A 27871-2023 FSC-klagomål.docx", "A 27871-2023")</f>
        <v/>
      </c>
      <c r="AB61">
        <f>HYPERLINK("https://klasma.github.io/Logging_0331/klagomålsmail/A 27871-2023 FSC-klagomål mail.docx", "A 27871-2023")</f>
        <v/>
      </c>
      <c r="AC61">
        <f>HYPERLINK("https://klasma.github.io/Logging_0331/tillsyn/A 27871-2023 tillsynsbegäran.docx", "A 27871-2023")</f>
        <v/>
      </c>
      <c r="AD61">
        <f>HYPERLINK("https://klasma.github.io/Logging_0331/tillsynsmail/A 27871-2023 tillsynsbegäran mail.docx", "A 27871-2023")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46278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46278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8624-2024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45355</v>
      </c>
      <c r="E64" s="1" t="n">
        <v>46278</v>
      </c>
      <c r="F64" t="inlineStr">
        <is>
          <t>UPPSALA LÄN</t>
        </is>
      </c>
      <c r="G64" t="inlineStr">
        <is>
          <t>HEBY</t>
        </is>
      </c>
      <c r="I64" t="n">
        <v>3.9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11</v>
      </c>
      <c r="U64" t="n">
        <v>0</v>
      </c>
      <c r="V64" s="2" t="inlineStr">
        <is>
          <t>Motaggsvamp</t>
        </is>
      </c>
      <c r="W64">
        <f>HYPERLINK("https://klasma.github.io/Logging_0331/artfynd/A 8624-2024 artfynd.xlsx", "A 8624-2024")</f>
        <v/>
      </c>
      <c r="X64">
        <f>HYPERLINK("https://klasma.github.io/Logging_0331/kartor/A 8624-2024 karta.png", "A 8624-2024")</f>
        <v/>
      </c>
      <c r="Y64">
        <f>HYPERLINK("https://klasma.github.io/Logging_0331/kartor_geotiff/A 8624-2024 georefererad karta.tif", "A 8624-2024")</f>
        <v/>
      </c>
      <c r="AA64">
        <f>HYPERLINK("https://klasma.github.io/Logging_0331/klagomål/A 8624-2024 FSC-klagomål.docx", "A 8624-2024")</f>
        <v/>
      </c>
      <c r="AB64">
        <f>HYPERLINK("https://klasma.github.io/Logging_0331/klagomålsmail/A 8624-2024 FSC-klagomål mail.docx", "A 8624-2024")</f>
        <v/>
      </c>
      <c r="AC64">
        <f>HYPERLINK("https://klasma.github.io/Logging_0331/tillsyn/A 8624-2024 tillsynsbegäran.docx", "A 8624-2024")</f>
        <v/>
      </c>
      <c r="AD64">
        <f>HYPERLINK("https://klasma.github.io/Logging_0331/tillsynsmail/A 8624-2024 tillsynsbegäran mail.docx", "A 8624-2024")</f>
        <v/>
      </c>
    </row>
    <row r="65" ht="15" customHeight="1">
      <c r="A65" t="inlineStr">
        <is>
          <t>A 3374-2024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46278</v>
      </c>
      <c r="F65" t="inlineStr">
        <is>
          <t>UPPSALA LÄN</t>
        </is>
      </c>
      <c r="G65" t="inlineStr">
        <is>
          <t>HEBY</t>
        </is>
      </c>
      <c r="I65" t="n">
        <v>8.4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Berggräsfjäril</t>
        </is>
      </c>
      <c r="W65">
        <f>HYPERLINK("https://klasma.github.io/Logging_0331/artfynd/A 3374-2024 artfynd.xlsx", "A 3374-2024")</f>
        <v/>
      </c>
      <c r="X65">
        <f>HYPERLINK("https://klasma.github.io/Logging_0331/kartor/A 3374-2024 karta.png", "A 3374-2024")</f>
        <v/>
      </c>
      <c r="Y65">
        <f>HYPERLINK("https://klasma.github.io/Logging_0331/kartor_geotiff/A 3374-2024 georefererad karta.tif", "A 3374-2024")</f>
        <v/>
      </c>
      <c r="AA65">
        <f>HYPERLINK("https://klasma.github.io/Logging_0331/klagomål/A 3374-2024 FSC-klagomål.docx", "A 3374-2024")</f>
        <v/>
      </c>
      <c r="AB65">
        <f>HYPERLINK("https://klasma.github.io/Logging_0331/klagomålsmail/A 3374-2024 FSC-klagomål mail.docx", "A 3374-2024")</f>
        <v/>
      </c>
      <c r="AC65">
        <f>HYPERLINK("https://klasma.github.io/Logging_0331/tillsyn/A 3374-2024 tillsynsbegäran.docx", "A 3374-2024")</f>
        <v/>
      </c>
      <c r="AD65">
        <f>HYPERLINK("https://klasma.github.io/Logging_0331/tillsynsmail/A 3374-2024 tillsynsbegäran mail.docx", "A 3374-2024")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46278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45469</v>
      </c>
      <c r="E67" s="1" t="n">
        <v>46278</v>
      </c>
      <c r="F67" t="inlineStr">
        <is>
          <t>UPPSALA LÄN</t>
        </is>
      </c>
      <c r="G67" t="inlineStr">
        <is>
          <t>HEBY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Stenichnus poweri</t>
        </is>
      </c>
      <c r="W67">
        <f>HYPERLINK("https://klasma.github.io/Logging_0331/artfynd/A 26596-2024 artfynd.xlsx", "A 26596-2024")</f>
        <v/>
      </c>
      <c r="X67">
        <f>HYPERLINK("https://klasma.github.io/Logging_0331/kartor/A 26596-2024 karta.png", "A 26596-2024")</f>
        <v/>
      </c>
      <c r="Y67">
        <f>HYPERLINK("https://klasma.github.io/Logging_0331/kartor_geotiff/A 26596-2024 georefererad karta.tif", "A 26596-2024")</f>
        <v/>
      </c>
      <c r="AA67">
        <f>HYPERLINK("https://klasma.github.io/Logging_0331/klagomål/A 26596-2024 FSC-klagomål.docx", "A 26596-2024")</f>
        <v/>
      </c>
      <c r="AB67">
        <f>HYPERLINK("https://klasma.github.io/Logging_0331/klagomålsmail/A 26596-2024 FSC-klagomål mail.docx", "A 26596-2024")</f>
        <v/>
      </c>
      <c r="AC67">
        <f>HYPERLINK("https://klasma.github.io/Logging_0331/tillsyn/A 26596-2024 tillsynsbegäran.docx", "A 26596-2024")</f>
        <v/>
      </c>
      <c r="AD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46278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HYPERLINK("https://klasma.github.io/Logging_0331/artfynd/A 53992-2023 artfynd.xlsx", "A 53992-2023")</f>
        <v/>
      </c>
      <c r="X68">
        <f>HYPERLINK("https://klasma.github.io/Logging_0331/kartor/A 53992-2023 karta.png", "A 53992-2023")</f>
        <v/>
      </c>
      <c r="Y68">
        <f>HYPERLINK("https://klasma.github.io/Logging_0331/kartor_geotiff/A 53992-2023 georefererad karta.tif", "A 53992-2023")</f>
        <v/>
      </c>
      <c r="AA68">
        <f>HYPERLINK("https://klasma.github.io/Logging_0331/klagomål/A 53992-2023 FSC-klagomål.docx", "A 53992-2023")</f>
        <v/>
      </c>
      <c r="AB68">
        <f>HYPERLINK("https://klasma.github.io/Logging_0331/klagomålsmail/A 53992-2023 FSC-klagomål mail.docx", "A 53992-2023")</f>
        <v/>
      </c>
      <c r="AC68">
        <f>HYPERLINK("https://klasma.github.io/Logging_0331/tillsyn/A 53992-2023 tillsynsbegäran.docx", "A 53992-2023")</f>
        <v/>
      </c>
      <c r="AD68">
        <f>HYPERLINK("https://klasma.github.io/Logging_0331/tillsynsmail/A 53992-2023 tillsynsbegäran mail.docx", "A 53992-2023")</f>
        <v/>
      </c>
    </row>
    <row r="69" ht="15" customHeight="1">
      <c r="A69" t="inlineStr">
        <is>
          <t>A 63940-2023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46278</v>
      </c>
      <c r="F69" t="inlineStr">
        <is>
          <t>UPPSALA LÄN</t>
        </is>
      </c>
      <c r="G69" t="inlineStr">
        <is>
          <t>HEBY</t>
        </is>
      </c>
      <c r="I69" t="n">
        <v>2.4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Gullpudra</t>
        </is>
      </c>
      <c r="W69">
        <f>HYPERLINK("https://klasma.github.io/Logging_0331/artfynd/A 63940-2023 artfynd.xlsx", "A 63940-2023")</f>
        <v/>
      </c>
      <c r="X69">
        <f>HYPERLINK("https://klasma.github.io/Logging_0331/kartor/A 63940-2023 karta.png", "A 63940-2023")</f>
        <v/>
      </c>
      <c r="Y69">
        <f>HYPERLINK("https://klasma.github.io/Logging_0331/kartor_geotiff/A 63940-2023 georefererad karta.tif", "A 63940-2023")</f>
        <v/>
      </c>
      <c r="AA69">
        <f>HYPERLINK("https://klasma.github.io/Logging_0331/klagomål/A 63940-2023 FSC-klagomål.docx", "A 63940-2023")</f>
        <v/>
      </c>
      <c r="AB69">
        <f>HYPERLINK("https://klasma.github.io/Logging_0331/klagomålsmail/A 63940-2023 FSC-klagomål mail.docx", "A 63940-2023")</f>
        <v/>
      </c>
      <c r="AC69">
        <f>HYPERLINK("https://klasma.github.io/Logging_0331/tillsyn/A 63940-2023 tillsynsbegäran.docx", "A 63940-2023")</f>
        <v/>
      </c>
      <c r="AD69">
        <f>HYPERLINK("https://klasma.github.io/Logging_0331/tillsynsmail/A 63940-2023 tillsynsbegäran mail.docx", "A 63940-2023")</f>
        <v/>
      </c>
    </row>
    <row r="70" ht="15" customHeight="1">
      <c r="A70" t="inlineStr">
        <is>
          <t>A 19751-2023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46278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Blåsippa</t>
        </is>
      </c>
      <c r="W70">
        <f>HYPERLINK("https://klasma.github.io/Logging_0331/artfynd/A 19751-2023 artfynd.xlsx", "A 19751-2023")</f>
        <v/>
      </c>
      <c r="X70">
        <f>HYPERLINK("https://klasma.github.io/Logging_0331/kartor/A 19751-2023 karta.png", "A 19751-2023")</f>
        <v/>
      </c>
      <c r="Y70">
        <f>HYPERLINK("https://klasma.github.io/Logging_0331/kartor_geotiff/A 19751-2023 georefererad karta.tif", "A 19751-2023")</f>
        <v/>
      </c>
      <c r="Z70">
        <f>HYPERLINK("https://klasma.github.io/Logging_0331/knärot/A 19751-2023 karta knärot.png", "A 19751-2023")</f>
        <v/>
      </c>
      <c r="AA70">
        <f>HYPERLINK("https://klasma.github.io/Logging_0331/klagomål/A 19751-2023 FSC-klagomål.docx", "A 19751-2023")</f>
        <v/>
      </c>
      <c r="AB70">
        <f>HYPERLINK("https://klasma.github.io/Logging_0331/klagomålsmail/A 19751-2023 FSC-klagomål mail.docx", "A 19751-2023")</f>
        <v/>
      </c>
      <c r="AC70">
        <f>HYPERLINK("https://klasma.github.io/Logging_0331/tillsyn/A 19751-2023 tillsynsbegäran.docx", "A 19751-2023")</f>
        <v/>
      </c>
      <c r="AD70">
        <f>HYPERLINK("https://klasma.github.io/Logging_0331/tillsynsmail/A 19751-2023 tillsynsbegäran mail.docx", "A 19751-2023")</f>
        <v/>
      </c>
    </row>
    <row r="71" ht="15" customHeight="1">
      <c r="A71" t="inlineStr">
        <is>
          <t>A 54368-2024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45617</v>
      </c>
      <c r="E71" s="1" t="n">
        <v>46278</v>
      </c>
      <c r="F71" t="inlineStr">
        <is>
          <t>UPPSALA LÄN</t>
        </is>
      </c>
      <c r="G71" t="inlineStr">
        <is>
          <t>HEBY</t>
        </is>
      </c>
      <c r="H71" t="inlineStr">
        <is>
          <t>Allmännings- och besparingsskogar</t>
        </is>
      </c>
      <c r="I71" t="n">
        <v>13.9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Talltita</t>
        </is>
      </c>
      <c r="W71">
        <f>HYPERLINK("https://klasma.github.io/Logging_0331/artfynd/A 54368-2024 artfynd.xlsx", "A 54368-2024")</f>
        <v/>
      </c>
      <c r="X71">
        <f>HYPERLINK("https://klasma.github.io/Logging_0331/kartor/A 54368-2024 karta.png", "A 54368-2024")</f>
        <v/>
      </c>
      <c r="Y71">
        <f>HYPERLINK("https://klasma.github.io/Logging_0331/kartor_geotiff/A 54368-2024 georefererad karta.tif", "A 54368-2024")</f>
        <v/>
      </c>
      <c r="AA71">
        <f>HYPERLINK("https://klasma.github.io/Logging_0331/klagomål/A 54368-2024 FSC-klagomål.docx", "A 54368-2024")</f>
        <v/>
      </c>
      <c r="AB71">
        <f>HYPERLINK("https://klasma.github.io/Logging_0331/klagomålsmail/A 54368-2024 FSC-klagomål mail.docx", "A 54368-2024")</f>
        <v/>
      </c>
      <c r="AC71">
        <f>HYPERLINK("https://klasma.github.io/Logging_0331/tillsyn/A 54368-2024 tillsynsbegäran.docx", "A 54368-2024")</f>
        <v/>
      </c>
      <c r="AD71">
        <f>HYPERLINK("https://klasma.github.io/Logging_0331/tillsynsmail/A 54368-2024 tillsynsbegäran mail.docx", "A 54368-2024")</f>
        <v/>
      </c>
      <c r="AE71">
        <f>HYPERLINK("https://klasma.github.io/Logging_0331/fåglar/A 54368-2024 prioriterade fågelarter.docx", "A 54368-2024")</f>
        <v/>
      </c>
    </row>
    <row r="72" ht="15" customHeight="1">
      <c r="A72" t="inlineStr">
        <is>
          <t>A 49707-2023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45208</v>
      </c>
      <c r="E72" s="1" t="n">
        <v>46278</v>
      </c>
      <c r="F72" t="inlineStr">
        <is>
          <t>UPPSALA LÄN</t>
        </is>
      </c>
      <c r="G72" t="inlineStr">
        <is>
          <t>HEBY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Granbarkgnagare</t>
        </is>
      </c>
      <c r="W72">
        <f>HYPERLINK("https://klasma.github.io/Logging_0331/artfynd/A 49707-2023 artfynd.xlsx", "A 49707-2023")</f>
        <v/>
      </c>
      <c r="X72">
        <f>HYPERLINK("https://klasma.github.io/Logging_0331/kartor/A 49707-2023 karta.png", "A 49707-2023")</f>
        <v/>
      </c>
      <c r="Y72">
        <f>HYPERLINK("https://klasma.github.io/Logging_0331/kartor_geotiff/A 49707-2023 georefererad karta.tif", "A 49707-2023")</f>
        <v/>
      </c>
      <c r="AA72">
        <f>HYPERLINK("https://klasma.github.io/Logging_0331/klagomål/A 49707-2023 FSC-klagomål.docx", "A 49707-2023")</f>
        <v/>
      </c>
      <c r="AB72">
        <f>HYPERLINK("https://klasma.github.io/Logging_0331/klagomålsmail/A 49707-2023 FSC-klagomål mail.docx", "A 49707-2023")</f>
        <v/>
      </c>
      <c r="AC72">
        <f>HYPERLINK("https://klasma.github.io/Logging_0331/tillsyn/A 49707-2023 tillsynsbegäran.docx", "A 49707-2023")</f>
        <v/>
      </c>
      <c r="AD72">
        <f>HYPERLINK("https://klasma.github.io/Logging_0331/tillsynsmail/A 49707-2023 tillsynsbegäran mail.docx", "A 49707-2023")</f>
        <v/>
      </c>
    </row>
    <row r="73" ht="15" customHeight="1">
      <c r="A73" t="inlineStr">
        <is>
          <t>A 19555-2025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45770</v>
      </c>
      <c r="E73" s="1" t="n">
        <v>46278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Sparvuggla</t>
        </is>
      </c>
      <c r="W73">
        <f>HYPERLINK("https://klasma.github.io/Logging_0331/artfynd/A 19555-2025 artfynd.xlsx", "A 19555-2025")</f>
        <v/>
      </c>
      <c r="X73">
        <f>HYPERLINK("https://klasma.github.io/Logging_0331/kartor/A 19555-2025 karta.png", "A 19555-2025")</f>
        <v/>
      </c>
      <c r="Y73">
        <f>HYPERLINK("https://klasma.github.io/Logging_0331/kartor_geotiff/A 19555-2025 georefererad karta.tif", "A 19555-2025")</f>
        <v/>
      </c>
      <c r="AA73">
        <f>HYPERLINK("https://klasma.github.io/Logging_0331/klagomål/A 19555-2025 FSC-klagomål.docx", "A 19555-2025")</f>
        <v/>
      </c>
      <c r="AB73">
        <f>HYPERLINK("https://klasma.github.io/Logging_0331/klagomålsmail/A 19555-2025 FSC-klagomål mail.docx", "A 19555-2025")</f>
        <v/>
      </c>
      <c r="AC73">
        <f>HYPERLINK("https://klasma.github.io/Logging_0331/tillsyn/A 19555-2025 tillsynsbegäran.docx", "A 19555-2025")</f>
        <v/>
      </c>
      <c r="AD73">
        <f>HYPERLINK("https://klasma.github.io/Logging_0331/tillsynsmail/A 19555-2025 tillsynsbegäran mail.docx", "A 19555-2025")</f>
        <v/>
      </c>
      <c r="AE73">
        <f>HYPERLINK("https://klasma.github.io/Logging_0331/fåglar/A 19555-2025 prioriterade fågelarter.docx", "A 19555-2025")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46278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46278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9618-2026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46278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HYPERLINK("https://klasma.github.io/Logging_0331/artfynd/A 9618-2026 artfynd.xlsx", "A 9618-2026")</f>
        <v/>
      </c>
      <c r="X76">
        <f>HYPERLINK("https://klasma.github.io/Logging_0331/kartor/A 9618-2026 karta.png", "A 9618-2026")</f>
        <v/>
      </c>
      <c r="Y76">
        <f>HYPERLINK("https://klasma.github.io/Logging_0331/kartor_geotiff/A 9618-2026 georefererad karta.tif", "A 9618-2026")</f>
        <v/>
      </c>
      <c r="AA76">
        <f>HYPERLINK("https://klasma.github.io/Logging_0331/klagomål/A 9618-2026 FSC-klagomål.docx", "A 9618-2026")</f>
        <v/>
      </c>
      <c r="AB76">
        <f>HYPERLINK("https://klasma.github.io/Logging_0331/klagomålsmail/A 9618-2026 FSC-klagomål mail.docx", "A 9618-2026")</f>
        <v/>
      </c>
      <c r="AC76">
        <f>HYPERLINK("https://klasma.github.io/Logging_0331/tillsyn/A 9618-2026 tillsynsbegäran.docx", "A 9618-2026")</f>
        <v/>
      </c>
      <c r="AD76">
        <f>HYPERLINK("https://klasma.github.io/Logging_0331/tillsynsmail/A 9618-2026 tillsynsbegäran mail.docx", "A 9618-2026")</f>
        <v/>
      </c>
    </row>
    <row r="77" ht="15" customHeight="1">
      <c r="A77" t="inlineStr">
        <is>
          <t>A 55663-2024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46278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Ullticka</t>
        </is>
      </c>
      <c r="W77">
        <f>HYPERLINK("https://klasma.github.io/Logging_0331/artfynd/A 55663-2024 artfynd.xlsx", "A 55663-2024")</f>
        <v/>
      </c>
      <c r="X77">
        <f>HYPERLINK("https://klasma.github.io/Logging_0331/kartor/A 55663-2024 karta.png", "A 55663-2024")</f>
        <v/>
      </c>
      <c r="Y77">
        <f>HYPERLINK("https://klasma.github.io/Logging_0331/kartor_geotiff/A 55663-2024 georefererad karta.tif", "A 55663-2024")</f>
        <v/>
      </c>
      <c r="AA77">
        <f>HYPERLINK("https://klasma.github.io/Logging_0331/klagomål/A 55663-2024 FSC-klagomål.docx", "A 55663-2024")</f>
        <v/>
      </c>
      <c r="AB77">
        <f>HYPERLINK("https://klasma.github.io/Logging_0331/klagomålsmail/A 55663-2024 FSC-klagomål mail.docx", "A 55663-2024")</f>
        <v/>
      </c>
      <c r="AC77">
        <f>HYPERLINK("https://klasma.github.io/Logging_0331/tillsyn/A 55663-2024 tillsynsbegäran.docx", "A 55663-2024")</f>
        <v/>
      </c>
      <c r="AD77">
        <f>HYPERLINK("https://klasma.github.io/Logging_0331/tillsynsmail/A 55663-2024 tillsynsbegäran mail.docx", "A 55663-2024")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46278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17697-2024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46278</v>
      </c>
      <c r="F79" t="inlineStr">
        <is>
          <t>UPPSALA LÄN</t>
        </is>
      </c>
      <c r="G79" t="inlineStr">
        <is>
          <t>HEBY</t>
        </is>
      </c>
      <c r="I79" t="n">
        <v>0.6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HYPERLINK("https://klasma.github.io/Logging_0331/artfynd/A 17697-2024 artfynd.xlsx", "A 17697-2024")</f>
        <v/>
      </c>
      <c r="X79">
        <f>HYPERLINK("https://klasma.github.io/Logging_0331/kartor/A 17697-2024 karta.png", "A 17697-2024")</f>
        <v/>
      </c>
      <c r="Y79">
        <f>HYPERLINK("https://klasma.github.io/Logging_0331/kartor_geotiff/A 17697-2024 georefererad karta.tif", "A 17697-2024")</f>
        <v/>
      </c>
      <c r="AA79">
        <f>HYPERLINK("https://klasma.github.io/Logging_0331/klagomål/A 17697-2024 FSC-klagomål.docx", "A 17697-2024")</f>
        <v/>
      </c>
      <c r="AB79">
        <f>HYPERLINK("https://klasma.github.io/Logging_0331/klagomålsmail/A 17697-2024 FSC-klagomål mail.docx", "A 17697-2024")</f>
        <v/>
      </c>
      <c r="AC79">
        <f>HYPERLINK("https://klasma.github.io/Logging_0331/tillsyn/A 17697-2024 tillsynsbegäran.docx", "A 17697-2024")</f>
        <v/>
      </c>
      <c r="AD79">
        <f>HYPERLINK("https://klasma.github.io/Logging_0331/tillsynsmail/A 17697-2024 tillsynsbegäran mail.docx", "A 17697-2024")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46278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46278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46278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46278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46278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46278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46278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46278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46278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46278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46278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46278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46278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46278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46278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46278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46278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46278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46278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46278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46278</v>
      </c>
      <c r="F100" t="inlineStr">
        <is>
          <t>UPPSALA LÄN</t>
        </is>
      </c>
      <c r="G100" t="inlineStr">
        <is>
          <t>HEBY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46278</v>
      </c>
      <c r="F101" t="inlineStr">
        <is>
          <t>UPPSALA LÄN</t>
        </is>
      </c>
      <c r="G101" t="inlineStr">
        <is>
          <t>HEBY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46278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46278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46278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46278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46278</v>
      </c>
      <c r="F106" t="inlineStr">
        <is>
          <t>UPPSALA LÄN</t>
        </is>
      </c>
      <c r="G106" t="inlineStr">
        <is>
          <t>HEBY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46278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46278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46278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46278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46278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46278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46278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46278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46278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46278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46278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46278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46278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46278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46278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46278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46278</v>
      </c>
      <c r="F123" t="inlineStr">
        <is>
          <t>UPPSALA LÄN</t>
        </is>
      </c>
      <c r="G123" t="inlineStr">
        <is>
          <t>HEBY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46278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46278</v>
      </c>
      <c r="F125" t="inlineStr">
        <is>
          <t>UPPSALA LÄN</t>
        </is>
      </c>
      <c r="G125" t="inlineStr">
        <is>
          <t>HEBY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46278</v>
      </c>
      <c r="F126" t="inlineStr">
        <is>
          <t>UPPSALA LÄN</t>
        </is>
      </c>
      <c r="G126" t="inlineStr">
        <is>
          <t>HEBY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46278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46278</v>
      </c>
      <c r="F128" t="inlineStr">
        <is>
          <t>UPPSALA LÄN</t>
        </is>
      </c>
      <c r="G128" t="inlineStr">
        <is>
          <t>HEBY</t>
        </is>
      </c>
      <c r="I128" t="n">
        <v>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46278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46278</v>
      </c>
      <c r="F130" t="inlineStr">
        <is>
          <t>UPPSALA LÄN</t>
        </is>
      </c>
      <c r="G130" t="inlineStr">
        <is>
          <t>HEBY</t>
        </is>
      </c>
      <c r="H130" t="inlineStr">
        <is>
          <t>Bergvik skog öst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46278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46278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46278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69597-2021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46278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44573</v>
      </c>
      <c r="E135" s="1" t="n">
        <v>46278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46278</v>
      </c>
      <c r="F136" t="inlineStr">
        <is>
          <t>UPPSALA LÄN</t>
        </is>
      </c>
      <c r="G136" t="inlineStr">
        <is>
          <t>HEBY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46278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46278</v>
      </c>
      <c r="F138" t="inlineStr">
        <is>
          <t>UPPSALA LÄN</t>
        </is>
      </c>
      <c r="G138" t="inlineStr">
        <is>
          <t>HEBY</t>
        </is>
      </c>
      <c r="H138" t="inlineStr">
        <is>
          <t>Övriga Aktiebolag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46278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46278</v>
      </c>
      <c r="F140" t="inlineStr">
        <is>
          <t>UPPSALA LÄN</t>
        </is>
      </c>
      <c r="G140" t="inlineStr">
        <is>
          <t>HEBY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46278</v>
      </c>
      <c r="F141" t="inlineStr">
        <is>
          <t>UPPSALA LÄN</t>
        </is>
      </c>
      <c r="G141" t="inlineStr">
        <is>
          <t>HEBY</t>
        </is>
      </c>
      <c r="H141" t="inlineStr">
        <is>
          <t>Övriga Aktiebolag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45331</v>
      </c>
      <c r="E142" s="1" t="n">
        <v>46278</v>
      </c>
      <c r="F142" t="inlineStr">
        <is>
          <t>UPPSALA LÄN</t>
        </is>
      </c>
      <c r="G142" t="inlineStr">
        <is>
          <t>HEBY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46278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46278</v>
      </c>
      <c r="F144" t="inlineStr">
        <is>
          <t>UPPSALA LÄN</t>
        </is>
      </c>
      <c r="G144" t="inlineStr">
        <is>
          <t>HEBY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46278</v>
      </c>
      <c r="F145" t="inlineStr">
        <is>
          <t>UPPSALA LÄN</t>
        </is>
      </c>
      <c r="G145" t="inlineStr">
        <is>
          <t>HEBY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46278</v>
      </c>
      <c r="F146" t="inlineStr">
        <is>
          <t>UPPSALA LÄN</t>
        </is>
      </c>
      <c r="G146" t="inlineStr">
        <is>
          <t>HEBY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46278</v>
      </c>
      <c r="F147" t="inlineStr">
        <is>
          <t>UPPSALA LÄN</t>
        </is>
      </c>
      <c r="G147" t="inlineStr">
        <is>
          <t>HEBY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46278</v>
      </c>
      <c r="F148" t="inlineStr">
        <is>
          <t>UPPSALA LÄN</t>
        </is>
      </c>
      <c r="G148" t="inlineStr">
        <is>
          <t>HEBY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46278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44849</v>
      </c>
      <c r="E150" s="1" t="n">
        <v>46278</v>
      </c>
      <c r="F150" t="inlineStr">
        <is>
          <t>UPPSALA LÄN</t>
        </is>
      </c>
      <c r="G150" t="inlineStr">
        <is>
          <t>HEBY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44823</v>
      </c>
      <c r="E151" s="1" t="n">
        <v>46278</v>
      </c>
      <c r="F151" t="inlineStr">
        <is>
          <t>UPPSALA LÄN</t>
        </is>
      </c>
      <c r="G151" t="inlineStr">
        <is>
          <t>HEBY</t>
        </is>
      </c>
      <c r="H151" t="inlineStr">
        <is>
          <t>Övriga Aktiebolag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45250</v>
      </c>
      <c r="E152" s="1" t="n">
        <v>46278</v>
      </c>
      <c r="F152" t="inlineStr">
        <is>
          <t>UPPSALA LÄN</t>
        </is>
      </c>
      <c r="G152" t="inlineStr">
        <is>
          <t>HEBY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46278</v>
      </c>
      <c r="F153" t="inlineStr">
        <is>
          <t>UPPSALA LÄN</t>
        </is>
      </c>
      <c r="G153" t="inlineStr">
        <is>
          <t>HEBY</t>
        </is>
      </c>
      <c r="I153" t="n">
        <v>10.3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46278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46278</v>
      </c>
      <c r="F155" t="inlineStr">
        <is>
          <t>UPPSALA LÄN</t>
        </is>
      </c>
      <c r="G155" t="inlineStr">
        <is>
          <t>HEBY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46278</v>
      </c>
      <c r="F156" t="inlineStr">
        <is>
          <t>UPPSALA LÄN</t>
        </is>
      </c>
      <c r="G156" t="inlineStr">
        <is>
          <t>HEBY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46278</v>
      </c>
      <c r="F157" t="inlineStr">
        <is>
          <t>UPPSALA LÄN</t>
        </is>
      </c>
      <c r="G157" t="inlineStr">
        <is>
          <t>HEBY</t>
        </is>
      </c>
      <c r="H157" t="inlineStr">
        <is>
          <t>Allmännings- och besparingsskogar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46278</v>
      </c>
      <c r="F158" t="inlineStr">
        <is>
          <t>UPPSALA LÄN</t>
        </is>
      </c>
      <c r="G158" t="inlineStr">
        <is>
          <t>HEBY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46278</v>
      </c>
      <c r="F159" t="inlineStr">
        <is>
          <t>UPPSALA LÄN</t>
        </is>
      </c>
      <c r="G159" t="inlineStr">
        <is>
          <t>HEBY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45339</v>
      </c>
      <c r="E160" s="1" t="n">
        <v>46278</v>
      </c>
      <c r="F160" t="inlineStr">
        <is>
          <t>UPPSALA LÄN</t>
        </is>
      </c>
      <c r="G160" t="inlineStr">
        <is>
          <t>HEBY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45502</v>
      </c>
      <c r="E161" s="1" t="n">
        <v>46278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44477</v>
      </c>
      <c r="E162" s="1" t="n">
        <v>46278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46278</v>
      </c>
      <c r="F163" t="inlineStr">
        <is>
          <t>UPPSALA LÄN</t>
        </is>
      </c>
      <c r="G163" t="inlineStr">
        <is>
          <t>HEBY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44844</v>
      </c>
      <c r="E164" s="1" t="n">
        <v>46278</v>
      </c>
      <c r="F164" t="inlineStr">
        <is>
          <t>UPPSALA LÄN</t>
        </is>
      </c>
      <c r="G164" t="inlineStr">
        <is>
          <t>HEBY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44574</v>
      </c>
      <c r="E165" s="1" t="n">
        <v>46278</v>
      </c>
      <c r="F165" t="inlineStr">
        <is>
          <t>UPPSALA LÄN</t>
        </is>
      </c>
      <c r="G165" t="inlineStr">
        <is>
          <t>HEBY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46278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64899-2021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44512</v>
      </c>
      <c r="E167" s="1" t="n">
        <v>46278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öst AB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44886</v>
      </c>
      <c r="E168" s="1" t="n">
        <v>46278</v>
      </c>
      <c r="F168" t="inlineStr">
        <is>
          <t>UPPSALA LÄN</t>
        </is>
      </c>
      <c r="G168" t="inlineStr">
        <is>
          <t>HEBY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46278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44913</v>
      </c>
      <c r="E170" s="1" t="n">
        <v>46278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44586</v>
      </c>
      <c r="E171" s="1" t="n">
        <v>46278</v>
      </c>
      <c r="F171" t="inlineStr">
        <is>
          <t>UPPSALA LÄN</t>
        </is>
      </c>
      <c r="G171" t="inlineStr">
        <is>
          <t>HEBY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42859-2024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45566</v>
      </c>
      <c r="E172" s="1" t="n">
        <v>46278</v>
      </c>
      <c r="F172" t="inlineStr">
        <is>
          <t>UPPSALA LÄN</t>
        </is>
      </c>
      <c r="G172" t="inlineStr">
        <is>
          <t>HEBY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46278</v>
      </c>
      <c r="F173" t="inlineStr">
        <is>
          <t>UPPSALA LÄN</t>
        </is>
      </c>
      <c r="G173" t="inlineStr">
        <is>
          <t>HEBY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45519</v>
      </c>
      <c r="E174" s="1" t="n">
        <v>46278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46278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45119</v>
      </c>
      <c r="E176" s="1" t="n">
        <v>46278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66.90000000000001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46278</v>
      </c>
      <c r="F177" t="inlineStr">
        <is>
          <t>UPPSALA LÄN</t>
        </is>
      </c>
      <c r="G177" t="inlineStr">
        <is>
          <t>HEBY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46278</v>
      </c>
      <c r="F178" t="inlineStr">
        <is>
          <t>UPPSALA LÄN</t>
        </is>
      </c>
      <c r="G178" t="inlineStr">
        <is>
          <t>HEBY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46278</v>
      </c>
      <c r="F179" t="inlineStr">
        <is>
          <t>UPPSALA LÄN</t>
        </is>
      </c>
      <c r="G179" t="inlineStr">
        <is>
          <t>HEBY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46278</v>
      </c>
      <c r="F180" t="inlineStr">
        <is>
          <t>UPPSALA LÄN</t>
        </is>
      </c>
      <c r="G180" t="inlineStr">
        <is>
          <t>HEBY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44873</v>
      </c>
      <c r="E181" s="1" t="n">
        <v>46278</v>
      </c>
      <c r="F181" t="inlineStr">
        <is>
          <t>UPPSALA LÄN</t>
        </is>
      </c>
      <c r="G181" t="inlineStr">
        <is>
          <t>HEBY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46278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46278</v>
      </c>
      <c r="F183" t="inlineStr">
        <is>
          <t>UPPSALA LÄN</t>
        </is>
      </c>
      <c r="G183" t="inlineStr">
        <is>
          <t>HEBY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46278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45331</v>
      </c>
      <c r="E185" s="1" t="n">
        <v>46278</v>
      </c>
      <c r="F185" t="inlineStr">
        <is>
          <t>UPPSALA LÄN</t>
        </is>
      </c>
      <c r="G185" t="inlineStr">
        <is>
          <t>HEBY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45062</v>
      </c>
      <c r="E186" s="1" t="n">
        <v>46278</v>
      </c>
      <c r="F186" t="inlineStr">
        <is>
          <t>UPPSALA LÄN</t>
        </is>
      </c>
      <c r="G186" t="inlineStr">
        <is>
          <t>HEBY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45050</v>
      </c>
      <c r="E187" s="1" t="n">
        <v>46278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44943</v>
      </c>
      <c r="E188" s="1" t="n">
        <v>46278</v>
      </c>
      <c r="F188" t="inlineStr">
        <is>
          <t>UPPSALA LÄN</t>
        </is>
      </c>
      <c r="G188" t="inlineStr">
        <is>
          <t>HEBY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46278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46278</v>
      </c>
      <c r="F190" t="inlineStr">
        <is>
          <t>UPPSALA LÄN</t>
        </is>
      </c>
      <c r="G190" t="inlineStr">
        <is>
          <t>HEBY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46278</v>
      </c>
      <c r="F191" t="inlineStr">
        <is>
          <t>UPPSALA LÄN</t>
        </is>
      </c>
      <c r="G191" t="inlineStr">
        <is>
          <t>HEBY</t>
        </is>
      </c>
      <c r="H191" t="inlineStr">
        <is>
          <t>Övriga Aktiebolag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46278</v>
      </c>
      <c r="F192" t="inlineStr">
        <is>
          <t>UPPSALA LÄN</t>
        </is>
      </c>
      <c r="G192" t="inlineStr">
        <is>
          <t>HEBY</t>
        </is>
      </c>
      <c r="H192" t="inlineStr">
        <is>
          <t>Övriga Aktiebolag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46278</v>
      </c>
      <c r="F193" t="inlineStr">
        <is>
          <t>UPPSALA LÄN</t>
        </is>
      </c>
      <c r="G193" t="inlineStr">
        <is>
          <t>HEBY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46278</v>
      </c>
      <c r="F194" t="inlineStr">
        <is>
          <t>UPPSALA LÄN</t>
        </is>
      </c>
      <c r="G194" t="inlineStr">
        <is>
          <t>HEBY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46278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19132-2025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46278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46278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46278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43.4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46278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46278</v>
      </c>
      <c r="F200" t="inlineStr">
        <is>
          <t>UPPSALA LÄN</t>
        </is>
      </c>
      <c r="G200" t="inlineStr">
        <is>
          <t>HEBY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44916</v>
      </c>
      <c r="E201" s="1" t="n">
        <v>46278</v>
      </c>
      <c r="F201" t="inlineStr">
        <is>
          <t>UPPSALA LÄN</t>
        </is>
      </c>
      <c r="G201" t="inlineStr">
        <is>
          <t>HEBY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45364</v>
      </c>
      <c r="E202" s="1" t="n">
        <v>46278</v>
      </c>
      <c r="F202" t="inlineStr">
        <is>
          <t>UPPSALA LÄN</t>
        </is>
      </c>
      <c r="G202" t="inlineStr">
        <is>
          <t>HEBY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45364</v>
      </c>
      <c r="E203" s="1" t="n">
        <v>46278</v>
      </c>
      <c r="F203" t="inlineStr">
        <is>
          <t>UPPSALA LÄN</t>
        </is>
      </c>
      <c r="G203" t="inlineStr">
        <is>
          <t>HEBY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46278</v>
      </c>
      <c r="F204" t="inlineStr">
        <is>
          <t>UPPSALA LÄN</t>
        </is>
      </c>
      <c r="G204" t="inlineStr">
        <is>
          <t>HEBY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46278</v>
      </c>
      <c r="F205" t="inlineStr">
        <is>
          <t>UPPSALA LÄN</t>
        </is>
      </c>
      <c r="G205" t="inlineStr">
        <is>
          <t>HEBY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46278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46278</v>
      </c>
      <c r="F207" t="inlineStr">
        <is>
          <t>UPPSALA LÄN</t>
        </is>
      </c>
      <c r="G207" t="inlineStr">
        <is>
          <t>HEBY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46278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46278</v>
      </c>
      <c r="F209" t="inlineStr">
        <is>
          <t>UPPSALA LÄN</t>
        </is>
      </c>
      <c r="G209" t="inlineStr">
        <is>
          <t>HEBY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46278</v>
      </c>
      <c r="F210" t="inlineStr">
        <is>
          <t>UPPSALA LÄN</t>
        </is>
      </c>
      <c r="G210" t="inlineStr">
        <is>
          <t>HEBY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45847</v>
      </c>
      <c r="E211" s="1" t="n">
        <v>46278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46278</v>
      </c>
      <c r="F212" t="inlineStr">
        <is>
          <t>UPPSALA LÄN</t>
        </is>
      </c>
      <c r="G212" t="inlineStr">
        <is>
          <t>HEBY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46278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46278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45852</v>
      </c>
      <c r="E215" s="1" t="n">
        <v>46278</v>
      </c>
      <c r="F215" t="inlineStr">
        <is>
          <t>UPPSALA LÄN</t>
        </is>
      </c>
      <c r="G215" t="inlineStr">
        <is>
          <t>HEBY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45852</v>
      </c>
      <c r="E216" s="1" t="n">
        <v>46278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10.3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46278</v>
      </c>
      <c r="F217" t="inlineStr">
        <is>
          <t>UPPSALA LÄN</t>
        </is>
      </c>
      <c r="G217" t="inlineStr">
        <is>
          <t>HEBY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44601</v>
      </c>
      <c r="E218" s="1" t="n">
        <v>46278</v>
      </c>
      <c r="F218" t="inlineStr">
        <is>
          <t>UPPSALA LÄN</t>
        </is>
      </c>
      <c r="G218" t="inlineStr">
        <is>
          <t>HEBY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45422</v>
      </c>
      <c r="E219" s="1" t="n">
        <v>46278</v>
      </c>
      <c r="F219" t="inlineStr">
        <is>
          <t>UPPSALA LÄN</t>
        </is>
      </c>
      <c r="G219" t="inlineStr">
        <is>
          <t>HEBY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19990-2022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44697</v>
      </c>
      <c r="E220" s="1" t="n">
        <v>46278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14.3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46278</v>
      </c>
      <c r="F221" t="inlineStr">
        <is>
          <t>UPPSALA LÄN</t>
        </is>
      </c>
      <c r="G221" t="inlineStr">
        <is>
          <t>HEBY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46278</v>
      </c>
      <c r="F222" t="inlineStr">
        <is>
          <t>UPPSALA LÄN</t>
        </is>
      </c>
      <c r="G222" t="inlineStr">
        <is>
          <t>HEBY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59486-2021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44491</v>
      </c>
      <c r="E223" s="1" t="n">
        <v>46278</v>
      </c>
      <c r="F223" t="inlineStr">
        <is>
          <t>UPPSALA LÄN</t>
        </is>
      </c>
      <c r="G223" t="inlineStr">
        <is>
          <t>HEBY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46278</v>
      </c>
      <c r="F224" t="inlineStr">
        <is>
          <t>UPPSALA LÄN</t>
        </is>
      </c>
      <c r="G224" t="inlineStr">
        <is>
          <t>HEBY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46278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45294</v>
      </c>
      <c r="E226" s="1" t="n">
        <v>46278</v>
      </c>
      <c r="F226" t="inlineStr">
        <is>
          <t>UPPSALA LÄN</t>
        </is>
      </c>
      <c r="G226" t="inlineStr">
        <is>
          <t>HEBY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46278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46278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46278</v>
      </c>
      <c r="F229" t="inlineStr">
        <is>
          <t>UPPSALA LÄN</t>
        </is>
      </c>
      <c r="G229" t="inlineStr">
        <is>
          <t>HEBY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44956</v>
      </c>
      <c r="E230" s="1" t="n">
        <v>46278</v>
      </c>
      <c r="F230" t="inlineStr">
        <is>
          <t>UPPSALA LÄN</t>
        </is>
      </c>
      <c r="G230" t="inlineStr">
        <is>
          <t>HEBY</t>
        </is>
      </c>
      <c r="H230" t="inlineStr">
        <is>
          <t>Kyrkan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46278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46278</v>
      </c>
      <c r="F232" t="inlineStr">
        <is>
          <t>UPPSALA LÄN</t>
        </is>
      </c>
      <c r="G232" t="inlineStr">
        <is>
          <t>HEBY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46278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46278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46278</v>
      </c>
      <c r="F235" t="inlineStr">
        <is>
          <t>UPPSALA LÄN</t>
        </is>
      </c>
      <c r="G235" t="inlineStr">
        <is>
          <t>HEBY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46278</v>
      </c>
      <c r="F236" t="inlineStr">
        <is>
          <t>UPPSALA LÄN</t>
        </is>
      </c>
      <c r="G236" t="inlineStr">
        <is>
          <t>HEBY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46278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70158-2021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44533</v>
      </c>
      <c r="E238" s="1" t="n">
        <v>46278</v>
      </c>
      <c r="F238" t="inlineStr">
        <is>
          <t>UPPSALA LÄN</t>
        </is>
      </c>
      <c r="G238" t="inlineStr">
        <is>
          <t>HEBY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45777</v>
      </c>
      <c r="E239" s="1" t="n">
        <v>46278</v>
      </c>
      <c r="F239" t="inlineStr">
        <is>
          <t>UPPSALA LÄN</t>
        </is>
      </c>
      <c r="G239" t="inlineStr">
        <is>
          <t>HEBY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46278</v>
      </c>
      <c r="F240" t="inlineStr">
        <is>
          <t>UPPSALA LÄN</t>
        </is>
      </c>
      <c r="G240" t="inlineStr">
        <is>
          <t>HEBY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46278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väst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46278</v>
      </c>
      <c r="F242" t="inlineStr">
        <is>
          <t>UPPSALA LÄN</t>
        </is>
      </c>
      <c r="G242" t="inlineStr">
        <is>
          <t>HEBY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46278</v>
      </c>
      <c r="F243" t="inlineStr">
        <is>
          <t>UPPSALA LÄN</t>
        </is>
      </c>
      <c r="G243" t="inlineStr">
        <is>
          <t>HEBY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45294</v>
      </c>
      <c r="E244" s="1" t="n">
        <v>46278</v>
      </c>
      <c r="F244" t="inlineStr">
        <is>
          <t>UPPSALA LÄN</t>
        </is>
      </c>
      <c r="G244" t="inlineStr">
        <is>
          <t>HEBY</t>
        </is>
      </c>
      <c r="H244" t="inlineStr">
        <is>
          <t>Kommuner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46278</v>
      </c>
      <c r="F245" t="inlineStr">
        <is>
          <t>UPPSALA LÄN</t>
        </is>
      </c>
      <c r="G245" t="inlineStr">
        <is>
          <t>HEBY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35868-2022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46278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16083-2025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46278</v>
      </c>
      <c r="F247" t="inlineStr">
        <is>
          <t>UPPSALA LÄN</t>
        </is>
      </c>
      <c r="G247" t="inlineStr">
        <is>
          <t>HEBY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45943</v>
      </c>
      <c r="E248" s="1" t="n">
        <v>46278</v>
      </c>
      <c r="F248" t="inlineStr">
        <is>
          <t>UPPSALA LÄN</t>
        </is>
      </c>
      <c r="G248" t="inlineStr">
        <is>
          <t>HEBY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46278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46278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46278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46278</v>
      </c>
      <c r="F252" t="inlineStr">
        <is>
          <t>UPPSALA LÄN</t>
        </is>
      </c>
      <c r="G252" t="inlineStr">
        <is>
          <t>HEBY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46278</v>
      </c>
      <c r="F253" t="inlineStr">
        <is>
          <t>UPPSALA LÄN</t>
        </is>
      </c>
      <c r="G253" t="inlineStr">
        <is>
          <t>HEBY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46278</v>
      </c>
      <c r="F254" t="inlineStr">
        <is>
          <t>UPPSALA LÄN</t>
        </is>
      </c>
      <c r="G254" t="inlineStr">
        <is>
          <t>HEBY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46093</v>
      </c>
      <c r="E255" s="1" t="n">
        <v>46278</v>
      </c>
      <c r="F255" t="inlineStr">
        <is>
          <t>UPPSALA LÄN</t>
        </is>
      </c>
      <c r="G255" t="inlineStr">
        <is>
          <t>HEBY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46278</v>
      </c>
      <c r="F256" t="inlineStr">
        <is>
          <t>UPPSALA LÄN</t>
        </is>
      </c>
      <c r="G256" t="inlineStr">
        <is>
          <t>HEBY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46278</v>
      </c>
      <c r="F257" t="inlineStr">
        <is>
          <t>UPPSALA LÄN</t>
        </is>
      </c>
      <c r="G257" t="inlineStr">
        <is>
          <t>HEBY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46278</v>
      </c>
      <c r="F258" t="inlineStr">
        <is>
          <t>UPPSALA LÄN</t>
        </is>
      </c>
      <c r="G258" t="inlineStr">
        <is>
          <t>HEBY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44810</v>
      </c>
      <c r="E259" s="1" t="n">
        <v>46278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46278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46278</v>
      </c>
      <c r="F261" t="inlineStr">
        <is>
          <t>UPPSALA LÄN</t>
        </is>
      </c>
      <c r="G261" t="inlineStr">
        <is>
          <t>HEBY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46278</v>
      </c>
      <c r="F262" t="inlineStr">
        <is>
          <t>UPPSALA LÄN</t>
        </is>
      </c>
      <c r="G262" t="inlineStr">
        <is>
          <t>HEBY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46278</v>
      </c>
      <c r="F263" t="inlineStr">
        <is>
          <t>UPPSALA LÄN</t>
        </is>
      </c>
      <c r="G263" t="inlineStr">
        <is>
          <t>HEBY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46278</v>
      </c>
      <c r="F264" t="inlineStr">
        <is>
          <t>UPPSALA LÄN</t>
        </is>
      </c>
      <c r="G264" t="inlineStr">
        <is>
          <t>HEBY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44754</v>
      </c>
      <c r="E265" s="1" t="n">
        <v>46278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öst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45132</v>
      </c>
      <c r="E266" s="1" t="n">
        <v>46278</v>
      </c>
      <c r="F266" t="inlineStr">
        <is>
          <t>UPPSALA LÄN</t>
        </is>
      </c>
      <c r="G266" t="inlineStr">
        <is>
          <t>HEBY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45132</v>
      </c>
      <c r="E267" s="1" t="n">
        <v>46278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44694</v>
      </c>
      <c r="E268" s="1" t="n">
        <v>46278</v>
      </c>
      <c r="F268" t="inlineStr">
        <is>
          <t>UPPSALA LÄN</t>
        </is>
      </c>
      <c r="G268" t="inlineStr">
        <is>
          <t>HEBY</t>
        </is>
      </c>
      <c r="I268" t="n">
        <v>22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45951</v>
      </c>
      <c r="E269" s="1" t="n">
        <v>46278</v>
      </c>
      <c r="F269" t="inlineStr">
        <is>
          <t>UPPSALA LÄN</t>
        </is>
      </c>
      <c r="G269" t="inlineStr">
        <is>
          <t>HEBY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45132</v>
      </c>
      <c r="E270" s="1" t="n">
        <v>46278</v>
      </c>
      <c r="F270" t="inlineStr">
        <is>
          <t>UPPSALA LÄN</t>
        </is>
      </c>
      <c r="G270" t="inlineStr">
        <is>
          <t>HEBY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8182-2022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46278</v>
      </c>
      <c r="F271" t="inlineStr">
        <is>
          <t>UPPSALA LÄN</t>
        </is>
      </c>
      <c r="G271" t="inlineStr">
        <is>
          <t>HEBY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46278</v>
      </c>
      <c r="F272" t="inlineStr">
        <is>
          <t>UPPSALA LÄN</t>
        </is>
      </c>
      <c r="G272" t="inlineStr">
        <is>
          <t>HEBY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52861-2025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46278</v>
      </c>
      <c r="F273" t="inlineStr">
        <is>
          <t>UPPSALA LÄN</t>
        </is>
      </c>
      <c r="G273" t="inlineStr">
        <is>
          <t>HEBY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45958</v>
      </c>
      <c r="E274" s="1" t="n">
        <v>46278</v>
      </c>
      <c r="F274" t="inlineStr">
        <is>
          <t>UPPSALA LÄN</t>
        </is>
      </c>
      <c r="G274" t="inlineStr">
        <is>
          <t>HEBY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46278</v>
      </c>
      <c r="F275" t="inlineStr">
        <is>
          <t>UPPSALA LÄN</t>
        </is>
      </c>
      <c r="G275" t="inlineStr">
        <is>
          <t>HEBY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46110</v>
      </c>
      <c r="E276" s="1" t="n">
        <v>46278</v>
      </c>
      <c r="F276" t="inlineStr">
        <is>
          <t>UPPSALA LÄN</t>
        </is>
      </c>
      <c r="G276" t="inlineStr">
        <is>
          <t>HEBY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46278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45351</v>
      </c>
      <c r="E278" s="1" t="n">
        <v>46278</v>
      </c>
      <c r="F278" t="inlineStr">
        <is>
          <t>UPPSALA LÄN</t>
        </is>
      </c>
      <c r="G278" t="inlineStr">
        <is>
          <t>HEBY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46278</v>
      </c>
      <c r="F279" t="inlineStr">
        <is>
          <t>UPPSALA LÄN</t>
        </is>
      </c>
      <c r="G279" t="inlineStr">
        <is>
          <t>HEBY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16506-2026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46112</v>
      </c>
      <c r="E280" s="1" t="n">
        <v>46278</v>
      </c>
      <c r="F280" t="inlineStr">
        <is>
          <t>UPPSALA LÄN</t>
        </is>
      </c>
      <c r="G280" t="inlineStr">
        <is>
          <t>HEBY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46278</v>
      </c>
      <c r="F281" t="inlineStr">
        <is>
          <t>UPPSALA LÄN</t>
        </is>
      </c>
      <c r="G281" t="inlineStr">
        <is>
          <t>HEBY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46278</v>
      </c>
      <c r="F282" t="inlineStr">
        <is>
          <t>UPPSALA LÄN</t>
        </is>
      </c>
      <c r="G282" t="inlineStr">
        <is>
          <t>HEBY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46112</v>
      </c>
      <c r="E283" s="1" t="n">
        <v>46278</v>
      </c>
      <c r="F283" t="inlineStr">
        <is>
          <t>UPPSALA LÄN</t>
        </is>
      </c>
      <c r="G283" t="inlineStr">
        <is>
          <t>HEBY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46278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55488-2025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45971</v>
      </c>
      <c r="E285" s="1" t="n">
        <v>46278</v>
      </c>
      <c r="F285" t="inlineStr">
        <is>
          <t>UPPSALA LÄN</t>
        </is>
      </c>
      <c r="G285" t="inlineStr">
        <is>
          <t>HEBY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55496-2025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45971</v>
      </c>
      <c r="E286" s="1" t="n">
        <v>46278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46278</v>
      </c>
      <c r="F287" t="inlineStr">
        <is>
          <t>UPPSALA LÄN</t>
        </is>
      </c>
      <c r="G287" t="inlineStr">
        <is>
          <t>HEBY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46278</v>
      </c>
      <c r="F288" t="inlineStr">
        <is>
          <t>UPPSALA LÄN</t>
        </is>
      </c>
      <c r="G288" t="inlineStr">
        <is>
          <t>HEBY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46278</v>
      </c>
      <c r="F289" t="inlineStr">
        <is>
          <t>UPPSALA LÄN</t>
        </is>
      </c>
      <c r="G289" t="inlineStr">
        <is>
          <t>HEBY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46278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51091-2023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45218</v>
      </c>
      <c r="E291" s="1" t="n">
        <v>46278</v>
      </c>
      <c r="F291" t="inlineStr">
        <is>
          <t>UPPSALA LÄN</t>
        </is>
      </c>
      <c r="G291" t="inlineStr">
        <is>
          <t>HEBY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45216</v>
      </c>
      <c r="E292" s="1" t="n">
        <v>46278</v>
      </c>
      <c r="F292" t="inlineStr">
        <is>
          <t>UPPSALA LÄN</t>
        </is>
      </c>
      <c r="G292" t="inlineStr">
        <is>
          <t>HEBY</t>
        </is>
      </c>
      <c r="I292" t="n">
        <v>10.9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46278</v>
      </c>
      <c r="F293" t="inlineStr">
        <is>
          <t>UPPSALA LÄN</t>
        </is>
      </c>
      <c r="G293" t="inlineStr">
        <is>
          <t>HEBY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46278</v>
      </c>
      <c r="F294" t="inlineStr">
        <is>
          <t>UPPSALA LÄN</t>
        </is>
      </c>
      <c r="G294" t="inlineStr">
        <is>
          <t>HEBY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46278</v>
      </c>
      <c r="F295" t="inlineStr">
        <is>
          <t>UPPSALA LÄN</t>
        </is>
      </c>
      <c r="G295" t="inlineStr">
        <is>
          <t>HEBY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46278</v>
      </c>
      <c r="F296" t="inlineStr">
        <is>
          <t>UPPSALA LÄN</t>
        </is>
      </c>
      <c r="G296" t="inlineStr">
        <is>
          <t>HEBY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44684</v>
      </c>
      <c r="E297" s="1" t="n">
        <v>46278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väst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46278</v>
      </c>
      <c r="F298" t="inlineStr">
        <is>
          <t>UPPSALA LÄN</t>
        </is>
      </c>
      <c r="G298" t="inlineStr">
        <is>
          <t>HEBY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46278</v>
      </c>
      <c r="F299" t="inlineStr">
        <is>
          <t>UPPSALA LÄN</t>
        </is>
      </c>
      <c r="G299" t="inlineStr">
        <is>
          <t>HEBY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51733-2025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46278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öst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46278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46278</v>
      </c>
      <c r="F302" t="inlineStr">
        <is>
          <t>UPPSALA LÄN</t>
        </is>
      </c>
      <c r="G302" t="inlineStr">
        <is>
          <t>HEBY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46278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70976-2021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44538</v>
      </c>
      <c r="E304" s="1" t="n">
        <v>46278</v>
      </c>
      <c r="F304" t="inlineStr">
        <is>
          <t>UPPSALA LÄN</t>
        </is>
      </c>
      <c r="G304" t="inlineStr">
        <is>
          <t>HEBY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46278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46133</v>
      </c>
      <c r="E306" s="1" t="n">
        <v>46278</v>
      </c>
      <c r="F306" t="inlineStr">
        <is>
          <t>UPPSALA LÄN</t>
        </is>
      </c>
      <c r="G306" t="inlineStr">
        <is>
          <t>HEBY</t>
        </is>
      </c>
      <c r="H306" t="inlineStr">
        <is>
          <t>Kyrkan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46278</v>
      </c>
      <c r="F307" t="inlineStr">
        <is>
          <t>UPPSALA LÄN</t>
        </is>
      </c>
      <c r="G307" t="inlineStr">
        <is>
          <t>HEBY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46278</v>
      </c>
      <c r="F308" t="inlineStr">
        <is>
          <t>UPPSALA LÄN</t>
        </is>
      </c>
      <c r="G308" t="inlineStr">
        <is>
          <t>HEBY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44944</v>
      </c>
      <c r="E309" s="1" t="n">
        <v>46278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46278</v>
      </c>
      <c r="F310" t="inlineStr">
        <is>
          <t>UPPSALA LÄN</t>
        </is>
      </c>
      <c r="G310" t="inlineStr">
        <is>
          <t>HEBY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46278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50859-2022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44862</v>
      </c>
      <c r="E312" s="1" t="n">
        <v>46278</v>
      </c>
      <c r="F312" t="inlineStr">
        <is>
          <t>UPPSALA LÄN</t>
        </is>
      </c>
      <c r="G312" t="inlineStr">
        <is>
          <t>HEBY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46278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46278</v>
      </c>
      <c r="F314" t="inlineStr">
        <is>
          <t>UPPSALA LÄN</t>
        </is>
      </c>
      <c r="G314" t="inlineStr">
        <is>
          <t>HEBY</t>
        </is>
      </c>
      <c r="I314" t="n">
        <v>10.6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46278</v>
      </c>
      <c r="F315" t="inlineStr">
        <is>
          <t>UPPSALA LÄN</t>
        </is>
      </c>
      <c r="G315" t="inlineStr">
        <is>
          <t>HEBY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46278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46005</v>
      </c>
      <c r="E317" s="1" t="n">
        <v>46278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46278</v>
      </c>
      <c r="F318" t="inlineStr">
        <is>
          <t>UPPSALA LÄN</t>
        </is>
      </c>
      <c r="G318" t="inlineStr">
        <is>
          <t>HEBY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45279</v>
      </c>
      <c r="E319" s="1" t="n">
        <v>46278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46278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46278</v>
      </c>
      <c r="F321" t="inlineStr">
        <is>
          <t>UPPSALA LÄN</t>
        </is>
      </c>
      <c r="G321" t="inlineStr">
        <is>
          <t>HEBY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45090</v>
      </c>
      <c r="E322" s="1" t="n">
        <v>46278</v>
      </c>
      <c r="F322" t="inlineStr">
        <is>
          <t>UPPSALA LÄN</t>
        </is>
      </c>
      <c r="G322" t="inlineStr">
        <is>
          <t>HEBY</t>
        </is>
      </c>
      <c r="H322" t="inlineStr">
        <is>
          <t>Övriga Aktiebolag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66055-2021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44517</v>
      </c>
      <c r="E323" s="1" t="n">
        <v>46278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öst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46278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18056-2025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45761</v>
      </c>
      <c r="E325" s="1" t="n">
        <v>46278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46278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öst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72180-2021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44543</v>
      </c>
      <c r="E327" s="1" t="n">
        <v>46278</v>
      </c>
      <c r="F327" t="inlineStr">
        <is>
          <t>UPPSALA LÄN</t>
        </is>
      </c>
      <c r="G327" t="inlineStr">
        <is>
          <t>HEBY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46023</v>
      </c>
      <c r="E328" s="1" t="n">
        <v>46278</v>
      </c>
      <c r="F328" t="inlineStr">
        <is>
          <t>UPPSALA LÄN</t>
        </is>
      </c>
      <c r="G328" t="inlineStr">
        <is>
          <t>HEBY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44914</v>
      </c>
      <c r="E329" s="1" t="n">
        <v>46278</v>
      </c>
      <c r="F329" t="inlineStr">
        <is>
          <t>UPPSALA LÄN</t>
        </is>
      </c>
      <c r="G329" t="inlineStr">
        <is>
          <t>HEBY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31566-2023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46278</v>
      </c>
      <c r="F330" t="inlineStr">
        <is>
          <t>UPPSALA LÄN</t>
        </is>
      </c>
      <c r="G330" t="inlineStr">
        <is>
          <t>HEBY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46278</v>
      </c>
      <c r="F331" t="inlineStr">
        <is>
          <t>UPPSALA LÄN</t>
        </is>
      </c>
      <c r="G331" t="inlineStr">
        <is>
          <t>HEBY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46278</v>
      </c>
      <c r="F332" t="inlineStr">
        <is>
          <t>UPPSALA LÄN</t>
        </is>
      </c>
      <c r="G332" t="inlineStr">
        <is>
          <t>HEBY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46278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46278</v>
      </c>
      <c r="F334" t="inlineStr">
        <is>
          <t>UPPSALA LÄN</t>
        </is>
      </c>
      <c r="G334" t="inlineStr">
        <is>
          <t>HEBY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46278</v>
      </c>
      <c r="F335" t="inlineStr">
        <is>
          <t>UPPSALA LÄN</t>
        </is>
      </c>
      <c r="G335" t="inlineStr">
        <is>
          <t>HEBY</t>
        </is>
      </c>
      <c r="H335" t="inlineStr">
        <is>
          <t>Allmännings- och besparingsskogar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46278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46278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46278</v>
      </c>
      <c r="F338" t="inlineStr">
        <is>
          <t>UPPSALA LÄN</t>
        </is>
      </c>
      <c r="G338" t="inlineStr">
        <is>
          <t>HEBY</t>
        </is>
      </c>
      <c r="H338" t="inlineStr">
        <is>
          <t>Kyrkan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46278</v>
      </c>
      <c r="F339" t="inlineStr">
        <is>
          <t>UPPSALA LÄN</t>
        </is>
      </c>
      <c r="G339" t="inlineStr">
        <is>
          <t>HEBY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73622-2021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44552</v>
      </c>
      <c r="E340" s="1" t="n">
        <v>46278</v>
      </c>
      <c r="F340" t="inlineStr">
        <is>
          <t>UPPSALA LÄN</t>
        </is>
      </c>
      <c r="G340" t="inlineStr">
        <is>
          <t>HEBY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45411</v>
      </c>
      <c r="E341" s="1" t="n">
        <v>46278</v>
      </c>
      <c r="F341" t="inlineStr">
        <is>
          <t>UPPSALA LÄN</t>
        </is>
      </c>
      <c r="G341" t="inlineStr">
        <is>
          <t>HEBY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46278</v>
      </c>
      <c r="F342" t="inlineStr">
        <is>
          <t>UPPSALA LÄN</t>
        </is>
      </c>
      <c r="G342" t="inlineStr">
        <is>
          <t>HEBY</t>
        </is>
      </c>
      <c r="H342" t="inlineStr">
        <is>
          <t>Kyrkan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46278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45884</v>
      </c>
      <c r="E344" s="1" t="n">
        <v>46278</v>
      </c>
      <c r="F344" t="inlineStr">
        <is>
          <t>UPPSALA LÄN</t>
        </is>
      </c>
      <c r="G344" t="inlineStr">
        <is>
          <t>HEBY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46278</v>
      </c>
      <c r="F345" t="inlineStr">
        <is>
          <t>UPPSALA LÄN</t>
        </is>
      </c>
      <c r="G345" t="inlineStr">
        <is>
          <t>HEBY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46278</v>
      </c>
      <c r="F346" t="inlineStr">
        <is>
          <t>UPPSALA LÄN</t>
        </is>
      </c>
      <c r="G346" t="inlineStr">
        <is>
          <t>HEBY</t>
        </is>
      </c>
      <c r="H346" t="inlineStr">
        <is>
          <t>Allmännings- och besparingsskogar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46278</v>
      </c>
      <c r="F347" t="inlineStr">
        <is>
          <t>UPPSALA LÄN</t>
        </is>
      </c>
      <c r="G347" t="inlineStr">
        <is>
          <t>HEBY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46278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46278</v>
      </c>
      <c r="F349" t="inlineStr">
        <is>
          <t>UPPSALA LÄN</t>
        </is>
      </c>
      <c r="G349" t="inlineStr">
        <is>
          <t>HEBY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46278</v>
      </c>
      <c r="F350" t="inlineStr">
        <is>
          <t>UPPSALA LÄN</t>
        </is>
      </c>
      <c r="G350" t="inlineStr">
        <is>
          <t>HEBY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46278</v>
      </c>
      <c r="F351" t="inlineStr">
        <is>
          <t>UPPSALA LÄN</t>
        </is>
      </c>
      <c r="G351" t="inlineStr">
        <is>
          <t>HEBY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46278</v>
      </c>
      <c r="F352" t="inlineStr">
        <is>
          <t>UPPSALA LÄN</t>
        </is>
      </c>
      <c r="G352" t="inlineStr">
        <is>
          <t>HEBY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44568</v>
      </c>
      <c r="E353" s="1" t="n">
        <v>46278</v>
      </c>
      <c r="F353" t="inlineStr">
        <is>
          <t>UPPSALA LÄN</t>
        </is>
      </c>
      <c r="G353" t="inlineStr">
        <is>
          <t>HEBY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46278</v>
      </c>
      <c r="F354" t="inlineStr">
        <is>
          <t>UPPSALA LÄN</t>
        </is>
      </c>
      <c r="G354" t="inlineStr">
        <is>
          <t>HEBY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46278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46278</v>
      </c>
      <c r="F356" t="inlineStr">
        <is>
          <t>UPPSALA LÄN</t>
        </is>
      </c>
      <c r="G356" t="inlineStr">
        <is>
          <t>HEBY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46278</v>
      </c>
      <c r="F357" t="inlineStr">
        <is>
          <t>UPPSALA LÄN</t>
        </is>
      </c>
      <c r="G357" t="inlineStr">
        <is>
          <t>HEBY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46278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46278</v>
      </c>
      <c r="F359" t="inlineStr">
        <is>
          <t>UPPSALA LÄN</t>
        </is>
      </c>
      <c r="G359" t="inlineStr">
        <is>
          <t>HEBY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46278</v>
      </c>
      <c r="F360" t="inlineStr">
        <is>
          <t>UPPSALA LÄN</t>
        </is>
      </c>
      <c r="G360" t="inlineStr">
        <is>
          <t>HEBY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11555-2026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46084</v>
      </c>
      <c r="E361" s="1" t="n">
        <v>46278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46278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46278</v>
      </c>
      <c r="F363" t="inlineStr">
        <is>
          <t>UPPSALA LÄN</t>
        </is>
      </c>
      <c r="G363" t="inlineStr">
        <is>
          <t>HEBY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46278</v>
      </c>
      <c r="F364" t="inlineStr">
        <is>
          <t>UPPSALA LÄN</t>
        </is>
      </c>
      <c r="G364" t="inlineStr">
        <is>
          <t>HEBY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46278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46278</v>
      </c>
      <c r="F366" t="inlineStr">
        <is>
          <t>UPPSALA LÄN</t>
        </is>
      </c>
      <c r="G366" t="inlineStr">
        <is>
          <t>HEBY</t>
        </is>
      </c>
      <c r="H366" t="inlineStr">
        <is>
          <t>Kommuner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46278</v>
      </c>
      <c r="F367" t="inlineStr">
        <is>
          <t>UPPSALA LÄN</t>
        </is>
      </c>
      <c r="G367" t="inlineStr">
        <is>
          <t>HEBY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46278</v>
      </c>
      <c r="F368" t="inlineStr">
        <is>
          <t>UPPSALA LÄN</t>
        </is>
      </c>
      <c r="G368" t="inlineStr">
        <is>
          <t>HEBY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45891</v>
      </c>
      <c r="E369" s="1" t="n">
        <v>46278</v>
      </c>
      <c r="F369" t="inlineStr">
        <is>
          <t>UPPSALA LÄN</t>
        </is>
      </c>
      <c r="G369" t="inlineStr">
        <is>
          <t>HEBY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46278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46278</v>
      </c>
      <c r="F371" t="inlineStr">
        <is>
          <t>UPPSALA LÄN</t>
        </is>
      </c>
      <c r="G371" t="inlineStr">
        <is>
          <t>HEBY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42216-2025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45904</v>
      </c>
      <c r="E372" s="1" t="n">
        <v>46278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öst AB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46278</v>
      </c>
      <c r="F373" t="inlineStr">
        <is>
          <t>UPPSALA LÄN</t>
        </is>
      </c>
      <c r="G373" t="inlineStr">
        <is>
          <t>HEBY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46278</v>
      </c>
      <c r="F374" t="inlineStr">
        <is>
          <t>UPPSALA LÄN</t>
        </is>
      </c>
      <c r="G374" t="inlineStr">
        <is>
          <t>HEBY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46278</v>
      </c>
      <c r="F375" t="inlineStr">
        <is>
          <t>UPPSALA LÄN</t>
        </is>
      </c>
      <c r="G375" t="inlineStr">
        <is>
          <t>HEBY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45511</v>
      </c>
      <c r="E376" s="1" t="n">
        <v>46278</v>
      </c>
      <c r="F376" t="inlineStr">
        <is>
          <t>UPPSALA LÄN</t>
        </is>
      </c>
      <c r="G376" t="inlineStr">
        <is>
          <t>HEBY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46278</v>
      </c>
      <c r="F377" t="inlineStr">
        <is>
          <t>UPPSALA LÄN</t>
        </is>
      </c>
      <c r="G377" t="inlineStr">
        <is>
          <t>HEBY</t>
        </is>
      </c>
      <c r="H377" t="inlineStr">
        <is>
          <t>Övriga Aktiebolag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64364-2021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44511</v>
      </c>
      <c r="E378" s="1" t="n">
        <v>46278</v>
      </c>
      <c r="F378" t="inlineStr">
        <is>
          <t>UPPSALA LÄN</t>
        </is>
      </c>
      <c r="G378" t="inlineStr">
        <is>
          <t>HEBY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31560-2023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45117</v>
      </c>
      <c r="E379" s="1" t="n">
        <v>46278</v>
      </c>
      <c r="F379" t="inlineStr">
        <is>
          <t>UPPSALA LÄN</t>
        </is>
      </c>
      <c r="G379" t="inlineStr">
        <is>
          <t>HEBY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45805</v>
      </c>
      <c r="E380" s="1" t="n">
        <v>46278</v>
      </c>
      <c r="F380" t="inlineStr">
        <is>
          <t>UPPSALA LÄN</t>
        </is>
      </c>
      <c r="G380" t="inlineStr">
        <is>
          <t>HEBY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20719-2026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46278</v>
      </c>
      <c r="F381" t="inlineStr">
        <is>
          <t>UPPSALA LÄN</t>
        </is>
      </c>
      <c r="G381" t="inlineStr">
        <is>
          <t>HEBY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46278</v>
      </c>
      <c r="F382" t="inlineStr">
        <is>
          <t>UPPSALA LÄN</t>
        </is>
      </c>
      <c r="G382" t="inlineStr">
        <is>
          <t>HEBY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44620</v>
      </c>
      <c r="E383" s="1" t="n">
        <v>46278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46278</v>
      </c>
      <c r="F384" t="inlineStr">
        <is>
          <t>UPPSALA LÄN</t>
        </is>
      </c>
      <c r="G384" t="inlineStr">
        <is>
          <t>HEBY</t>
        </is>
      </c>
      <c r="I384" t="n">
        <v>11.2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44613</v>
      </c>
      <c r="E385" s="1" t="n">
        <v>46278</v>
      </c>
      <c r="F385" t="inlineStr">
        <is>
          <t>UPPSALA LÄN</t>
        </is>
      </c>
      <c r="G385" t="inlineStr">
        <is>
          <t>HEBY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45331</v>
      </c>
      <c r="E386" s="1" t="n">
        <v>46278</v>
      </c>
      <c r="F386" t="inlineStr">
        <is>
          <t>UPPSALA LÄN</t>
        </is>
      </c>
      <c r="G386" t="inlineStr">
        <is>
          <t>HEBY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74215-2021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44558</v>
      </c>
      <c r="E387" s="1" t="n">
        <v>46278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40924-2023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46278</v>
      </c>
      <c r="F388" t="inlineStr">
        <is>
          <t>UPPSALA LÄN</t>
        </is>
      </c>
      <c r="G388" t="inlineStr">
        <is>
          <t>HEBY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40926-2023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45173</v>
      </c>
      <c r="E389" s="1" t="n">
        <v>46278</v>
      </c>
      <c r="F389" t="inlineStr">
        <is>
          <t>UPPSALA LÄN</t>
        </is>
      </c>
      <c r="G389" t="inlineStr">
        <is>
          <t>HEBY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45008</v>
      </c>
      <c r="E390" s="1" t="n">
        <v>46278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38670-2024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46278</v>
      </c>
      <c r="F391" t="inlineStr">
        <is>
          <t>UPPSALA LÄN</t>
        </is>
      </c>
      <c r="G391" t="inlineStr">
        <is>
          <t>HEBY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46278</v>
      </c>
      <c r="F392" t="inlineStr">
        <is>
          <t>UPPSALA LÄN</t>
        </is>
      </c>
      <c r="G392" t="inlineStr">
        <is>
          <t>HEBY</t>
        </is>
      </c>
      <c r="H392" t="inlineStr">
        <is>
          <t>Allmännings- och besparingsskogar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45337</v>
      </c>
      <c r="E393" s="1" t="n">
        <v>46278</v>
      </c>
      <c r="F393" t="inlineStr">
        <is>
          <t>UPPSALA LÄN</t>
        </is>
      </c>
      <c r="G393" t="inlineStr">
        <is>
          <t>HEBY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42725-2023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45181</v>
      </c>
      <c r="E394" s="1" t="n">
        <v>46278</v>
      </c>
      <c r="F394" t="inlineStr">
        <is>
          <t>UPPSALA LÄN</t>
        </is>
      </c>
      <c r="G394" t="inlineStr">
        <is>
          <t>HEBY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45599</v>
      </c>
      <c r="E395" s="1" t="n">
        <v>46278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46278</v>
      </c>
      <c r="F396" t="inlineStr">
        <is>
          <t>UPPSALA LÄN</t>
        </is>
      </c>
      <c r="G396" t="inlineStr">
        <is>
          <t>HEBY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45805</v>
      </c>
      <c r="E397" s="1" t="n">
        <v>46278</v>
      </c>
      <c r="F397" t="inlineStr">
        <is>
          <t>UPPSALA LÄN</t>
        </is>
      </c>
      <c r="G397" t="inlineStr">
        <is>
          <t>HEBY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46278</v>
      </c>
      <c r="F398" t="inlineStr">
        <is>
          <t>UPPSALA LÄN</t>
        </is>
      </c>
      <c r="G398" t="inlineStr">
        <is>
          <t>HEBY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45747</v>
      </c>
      <c r="E399" s="1" t="n">
        <v>46278</v>
      </c>
      <c r="F399" t="inlineStr">
        <is>
          <t>UPPSALA LÄN</t>
        </is>
      </c>
      <c r="G399" t="inlineStr">
        <is>
          <t>HEBY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45770</v>
      </c>
      <c r="E400" s="1" t="n">
        <v>46278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45674</v>
      </c>
      <c r="E401" s="1" t="n">
        <v>46278</v>
      </c>
      <c r="F401" t="inlineStr">
        <is>
          <t>UPPSALA LÄN</t>
        </is>
      </c>
      <c r="G401" t="inlineStr">
        <is>
          <t>HEBY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44802</v>
      </c>
      <c r="E402" s="1" t="n">
        <v>46278</v>
      </c>
      <c r="F402" t="inlineStr">
        <is>
          <t>UPPSALA LÄN</t>
        </is>
      </c>
      <c r="G402" t="inlineStr">
        <is>
          <t>HEBY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35875-2022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44802</v>
      </c>
      <c r="E403" s="1" t="n">
        <v>46278</v>
      </c>
      <c r="F403" t="inlineStr">
        <is>
          <t>UPPSALA LÄN</t>
        </is>
      </c>
      <c r="G403" t="inlineStr">
        <is>
          <t>HEBY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46278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10414-2022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44623</v>
      </c>
      <c r="E405" s="1" t="n">
        <v>46278</v>
      </c>
      <c r="F405" t="inlineStr">
        <is>
          <t>UPPSALA LÄN</t>
        </is>
      </c>
      <c r="G405" t="inlineStr">
        <is>
          <t>HEBY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46278</v>
      </c>
      <c r="F406" t="inlineStr">
        <is>
          <t>UPPSALA LÄN</t>
        </is>
      </c>
      <c r="G406" t="inlineStr">
        <is>
          <t>HEBY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19718-2023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45050</v>
      </c>
      <c r="E407" s="1" t="n">
        <v>46278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8181-2022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44609</v>
      </c>
      <c r="E408" s="1" t="n">
        <v>46278</v>
      </c>
      <c r="F408" t="inlineStr">
        <is>
          <t>UPPSALA LÄN</t>
        </is>
      </c>
      <c r="G408" t="inlineStr">
        <is>
          <t>HEBY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46278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35.2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46278</v>
      </c>
      <c r="F410" t="inlineStr">
        <is>
          <t>UPPSALA LÄN</t>
        </is>
      </c>
      <c r="G410" t="inlineStr">
        <is>
          <t>HEBY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46278</v>
      </c>
      <c r="F411" t="inlineStr">
        <is>
          <t>UPPSALA LÄN</t>
        </is>
      </c>
      <c r="G411" t="inlineStr">
        <is>
          <t>HEBY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45195</v>
      </c>
      <c r="E412" s="1" t="n">
        <v>46278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46278</v>
      </c>
      <c r="F413" t="inlineStr">
        <is>
          <t>UPPSALA LÄN</t>
        </is>
      </c>
      <c r="G413" t="inlineStr">
        <is>
          <t>HEBY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44697</v>
      </c>
      <c r="E414" s="1" t="n">
        <v>46278</v>
      </c>
      <c r="F414" t="inlineStr">
        <is>
          <t>UPPSALA LÄN</t>
        </is>
      </c>
      <c r="G414" t="inlineStr">
        <is>
          <t>HEBY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46278</v>
      </c>
      <c r="F415" t="inlineStr">
        <is>
          <t>UPPSALA LÄN</t>
        </is>
      </c>
      <c r="G415" t="inlineStr">
        <is>
          <t>HEBY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46278</v>
      </c>
      <c r="F416" t="inlineStr">
        <is>
          <t>UPPSALA LÄN</t>
        </is>
      </c>
      <c r="G416" t="inlineStr">
        <is>
          <t>HEBY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34593-2023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45138</v>
      </c>
      <c r="E417" s="1" t="n">
        <v>46278</v>
      </c>
      <c r="F417" t="inlineStr">
        <is>
          <t>UPPSALA LÄN</t>
        </is>
      </c>
      <c r="G417" t="inlineStr">
        <is>
          <t>HEBY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46278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19654-2022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44694</v>
      </c>
      <c r="E419" s="1" t="n">
        <v>46278</v>
      </c>
      <c r="F419" t="inlineStr">
        <is>
          <t>UPPSALA LÄN</t>
        </is>
      </c>
      <c r="G419" t="inlineStr">
        <is>
          <t>HEBY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46278</v>
      </c>
      <c r="F420" t="inlineStr">
        <is>
          <t>UPPSALA LÄN</t>
        </is>
      </c>
      <c r="G420" t="inlineStr">
        <is>
          <t>HEBY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46278</v>
      </c>
      <c r="F421" t="inlineStr">
        <is>
          <t>UPPSALA LÄN</t>
        </is>
      </c>
      <c r="G421" t="inlineStr">
        <is>
          <t>HEBY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46278</v>
      </c>
      <c r="F422" t="inlineStr">
        <is>
          <t>UPPSALA LÄN</t>
        </is>
      </c>
      <c r="G422" t="inlineStr">
        <is>
          <t>HEBY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33379-2022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44788</v>
      </c>
      <c r="E423" s="1" t="n">
        <v>46278</v>
      </c>
      <c r="F423" t="inlineStr">
        <is>
          <t>UPPSALA LÄN</t>
        </is>
      </c>
      <c r="G423" t="inlineStr">
        <is>
          <t>HEBY</t>
        </is>
      </c>
      <c r="I423" t="n">
        <v>18.8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46278</v>
      </c>
      <c r="F424" t="inlineStr">
        <is>
          <t>UPPSALA LÄN</t>
        </is>
      </c>
      <c r="G424" t="inlineStr">
        <is>
          <t>HEBY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46278</v>
      </c>
      <c r="F425" t="inlineStr">
        <is>
          <t>UPPSALA LÄN</t>
        </is>
      </c>
      <c r="G425" t="inlineStr">
        <is>
          <t>HEBY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46278</v>
      </c>
      <c r="F426" t="inlineStr">
        <is>
          <t>UPPSALA LÄN</t>
        </is>
      </c>
      <c r="G426" t="inlineStr">
        <is>
          <t>HEBY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46278</v>
      </c>
      <c r="F427" t="inlineStr">
        <is>
          <t>UPPSALA LÄN</t>
        </is>
      </c>
      <c r="G427" t="inlineStr">
        <is>
          <t>HEBY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29340-2022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44752</v>
      </c>
      <c r="E428" s="1" t="n">
        <v>46278</v>
      </c>
      <c r="F428" t="inlineStr">
        <is>
          <t>UPPSALA LÄN</t>
        </is>
      </c>
      <c r="G428" t="inlineStr">
        <is>
          <t>HEBY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46278</v>
      </c>
      <c r="F429" t="inlineStr">
        <is>
          <t>UPPSALA LÄN</t>
        </is>
      </c>
      <c r="G429" t="inlineStr">
        <is>
          <t>HEBY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44791</v>
      </c>
      <c r="E430" s="1" t="n">
        <v>46278</v>
      </c>
      <c r="F430" t="inlineStr">
        <is>
          <t>UPPSALA LÄN</t>
        </is>
      </c>
      <c r="G430" t="inlineStr">
        <is>
          <t>HEBY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42731-2023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45181</v>
      </c>
      <c r="E431" s="1" t="n">
        <v>46278</v>
      </c>
      <c r="F431" t="inlineStr">
        <is>
          <t>UPPSALA LÄN</t>
        </is>
      </c>
      <c r="G431" t="inlineStr">
        <is>
          <t>HEBY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25997-2022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44734</v>
      </c>
      <c r="E432" s="1" t="n">
        <v>46278</v>
      </c>
      <c r="F432" t="inlineStr">
        <is>
          <t>UPPSALA LÄN</t>
        </is>
      </c>
      <c r="G432" t="inlineStr">
        <is>
          <t>HEBY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46278</v>
      </c>
      <c r="F433" t="inlineStr">
        <is>
          <t>UPPSALA LÄN</t>
        </is>
      </c>
      <c r="G433" t="inlineStr">
        <is>
          <t>HEBY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46278</v>
      </c>
      <c r="F434" t="inlineStr">
        <is>
          <t>UPPSALA LÄN</t>
        </is>
      </c>
      <c r="G434" t="inlineStr">
        <is>
          <t>HEBY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3368-2024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45317</v>
      </c>
      <c r="E435" s="1" t="n">
        <v>46278</v>
      </c>
      <c r="F435" t="inlineStr">
        <is>
          <t>UPPSALA LÄN</t>
        </is>
      </c>
      <c r="G435" t="inlineStr">
        <is>
          <t>HEBY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44734</v>
      </c>
      <c r="E436" s="1" t="n">
        <v>46278</v>
      </c>
      <c r="F436" t="inlineStr">
        <is>
          <t>UPPSALA LÄN</t>
        </is>
      </c>
      <c r="G436" t="inlineStr">
        <is>
          <t>HEBY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46278</v>
      </c>
      <c r="F437" t="inlineStr">
        <is>
          <t>UPPSALA LÄN</t>
        </is>
      </c>
      <c r="G437" t="inlineStr">
        <is>
          <t>HEBY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46278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45293</v>
      </c>
      <c r="E439" s="1" t="n">
        <v>46278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45693</v>
      </c>
      <c r="E440" s="1" t="n">
        <v>46278</v>
      </c>
      <c r="F440" t="inlineStr">
        <is>
          <t>UPPSALA LÄN</t>
        </is>
      </c>
      <c r="G440" t="inlineStr">
        <is>
          <t>HEBY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32245-2022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44781</v>
      </c>
      <c r="E441" s="1" t="n">
        <v>46278</v>
      </c>
      <c r="F441" t="inlineStr">
        <is>
          <t>UPPSALA LÄN</t>
        </is>
      </c>
      <c r="G441" t="inlineStr">
        <is>
          <t>HEBY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33385-2023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45128</v>
      </c>
      <c r="E442" s="1" t="n">
        <v>46278</v>
      </c>
      <c r="F442" t="inlineStr">
        <is>
          <t>UPPSALA LÄN</t>
        </is>
      </c>
      <c r="G442" t="inlineStr">
        <is>
          <t>HEBY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46238</v>
      </c>
      <c r="E443" s="1" t="n">
        <v>46278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45197</v>
      </c>
      <c r="E444" s="1" t="n">
        <v>46278</v>
      </c>
      <c r="F444" t="inlineStr">
        <is>
          <t>UPPSALA LÄN</t>
        </is>
      </c>
      <c r="G444" t="inlineStr">
        <is>
          <t>HEBY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32290-2026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46237</v>
      </c>
      <c r="E445" s="1" t="n">
        <v>46278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32292-2026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46237</v>
      </c>
      <c r="E446" s="1" t="n">
        <v>46278</v>
      </c>
      <c r="F446" t="inlineStr">
        <is>
          <t>UPPSALA LÄN</t>
        </is>
      </c>
      <c r="G446" t="inlineStr">
        <is>
          <t>HEBY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46278</v>
      </c>
      <c r="F447" t="inlineStr">
        <is>
          <t>UPPSALA LÄN</t>
        </is>
      </c>
      <c r="G447" t="inlineStr">
        <is>
          <t>HEBY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46278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46278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62132-2022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44914</v>
      </c>
      <c r="E450" s="1" t="n">
        <v>46278</v>
      </c>
      <c r="F450" t="inlineStr">
        <is>
          <t>UPPSALA LÄN</t>
        </is>
      </c>
      <c r="G450" t="inlineStr">
        <is>
          <t>HEBY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46278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46.8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46278</v>
      </c>
      <c r="F452" t="inlineStr">
        <is>
          <t>UPPSALA LÄN</t>
        </is>
      </c>
      <c r="G452" t="inlineStr">
        <is>
          <t>HEBY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46278</v>
      </c>
      <c r="F453" t="inlineStr">
        <is>
          <t>UPPSALA LÄN</t>
        </is>
      </c>
      <c r="G453" t="inlineStr">
        <is>
          <t>HEBY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45406</v>
      </c>
      <c r="E454" s="1" t="n">
        <v>46278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46863-2025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46278</v>
      </c>
      <c r="F455" t="inlineStr">
        <is>
          <t>UPPSALA LÄN</t>
        </is>
      </c>
      <c r="G455" t="inlineStr">
        <is>
          <t>HEBY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46278</v>
      </c>
      <c r="F456" t="inlineStr">
        <is>
          <t>UPPSALA LÄN</t>
        </is>
      </c>
      <c r="G456" t="inlineStr">
        <is>
          <t>HEBY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19721-2022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44694</v>
      </c>
      <c r="E457" s="1" t="n">
        <v>46278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46278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60295-2021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44495</v>
      </c>
      <c r="E459" s="1" t="n">
        <v>46278</v>
      </c>
      <c r="F459" t="inlineStr">
        <is>
          <t>UPPSALA LÄN</t>
        </is>
      </c>
      <c r="G459" t="inlineStr">
        <is>
          <t>HEBY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45572</v>
      </c>
      <c r="E460" s="1" t="n">
        <v>46278</v>
      </c>
      <c r="F460" t="inlineStr">
        <is>
          <t>UPPSALA LÄN</t>
        </is>
      </c>
      <c r="G460" t="inlineStr">
        <is>
          <t>HEBY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15326-2022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44659</v>
      </c>
      <c r="E461" s="1" t="n">
        <v>46278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46278</v>
      </c>
      <c r="F462" t="inlineStr">
        <is>
          <t>UPPSALA LÄN</t>
        </is>
      </c>
      <c r="G462" t="inlineStr">
        <is>
          <t>HEBY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23411-2024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45453</v>
      </c>
      <c r="E463" s="1" t="n">
        <v>46278</v>
      </c>
      <c r="F463" t="inlineStr">
        <is>
          <t>UPPSALA LÄN</t>
        </is>
      </c>
      <c r="G463" t="inlineStr">
        <is>
          <t>HEBY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46278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46278</v>
      </c>
      <c r="F465" t="inlineStr">
        <is>
          <t>UPPSALA LÄN</t>
        </is>
      </c>
      <c r="G465" t="inlineStr">
        <is>
          <t>HEBY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45664</v>
      </c>
      <c r="E466" s="1" t="n">
        <v>46278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6866-2022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44602</v>
      </c>
      <c r="E467" s="1" t="n">
        <v>46278</v>
      </c>
      <c r="F467" t="inlineStr">
        <is>
          <t>UPPSALA LÄN</t>
        </is>
      </c>
      <c r="G467" t="inlineStr">
        <is>
          <t>HEBY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46278</v>
      </c>
      <c r="F468" t="inlineStr">
        <is>
          <t>UPPSALA LÄN</t>
        </is>
      </c>
      <c r="G468" t="inlineStr">
        <is>
          <t>HEBY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18148-2022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46278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41.8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46278</v>
      </c>
      <c r="F470" t="inlineStr">
        <is>
          <t>UPPSALA LÄN</t>
        </is>
      </c>
      <c r="G470" t="inlineStr">
        <is>
          <t>HEBY</t>
        </is>
      </c>
      <c r="H470" t="inlineStr">
        <is>
          <t>Kyrkan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66873-2021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44522</v>
      </c>
      <c r="E471" s="1" t="n">
        <v>46278</v>
      </c>
      <c r="F471" t="inlineStr">
        <is>
          <t>UPPSALA LÄN</t>
        </is>
      </c>
      <c r="G471" t="inlineStr">
        <is>
          <t>HEBY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44753</v>
      </c>
      <c r="E472" s="1" t="n">
        <v>46278</v>
      </c>
      <c r="F472" t="inlineStr">
        <is>
          <t>UPPSALA LÄN</t>
        </is>
      </c>
      <c r="G472" t="inlineStr">
        <is>
          <t>HEBY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45006</v>
      </c>
      <c r="E473" s="1" t="n">
        <v>46278</v>
      </c>
      <c r="F473" t="inlineStr">
        <is>
          <t>UPPSALA LÄN</t>
        </is>
      </c>
      <c r="G473" t="inlineStr">
        <is>
          <t>HEBY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25995-2022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44734</v>
      </c>
      <c r="E474" s="1" t="n">
        <v>46278</v>
      </c>
      <c r="F474" t="inlineStr">
        <is>
          <t>UPPSALA LÄN</t>
        </is>
      </c>
      <c r="G474" t="inlineStr">
        <is>
          <t>HEBY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45083</v>
      </c>
      <c r="E475" s="1" t="n">
        <v>46278</v>
      </c>
      <c r="F475" t="inlineStr">
        <is>
          <t>UPPSALA LÄN</t>
        </is>
      </c>
      <c r="G475" t="inlineStr">
        <is>
          <t>HEBY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46278</v>
      </c>
      <c r="F476" t="inlineStr">
        <is>
          <t>UPPSALA LÄN</t>
        </is>
      </c>
      <c r="G476" t="inlineStr">
        <is>
          <t>HEBY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46278</v>
      </c>
      <c r="F477" t="inlineStr">
        <is>
          <t>UPPSALA LÄN</t>
        </is>
      </c>
      <c r="G477" t="inlineStr">
        <is>
          <t>HEBY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20882-2022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44701</v>
      </c>
      <c r="E478" s="1" t="n">
        <v>46278</v>
      </c>
      <c r="F478" t="inlineStr">
        <is>
          <t>UPPSALA LÄN</t>
        </is>
      </c>
      <c r="G478" t="inlineStr">
        <is>
          <t>HEBY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45013</v>
      </c>
      <c r="E479" s="1" t="n">
        <v>46278</v>
      </c>
      <c r="F479" t="inlineStr">
        <is>
          <t>UPPSALA LÄN</t>
        </is>
      </c>
      <c r="G479" t="inlineStr">
        <is>
          <t>HEBY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56352-2021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44480</v>
      </c>
      <c r="E480" s="1" t="n">
        <v>46278</v>
      </c>
      <c r="F480" t="inlineStr">
        <is>
          <t>UPPSALA LÄN</t>
        </is>
      </c>
      <c r="G480" t="inlineStr">
        <is>
          <t>HEBY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46278</v>
      </c>
      <c r="F481" t="inlineStr">
        <is>
          <t>UPPSALA LÄN</t>
        </is>
      </c>
      <c r="G481" t="inlineStr">
        <is>
          <t>HEBY</t>
        </is>
      </c>
      <c r="H481" t="inlineStr">
        <is>
          <t>Kyrkan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46278</v>
      </c>
      <c r="F482" t="inlineStr">
        <is>
          <t>UPPSALA LÄN</t>
        </is>
      </c>
      <c r="G482" t="inlineStr">
        <is>
          <t>HEBY</t>
        </is>
      </c>
      <c r="H482" t="inlineStr">
        <is>
          <t>Kyrkan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44984</v>
      </c>
      <c r="E483" s="1" t="n">
        <v>46278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46278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46278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44644</v>
      </c>
      <c r="E486" s="1" t="n">
        <v>46278</v>
      </c>
      <c r="F486" t="inlineStr">
        <is>
          <t>UPPSALA LÄN</t>
        </is>
      </c>
      <c r="G486" t="inlineStr">
        <is>
          <t>HEBY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45035</v>
      </c>
      <c r="E487" s="1" t="n">
        <v>46278</v>
      </c>
      <c r="F487" t="inlineStr">
        <is>
          <t>UPPSALA LÄN</t>
        </is>
      </c>
      <c r="G487" t="inlineStr">
        <is>
          <t>HEBY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46253</v>
      </c>
      <c r="E488" s="1" t="n">
        <v>46278</v>
      </c>
      <c r="F488" t="inlineStr">
        <is>
          <t>UPPSALA LÄN</t>
        </is>
      </c>
      <c r="G488" t="inlineStr">
        <is>
          <t>HEBY</t>
        </is>
      </c>
      <c r="H488" t="inlineStr">
        <is>
          <t>Allmännings- och besparingsskogar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45639</v>
      </c>
      <c r="E489" s="1" t="n">
        <v>46278</v>
      </c>
      <c r="F489" t="inlineStr">
        <is>
          <t>UPPSALA LÄN</t>
        </is>
      </c>
      <c r="G489" t="inlineStr">
        <is>
          <t>HEBY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46278</v>
      </c>
      <c r="F490" t="inlineStr">
        <is>
          <t>UPPSALA LÄN</t>
        </is>
      </c>
      <c r="G490" t="inlineStr">
        <is>
          <t>HEBY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46278</v>
      </c>
      <c r="F491" t="inlineStr">
        <is>
          <t>UPPSALA LÄN</t>
        </is>
      </c>
      <c r="G491" t="inlineStr">
        <is>
          <t>HEBY</t>
        </is>
      </c>
      <c r="H491" t="inlineStr">
        <is>
          <t>Kyrkan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46278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34381-2026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46254</v>
      </c>
      <c r="E493" s="1" t="n">
        <v>46278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46278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60788-2022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46278</v>
      </c>
      <c r="F495" t="inlineStr">
        <is>
          <t>UPPSALA LÄN</t>
        </is>
      </c>
      <c r="G495" t="inlineStr">
        <is>
          <t>HEBY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46278</v>
      </c>
      <c r="F496" t="inlineStr">
        <is>
          <t>UPPSALA LÄN</t>
        </is>
      </c>
      <c r="G496" t="inlineStr">
        <is>
          <t>HEBY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11835-2024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45376</v>
      </c>
      <c r="E497" s="1" t="n">
        <v>46278</v>
      </c>
      <c r="F497" t="inlineStr">
        <is>
          <t>UPPSALA LÄN</t>
        </is>
      </c>
      <c r="G497" t="inlineStr">
        <is>
          <t>HEBY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46278</v>
      </c>
      <c r="F498" t="inlineStr">
        <is>
          <t>UPPSALA LÄN</t>
        </is>
      </c>
      <c r="G498" t="inlineStr">
        <is>
          <t>HEBY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46278</v>
      </c>
      <c r="F499" t="inlineStr">
        <is>
          <t>UPPSALA LÄN</t>
        </is>
      </c>
      <c r="G499" t="inlineStr">
        <is>
          <t>HEBY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46278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46278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46278</v>
      </c>
      <c r="F502" t="inlineStr">
        <is>
          <t>UPPSALA LÄN</t>
        </is>
      </c>
      <c r="G502" t="inlineStr">
        <is>
          <t>HEBY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45252</v>
      </c>
      <c r="E503" s="1" t="n">
        <v>46278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45111</v>
      </c>
      <c r="E504" s="1" t="n">
        <v>46278</v>
      </c>
      <c r="F504" t="inlineStr">
        <is>
          <t>UPPSALA LÄN</t>
        </is>
      </c>
      <c r="G504" t="inlineStr">
        <is>
          <t>HEBY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46278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46278</v>
      </c>
      <c r="F506" t="inlineStr">
        <is>
          <t>UPPSALA LÄN</t>
        </is>
      </c>
      <c r="G506" t="inlineStr">
        <is>
          <t>HEBY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46278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45135</v>
      </c>
      <c r="E508" s="1" t="n">
        <v>46278</v>
      </c>
      <c r="F508" t="inlineStr">
        <is>
          <t>UPPSALA LÄN</t>
        </is>
      </c>
      <c r="G508" t="inlineStr">
        <is>
          <t>HEBY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46278</v>
      </c>
      <c r="F509" t="inlineStr">
        <is>
          <t>UPPSALA LÄN</t>
        </is>
      </c>
      <c r="G509" t="inlineStr">
        <is>
          <t>HEBY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46278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46278</v>
      </c>
      <c r="F511" t="inlineStr">
        <is>
          <t>UPPSALA LÄN</t>
        </is>
      </c>
      <c r="G511" t="inlineStr">
        <is>
          <t>HEBY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45132</v>
      </c>
      <c r="E512" s="1" t="n">
        <v>46278</v>
      </c>
      <c r="F512" t="inlineStr">
        <is>
          <t>UPPSALA LÄN</t>
        </is>
      </c>
      <c r="G512" t="inlineStr">
        <is>
          <t>HEBY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46278</v>
      </c>
      <c r="F513" t="inlineStr">
        <is>
          <t>UPPSALA LÄN</t>
        </is>
      </c>
      <c r="G513" t="inlineStr">
        <is>
          <t>HEBY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52252-2024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45607</v>
      </c>
      <c r="E514" s="1" t="n">
        <v>46278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46262</v>
      </c>
      <c r="E515" s="1" t="n">
        <v>46278</v>
      </c>
      <c r="F515" t="inlineStr">
        <is>
          <t>UPPSALA LÄN</t>
        </is>
      </c>
      <c r="G515" t="inlineStr">
        <is>
          <t>HEBY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50172-2024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45599</v>
      </c>
      <c r="E516" s="1" t="n">
        <v>46278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45344</v>
      </c>
      <c r="E517" s="1" t="n">
        <v>46278</v>
      </c>
      <c r="F517" t="inlineStr">
        <is>
          <t>UPPSALA LÄN</t>
        </is>
      </c>
      <c r="G517" t="inlineStr">
        <is>
          <t>HEBY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46220</v>
      </c>
      <c r="E518" s="1" t="n">
        <v>46278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55.9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45686</v>
      </c>
      <c r="E519" s="1" t="n">
        <v>46278</v>
      </c>
      <c r="F519" t="inlineStr">
        <is>
          <t>UPPSALA LÄN</t>
        </is>
      </c>
      <c r="G519" t="inlineStr">
        <is>
          <t>HEBY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46223</v>
      </c>
      <c r="E520" s="1" t="n">
        <v>46278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46278</v>
      </c>
      <c r="F521" t="inlineStr">
        <is>
          <t>UPPSALA LÄN</t>
        </is>
      </c>
      <c r="G521" t="inlineStr">
        <is>
          <t>HEBY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46278</v>
      </c>
      <c r="F522" t="inlineStr">
        <is>
          <t>UPPSALA LÄN</t>
        </is>
      </c>
      <c r="G522" t="inlineStr">
        <is>
          <t>HEBY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39536-2024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45551</v>
      </c>
      <c r="E523" s="1" t="n">
        <v>46278</v>
      </c>
      <c r="F523" t="inlineStr">
        <is>
          <t>UPPSALA LÄN</t>
        </is>
      </c>
      <c r="G523" t="inlineStr">
        <is>
          <t>HEBY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46223</v>
      </c>
      <c r="E524" s="1" t="n">
        <v>46278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45519</v>
      </c>
      <c r="E525" s="1" t="n">
        <v>46278</v>
      </c>
      <c r="F525" t="inlineStr">
        <is>
          <t>UPPSALA LÄN</t>
        </is>
      </c>
      <c r="G525" t="inlineStr">
        <is>
          <t>HEBY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45519</v>
      </c>
      <c r="E526" s="1" t="n">
        <v>46278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58124-2022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44900</v>
      </c>
      <c r="E527" s="1" t="n">
        <v>46278</v>
      </c>
      <c r="F527" t="inlineStr">
        <is>
          <t>UPPSALA LÄN</t>
        </is>
      </c>
      <c r="G527" t="inlineStr">
        <is>
          <t>HEBY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46224</v>
      </c>
      <c r="E528" s="1" t="n">
        <v>46278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6.9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46278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48956-2023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45209</v>
      </c>
      <c r="E530" s="1" t="n">
        <v>46278</v>
      </c>
      <c r="F530" t="inlineStr">
        <is>
          <t>UPPSALA LÄN</t>
        </is>
      </c>
      <c r="G530" t="inlineStr">
        <is>
          <t>HEBY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46278</v>
      </c>
      <c r="F531" t="inlineStr">
        <is>
          <t>UPPSALA LÄN</t>
        </is>
      </c>
      <c r="G531" t="inlineStr">
        <is>
          <t>HEBY</t>
        </is>
      </c>
      <c r="H531" t="inlineStr">
        <is>
          <t>Kyrkan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46278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9043-2023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44979</v>
      </c>
      <c r="E533" s="1" t="n">
        <v>46278</v>
      </c>
      <c r="F533" t="inlineStr">
        <is>
          <t>UPPSALA LÄN</t>
        </is>
      </c>
      <c r="G533" t="inlineStr">
        <is>
          <t>HEBY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45713</v>
      </c>
      <c r="E534" s="1" t="n">
        <v>46278</v>
      </c>
      <c r="F534" t="inlineStr">
        <is>
          <t>UPPSALA LÄN</t>
        </is>
      </c>
      <c r="G534" t="inlineStr">
        <is>
          <t>HEBY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46278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46278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46278</v>
      </c>
      <c r="F537" t="inlineStr">
        <is>
          <t>UPPSALA LÄN</t>
        </is>
      </c>
      <c r="G537" t="inlineStr">
        <is>
          <t>HEBY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44875</v>
      </c>
      <c r="E538" s="1" t="n">
        <v>46278</v>
      </c>
      <c r="F538" t="inlineStr">
        <is>
          <t>UPPSALA LÄN</t>
        </is>
      </c>
      <c r="G538" t="inlineStr">
        <is>
          <t>HEBY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46278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46269</v>
      </c>
      <c r="E540" s="1" t="n">
        <v>46278</v>
      </c>
      <c r="F540" t="inlineStr">
        <is>
          <t>UPPSALA LÄN</t>
        </is>
      </c>
      <c r="G540" t="inlineStr">
        <is>
          <t>HEBY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31890-2026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46231</v>
      </c>
      <c r="E541" s="1" t="n">
        <v>46278</v>
      </c>
      <c r="F541" t="inlineStr">
        <is>
          <t>UPPSALA LÄN</t>
        </is>
      </c>
      <c r="G541" t="inlineStr">
        <is>
          <t>HEBY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46231</v>
      </c>
      <c r="E542" s="1" t="n">
        <v>46278</v>
      </c>
      <c r="F542" t="inlineStr">
        <is>
          <t>UPPSALA LÄN</t>
        </is>
      </c>
      <c r="G542" t="inlineStr">
        <is>
          <t>HEBY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46273</v>
      </c>
      <c r="E543" s="1" t="n">
        <v>46278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46272</v>
      </c>
      <c r="E544" s="1" t="n">
        <v>46278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31575-2023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46278</v>
      </c>
      <c r="F545" t="inlineStr">
        <is>
          <t>UPPSALA LÄN</t>
        </is>
      </c>
      <c r="G545" t="inlineStr">
        <is>
          <t>HEBY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46278</v>
      </c>
      <c r="F546" t="inlineStr">
        <is>
          <t>UPPSALA LÄN</t>
        </is>
      </c>
      <c r="G546" t="inlineStr">
        <is>
          <t>HEBY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46278</v>
      </c>
      <c r="F547" t="inlineStr">
        <is>
          <t>UPPSALA LÄN</t>
        </is>
      </c>
      <c r="G547" t="inlineStr">
        <is>
          <t>HEBY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54594-2024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45617</v>
      </c>
      <c r="E548" s="1" t="n">
        <v>46278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46278</v>
      </c>
      <c r="F549" t="inlineStr">
        <is>
          <t>UPPSALA LÄN</t>
        </is>
      </c>
      <c r="G549" t="inlineStr">
        <is>
          <t>HEBY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46278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45394</v>
      </c>
      <c r="E551" s="1" t="n">
        <v>46278</v>
      </c>
      <c r="F551" t="inlineStr">
        <is>
          <t>UPPSALA LÄN</t>
        </is>
      </c>
      <c r="G551" t="inlineStr">
        <is>
          <t>HEBY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46278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45355</v>
      </c>
      <c r="E553" s="1" t="n">
        <v>46278</v>
      </c>
      <c r="F553" t="inlineStr">
        <is>
          <t>UPPSALA LÄN</t>
        </is>
      </c>
      <c r="G553" t="inlineStr">
        <is>
          <t>HEBY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46278</v>
      </c>
      <c r="F554" t="inlineStr">
        <is>
          <t>UPPSALA LÄN</t>
        </is>
      </c>
      <c r="G554" t="inlineStr">
        <is>
          <t>HEBY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13213-2022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44644</v>
      </c>
      <c r="E555" s="1" t="n">
        <v>46278</v>
      </c>
      <c r="F555" t="inlineStr">
        <is>
          <t>UPPSALA LÄN</t>
        </is>
      </c>
      <c r="G555" t="inlineStr">
        <is>
          <t>HEBY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46278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46278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46278</v>
      </c>
      <c r="F558" t="inlineStr">
        <is>
          <t>UPPSALA LÄN</t>
        </is>
      </c>
      <c r="G558" t="inlineStr">
        <is>
          <t>HEBY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44946</v>
      </c>
      <c r="E559" s="1" t="n">
        <v>46278</v>
      </c>
      <c r="F559" t="inlineStr">
        <is>
          <t>UPPSALA LÄN</t>
        </is>
      </c>
      <c r="G559" t="inlineStr">
        <is>
          <t>HEBY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46278</v>
      </c>
      <c r="F560" t="inlineStr">
        <is>
          <t>UPPSALA LÄN</t>
        </is>
      </c>
      <c r="G560" t="inlineStr">
        <is>
          <t>HEBY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45133</v>
      </c>
      <c r="E561" s="1" t="n">
        <v>46278</v>
      </c>
      <c r="F561" t="inlineStr">
        <is>
          <t>UPPSALA LÄN</t>
        </is>
      </c>
      <c r="G561" t="inlineStr">
        <is>
          <t>HEBY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45112</v>
      </c>
      <c r="E562" s="1" t="n">
        <v>46278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48948-2023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45209</v>
      </c>
      <c r="E563" s="1" t="n">
        <v>46278</v>
      </c>
      <c r="F563" t="inlineStr">
        <is>
          <t>UPPSALA LÄN</t>
        </is>
      </c>
      <c r="G563" t="inlineStr">
        <is>
          <t>HEBY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45610</v>
      </c>
      <c r="E564" s="1" t="n">
        <v>46278</v>
      </c>
      <c r="F564" t="inlineStr">
        <is>
          <t>UPPSALA LÄN</t>
        </is>
      </c>
      <c r="G564" t="inlineStr">
        <is>
          <t>HEBY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24381-2025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45797</v>
      </c>
      <c r="E565" s="1" t="n">
        <v>46278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10.6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38831-2024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45547</v>
      </c>
      <c r="E566" s="1" t="n">
        <v>46278</v>
      </c>
      <c r="F566" t="inlineStr">
        <is>
          <t>UPPSALA LÄN</t>
        </is>
      </c>
      <c r="G566" t="inlineStr">
        <is>
          <t>HEBY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45804</v>
      </c>
      <c r="E567" s="1" t="n">
        <v>46278</v>
      </c>
      <c r="F567" t="inlineStr">
        <is>
          <t>UPPSALA LÄN</t>
        </is>
      </c>
      <c r="G567" t="inlineStr">
        <is>
          <t>HEBY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45804</v>
      </c>
      <c r="E568" s="1" t="n">
        <v>46278</v>
      </c>
      <c r="F568" t="inlineStr">
        <is>
          <t>UPPSALA LÄN</t>
        </is>
      </c>
      <c r="G568" t="inlineStr">
        <is>
          <t>HEBY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45803</v>
      </c>
      <c r="E569" s="1" t="n">
        <v>46278</v>
      </c>
      <c r="F569" t="inlineStr">
        <is>
          <t>UPPSALA LÄN</t>
        </is>
      </c>
      <c r="G569" t="inlineStr">
        <is>
          <t>HEBY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46278</v>
      </c>
      <c r="F570" t="inlineStr">
        <is>
          <t>UPPSALA LÄN</t>
        </is>
      </c>
      <c r="G570" t="inlineStr">
        <is>
          <t>HEBY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45390</v>
      </c>
      <c r="E571" s="1" t="n">
        <v>46278</v>
      </c>
      <c r="F571" t="inlineStr">
        <is>
          <t>UPPSALA LÄN</t>
        </is>
      </c>
      <c r="G571" t="inlineStr">
        <is>
          <t>HEBY</t>
        </is>
      </c>
      <c r="I571" t="n">
        <v>15.8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45398</v>
      </c>
      <c r="E572" s="1" t="n">
        <v>46278</v>
      </c>
      <c r="F572" t="inlineStr">
        <is>
          <t>UPPSALA LÄN</t>
        </is>
      </c>
      <c r="G572" t="inlineStr">
        <is>
          <t>HEBY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45680</v>
      </c>
      <c r="E573" s="1" t="n">
        <v>46278</v>
      </c>
      <c r="F573" t="inlineStr">
        <is>
          <t>UPPSALA LÄN</t>
        </is>
      </c>
      <c r="G573" t="inlineStr">
        <is>
          <t>HEBY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44984</v>
      </c>
      <c r="E574" s="1" t="n">
        <v>46278</v>
      </c>
      <c r="F574" t="inlineStr">
        <is>
          <t>UPPSALA LÄN</t>
        </is>
      </c>
      <c r="G574" t="inlineStr">
        <is>
          <t>HEBY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45519</v>
      </c>
      <c r="E575" s="1" t="n">
        <v>46278</v>
      </c>
      <c r="F575" t="inlineStr">
        <is>
          <t>UPPSALA LÄN</t>
        </is>
      </c>
      <c r="G575" t="inlineStr">
        <is>
          <t>HEBY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45089</v>
      </c>
      <c r="E576" s="1" t="n">
        <v>46278</v>
      </c>
      <c r="F576" t="inlineStr">
        <is>
          <t>UPPSALA LÄN</t>
        </is>
      </c>
      <c r="G576" t="inlineStr">
        <is>
          <t>HEBY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56795-2024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45628</v>
      </c>
      <c r="E577" s="1" t="n">
        <v>46278</v>
      </c>
      <c r="F577" t="inlineStr">
        <is>
          <t>UPPSALA LÄN</t>
        </is>
      </c>
      <c r="G577" t="inlineStr">
        <is>
          <t>HEBY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45708</v>
      </c>
      <c r="E578" s="1" t="n">
        <v>46278</v>
      </c>
      <c r="F578" t="inlineStr">
        <is>
          <t>UPPSALA LÄN</t>
        </is>
      </c>
      <c r="G578" t="inlineStr">
        <is>
          <t>HEBY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49536-2024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45596</v>
      </c>
      <c r="E579" s="1" t="n">
        <v>46278</v>
      </c>
      <c r="F579" t="inlineStr">
        <is>
          <t>UPPSALA LÄN</t>
        </is>
      </c>
      <c r="G579" t="inlineStr">
        <is>
          <t>HEBY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28558-2025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46278</v>
      </c>
      <c r="F580" t="inlineStr">
        <is>
          <t>UPPSALA LÄN</t>
        </is>
      </c>
      <c r="G580" t="inlineStr">
        <is>
          <t>HEBY</t>
        </is>
      </c>
      <c r="H580" t="inlineStr">
        <is>
          <t>Kyrkan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46278</v>
      </c>
      <c r="F581" t="inlineStr">
        <is>
          <t>UPPSALA LÄN</t>
        </is>
      </c>
      <c r="G581" t="inlineStr">
        <is>
          <t>HEBY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1334-2022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46278</v>
      </c>
      <c r="F582" t="inlineStr">
        <is>
          <t>UPPSALA LÄN</t>
        </is>
      </c>
      <c r="G582" t="inlineStr">
        <is>
          <t>HEBY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10324-2021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44546</v>
      </c>
      <c r="E583" s="1" t="n">
        <v>46278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517-2022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44588</v>
      </c>
      <c r="E584" s="1" t="n">
        <v>46278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2310-2022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44684</v>
      </c>
      <c r="E585" s="1" t="n">
        <v>46278</v>
      </c>
      <c r="F585" t="inlineStr">
        <is>
          <t>UPPSALA LÄN</t>
        </is>
      </c>
      <c r="G585" t="inlineStr">
        <is>
          <t>HEBY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1330-2022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44629</v>
      </c>
      <c r="E586" s="1" t="n">
        <v>46278</v>
      </c>
      <c r="F586" t="inlineStr">
        <is>
          <t>UPPSALA LÄN</t>
        </is>
      </c>
      <c r="G586" t="inlineStr">
        <is>
          <t>HEBY</t>
        </is>
      </c>
      <c r="I586" t="n">
        <v>25.1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  <c r="Z586">
        <f>HYPERLINK("https://klasma.github.io/Logging_0331/knärot/S 1330-2022 karta knärot.png", "S 1330-2022")</f>
        <v/>
      </c>
      <c r="AA586">
        <f>HYPERLINK("https://klasma.github.io/Logging_0331/klagomål/S 1330-2022 FSC-klagomål.docx", "S 1330-2022")</f>
        <v/>
      </c>
      <c r="AB586">
        <f>HYPERLINK("https://klasma.github.io/Logging_0331/klagomålsmail/S 1330-2022 FSC-klagomål mail.docx", "S 1330-2022")</f>
        <v/>
      </c>
      <c r="AC586">
        <f>HYPERLINK("https://klasma.github.io/Logging_0331/tillsyn/S 1330-2022 tillsynsbegäran.docx", "S 1330-2022")</f>
        <v/>
      </c>
      <c r="AD586">
        <f>HYPERLINK("https://klasma.github.io/Logging_0331/tillsynsmail/S 1330-2022 tillsynsbegäran mail.docx", "S 1330-2022")</f>
        <v/>
      </c>
    </row>
    <row r="587" ht="15" customHeight="1">
      <c r="A587" t="inlineStr">
        <is>
          <t>S 3256-2023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45191</v>
      </c>
      <c r="E587" s="1" t="n">
        <v>46278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4466-2022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46278</v>
      </c>
      <c r="F588" t="inlineStr">
        <is>
          <t>UPPSALA LÄN</t>
        </is>
      </c>
      <c r="G588" t="inlineStr">
        <is>
          <t>HEBY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4423-2024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45590</v>
      </c>
      <c r="E589" s="1" t="n">
        <v>46278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47.6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1385-2024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45411</v>
      </c>
      <c r="E590" s="1" t="n">
        <v>46278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2797-2024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45485</v>
      </c>
      <c r="E591" s="1" t="n">
        <v>46278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398-2025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45699</v>
      </c>
      <c r="E592" s="1" t="n">
        <v>46278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öst AB</t>
        </is>
      </c>
      <c r="I592" t="n">
        <v>23.3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45411</v>
      </c>
      <c r="E593" s="1" t="n">
        <v>46278</v>
      </c>
      <c r="F593" t="inlineStr">
        <is>
          <t>UPPSALA LÄN</t>
        </is>
      </c>
      <c r="G593" t="inlineStr">
        <is>
          <t>HEBY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4464-2022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44788</v>
      </c>
      <c r="E594" s="1" t="n">
        <v>46278</v>
      </c>
      <c r="F594" t="inlineStr">
        <is>
          <t>UPPSALA LÄN</t>
        </is>
      </c>
      <c r="G594" t="inlineStr">
        <is>
          <t>HEBY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3301-2025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45987</v>
      </c>
      <c r="E595" s="1" t="n">
        <v>46278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3478-2025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46000</v>
      </c>
      <c r="E596" s="1" t="n">
        <v>46278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598-2026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46085</v>
      </c>
      <c r="E597" s="1" t="n">
        <v>46278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1818-2026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46190</v>
      </c>
      <c r="E598" s="1" t="n">
        <v>46278</v>
      </c>
      <c r="F598" t="inlineStr">
        <is>
          <t>UPPSALA LÄN</t>
        </is>
      </c>
      <c r="G598" t="inlineStr">
        <is>
          <t>HEBY</t>
        </is>
      </c>
      <c r="H598" t="inlineStr">
        <is>
          <t>Kommuner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2346-2026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46278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2026-09-13T02:13:07Z</dcterms:created>
  <dcterms:modified xmlns:dcterms="http://purl.org/dc/terms/" xmlns:xsi="http://www.w3.org/2001/XMLSchema-instance" xsi:type="dcterms:W3CDTF">2026-09-13T02:13:08Z</dcterms:modified>
</cp:coreProperties>
</file>
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46253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46253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46253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46253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46253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46253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46253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46253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46253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46253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46253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46253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46253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46253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46253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46253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46253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46253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46253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46253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46253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46253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46253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46253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46253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46253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46253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46253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46253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46253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46253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46253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46253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46253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46253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46253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46253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46253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46253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46253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46253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46253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46253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46253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46253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46253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46253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46253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46253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46253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46253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46253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46253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46253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46253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46253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46253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27871-2023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46253</v>
      </c>
      <c r="F64" t="inlineStr">
        <is>
          <t>UPPSALA LÄN</t>
        </is>
      </c>
      <c r="G64" t="inlineStr">
        <is>
          <t>HEBY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HYPERLINK("https://klasma.github.io/Logging_0331/artfynd/A 27871-2023 artfynd.xlsx", "A 27871-2023")</f>
        <v/>
      </c>
      <c r="X64">
        <f>HYPERLINK("https://klasma.github.io/Logging_0331/kartor/A 27871-2023 karta.png", "A 27871-2023")</f>
        <v/>
      </c>
      <c r="Y64">
        <f>HYPERLINK("https://klasma.github.io/Logging_0331/kartor_geotiff/A 27871-2023 georefererad karta.tif", "A 27871-2023")</f>
        <v/>
      </c>
      <c r="AA64">
        <f>HYPERLINK("https://klasma.github.io/Logging_0331/klagomål/A 27871-2023 FSC-klagomål.docx", "A 27871-2023")</f>
        <v/>
      </c>
      <c r="AB64">
        <f>HYPERLINK("https://klasma.github.io/Logging_0331/klagomålsmail/A 27871-2023 FSC-klagomål mail.docx", "A 27871-2023")</f>
        <v/>
      </c>
      <c r="AC64">
        <f>HYPERLINK("https://klasma.github.io/Logging_0331/tillsyn/A 27871-2023 tillsynsbegäran.docx", "A 27871-2023")</f>
        <v/>
      </c>
      <c r="AD64">
        <f>HYPERLINK("https://klasma.github.io/Logging_0331/tillsynsmail/A 27871-2023 tillsynsbegäran mail.docx", "A 27871-2023")</f>
        <v/>
      </c>
    </row>
    <row r="65" ht="15" customHeight="1">
      <c r="A65" t="inlineStr">
        <is>
          <t>A 11011-2025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45723</v>
      </c>
      <c r="E65" s="1" t="n">
        <v>46253</v>
      </c>
      <c r="F65" t="inlineStr">
        <is>
          <t>UPPSALA LÄN</t>
        </is>
      </c>
      <c r="G65" t="inlineStr">
        <is>
          <t>HEBY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Motaggsvamp</t>
        </is>
      </c>
      <c r="W65">
        <f>HYPERLINK("https://klasma.github.io/Logging_0331/artfynd/A 11011-2025 artfynd.xlsx", "A 11011-2025")</f>
        <v/>
      </c>
      <c r="X65">
        <f>HYPERLINK("https://klasma.github.io/Logging_0331/kartor/A 11011-2025 karta.png", "A 11011-2025")</f>
        <v/>
      </c>
      <c r="Y65">
        <f>HYPERLINK("https://klasma.github.io/Logging_0331/kartor_geotiff/A 11011-2025 georefererad karta.tif", "A 11011-2025")</f>
        <v/>
      </c>
      <c r="AA65">
        <f>HYPERLINK("https://klasma.github.io/Logging_0331/klagomål/A 11011-2025 FSC-klagomål.docx", "A 11011-2025")</f>
        <v/>
      </c>
      <c r="AB65">
        <f>HYPERLINK("https://klasma.github.io/Logging_0331/klagomålsmail/A 11011-2025 FSC-klagomål mail.docx", "A 11011-2025")</f>
        <v/>
      </c>
      <c r="AC65">
        <f>HYPERLINK("https://klasma.github.io/Logging_0331/tillsyn/A 11011-2025 tillsynsbegäran.docx", "A 11011-2025")</f>
        <v/>
      </c>
      <c r="AD65">
        <f>HYPERLINK("https://klasma.github.io/Logging_0331/tillsynsmail/A 11011-2025 tillsynsbegäran mail.docx", "A 11011-2025")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46253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46253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46253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t="n">
        <v>0</v>
      </c>
      <c r="V68" s="2" t="inlineStr">
        <is>
          <t>Motaggsvamp</t>
        </is>
      </c>
      <c r="W68">
        <f>HYPERLINK("https://klasma.github.io/Logging_0331/artfynd/A 8624-2024 artfynd.xlsx", "A 8624-2024")</f>
        <v/>
      </c>
      <c r="X68">
        <f>HYPERLINK("https://klasma.github.io/Logging_0331/kartor/A 8624-2024 karta.png", "A 8624-2024")</f>
        <v/>
      </c>
      <c r="Y68">
        <f>HYPERLINK("https://klasma.github.io/Logging_0331/kartor_geotiff/A 8624-2024 georefererad karta.tif", "A 8624-2024")</f>
        <v/>
      </c>
      <c r="AA68">
        <f>HYPERLINK("https://klasma.github.io/Logging_0331/klagomål/A 8624-2024 FSC-klagomål.docx", "A 8624-2024")</f>
        <v/>
      </c>
      <c r="AB68">
        <f>HYPERLINK("https://klasma.github.io/Logging_0331/klagomålsmail/A 8624-2024 FSC-klagomål mail.docx", "A 8624-2024")</f>
        <v/>
      </c>
      <c r="AC68">
        <f>HYPERLINK("https://klasma.github.io/Logging_0331/tillsyn/A 8624-2024 tillsynsbegäran.docx", "A 8624-2024")</f>
        <v/>
      </c>
      <c r="AD68">
        <f>HYPERLINK("https://klasma.github.io/Logging_0331/tillsynsmail/A 8624-2024 tillsynsbegäran mail.docx", "A 8624-2024")</f>
        <v/>
      </c>
    </row>
    <row r="69" ht="15" customHeight="1">
      <c r="A69" t="inlineStr">
        <is>
          <t>A 38417-2025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46253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8.300000000000001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HYPERLINK("https://klasma.github.io/Logging_0331/artfynd/A 38417-2025 artfynd.xlsx", "A 38417-2025")</f>
        <v/>
      </c>
      <c r="X69">
        <f>HYPERLINK("https://klasma.github.io/Logging_0331/kartor/A 38417-2025 karta.png", "A 38417-2025")</f>
        <v/>
      </c>
      <c r="Y69">
        <f>HYPERLINK("https://klasma.github.io/Logging_0331/kartor_geotiff/A 38417-2025 georefererad karta.tif", "A 38417-2025")</f>
        <v/>
      </c>
      <c r="Z69">
        <f>HYPERLINK("https://klasma.github.io/Logging_0331/knärot/A 38417-2025 karta knärot.png", "A 38417-2025")</f>
        <v/>
      </c>
      <c r="AA69">
        <f>HYPERLINK("https://klasma.github.io/Logging_0331/klagomål/A 38417-2025 FSC-klagomål.docx", "A 38417-2025")</f>
        <v/>
      </c>
      <c r="AB69">
        <f>HYPERLINK("https://klasma.github.io/Logging_0331/klagomålsmail/A 38417-2025 FSC-klagomål mail.docx", "A 38417-2025")</f>
        <v/>
      </c>
      <c r="AC69">
        <f>HYPERLINK("https://klasma.github.io/Logging_0331/tillsyn/A 38417-2025 tillsynsbegäran.docx", "A 38417-2025")</f>
        <v/>
      </c>
      <c r="AD69">
        <f>HYPERLINK("https://klasma.github.io/Logging_0331/tillsynsmail/A 38417-2025 tillsynsbegäran mail.docx", "A 38417-2025")</f>
        <v/>
      </c>
    </row>
    <row r="70" ht="15" customHeight="1">
      <c r="A70" t="inlineStr">
        <is>
          <t>A 31569-2023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46253</v>
      </c>
      <c r="F70" t="inlineStr">
        <is>
          <t>UPPSALA LÄN</t>
        </is>
      </c>
      <c r="G70" t="inlineStr">
        <is>
          <t>HEBY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HYPERLINK("https://klasma.github.io/Logging_0331/artfynd/A 31569-2023 artfynd.xlsx", "A 31569-2023")</f>
        <v/>
      </c>
      <c r="X70">
        <f>HYPERLINK("https://klasma.github.io/Logging_0331/kartor/A 31569-2023 karta.png", "A 31569-2023")</f>
        <v/>
      </c>
      <c r="Y70">
        <f>HYPERLINK("https://klasma.github.io/Logging_0331/kartor_geotiff/A 31569-2023 georefererad karta.tif", "A 31569-2023")</f>
        <v/>
      </c>
      <c r="Z70">
        <f>HYPERLINK("https://klasma.github.io/Logging_0331/knärot/A 31569-2023 karta knärot.png", "A 31569-2023")</f>
        <v/>
      </c>
      <c r="AA70">
        <f>HYPERLINK("https://klasma.github.io/Logging_0331/klagomål/A 31569-2023 FSC-klagomål.docx", "A 31569-2023")</f>
        <v/>
      </c>
      <c r="AB70">
        <f>HYPERLINK("https://klasma.github.io/Logging_0331/klagomålsmail/A 31569-2023 FSC-klagomål mail.docx", "A 31569-2023")</f>
        <v/>
      </c>
      <c r="AC70">
        <f>HYPERLINK("https://klasma.github.io/Logging_0331/tillsyn/A 31569-2023 tillsynsbegäran.docx", "A 31569-2023")</f>
        <v/>
      </c>
      <c r="AD70">
        <f>HYPERLINK("https://klasma.github.io/Logging_0331/tillsynsmail/A 31569-2023 tillsynsbegäran mail.docx", "A 31569-2023")</f>
        <v/>
      </c>
    </row>
    <row r="71" ht="15" customHeight="1">
      <c r="A71" t="inlineStr">
        <is>
          <t>A 26596-2024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45469</v>
      </c>
      <c r="E71" s="1" t="n">
        <v>46253</v>
      </c>
      <c r="F71" t="inlineStr">
        <is>
          <t>UPPSALA LÄN</t>
        </is>
      </c>
      <c r="G71" t="inlineStr">
        <is>
          <t>HEBY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Stenichnus poweri</t>
        </is>
      </c>
      <c r="W71">
        <f>HYPERLINK("https://klasma.github.io/Logging_0331/artfynd/A 26596-2024 artfynd.xlsx", "A 26596-2024")</f>
        <v/>
      </c>
      <c r="X71">
        <f>HYPERLINK("https://klasma.github.io/Logging_0331/kartor/A 26596-2024 karta.png", "A 26596-2024")</f>
        <v/>
      </c>
      <c r="Y71">
        <f>HYPERLINK("https://klasma.github.io/Logging_0331/kartor_geotiff/A 26596-2024 georefererad karta.tif", "A 26596-2024")</f>
        <v/>
      </c>
      <c r="AA71">
        <f>HYPERLINK("https://klasma.github.io/Logging_0331/klagomål/A 26596-2024 FSC-klagomål.docx", "A 26596-2024")</f>
        <v/>
      </c>
      <c r="AB71">
        <f>HYPERLINK("https://klasma.github.io/Logging_0331/klagomålsmail/A 26596-2024 FSC-klagomål mail.docx", "A 26596-2024")</f>
        <v/>
      </c>
      <c r="AC71">
        <f>HYPERLINK("https://klasma.github.io/Logging_0331/tillsyn/A 26596-2024 tillsynsbegäran.docx", "A 26596-2024")</f>
        <v/>
      </c>
      <c r="AD71">
        <f>HYPERLINK("https://klasma.github.io/Logging_0331/tillsynsmail/A 26596-2024 tillsynsbegäran mail.docx", "A 26596-2024")</f>
        <v/>
      </c>
    </row>
    <row r="72" ht="15" customHeight="1">
      <c r="A72" t="inlineStr">
        <is>
          <t>A 53992-2023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46253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HYPERLINK("https://klasma.github.io/Logging_0331/artfynd/A 53992-2023 artfynd.xlsx", "A 53992-2023")</f>
        <v/>
      </c>
      <c r="X72">
        <f>HYPERLINK("https://klasma.github.io/Logging_0331/kartor/A 53992-2023 karta.png", "A 53992-2023")</f>
        <v/>
      </c>
      <c r="Y72">
        <f>HYPERLINK("https://klasma.github.io/Logging_0331/kartor_geotiff/A 53992-2023 georefererad karta.tif", "A 53992-2023")</f>
        <v/>
      </c>
      <c r="AA72">
        <f>HYPERLINK("https://klasma.github.io/Logging_0331/klagomål/A 53992-2023 FSC-klagomål.docx", "A 53992-2023")</f>
        <v/>
      </c>
      <c r="AB72">
        <f>HYPERLINK("https://klasma.github.io/Logging_0331/klagomålsmail/A 53992-2023 FSC-klagomål mail.docx", "A 53992-2023")</f>
        <v/>
      </c>
      <c r="AC72">
        <f>HYPERLINK("https://klasma.github.io/Logging_0331/tillsyn/A 53992-2023 tillsynsbegäran.docx", "A 53992-2023")</f>
        <v/>
      </c>
      <c r="AD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46253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46253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55763-2025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45972</v>
      </c>
      <c r="E75" s="1" t="n">
        <v>46253</v>
      </c>
      <c r="F75" t="inlineStr">
        <is>
          <t>UPPSALA LÄN</t>
        </is>
      </c>
      <c r="G75" t="inlineStr">
        <is>
          <t>HEBY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Kandelabersvamp</t>
        </is>
      </c>
      <c r="W75">
        <f>HYPERLINK("https://klasma.github.io/Logging_0331/artfynd/A 55763-2025 artfynd.xlsx", "A 55763-2025")</f>
        <v/>
      </c>
      <c r="X75">
        <f>HYPERLINK("https://klasma.github.io/Logging_0331/kartor/A 55763-2025 karta.png", "A 55763-2025")</f>
        <v/>
      </c>
      <c r="Y75">
        <f>HYPERLINK("https://klasma.github.io/Logging_0331/kartor_geotiff/A 55763-2025 georefererad karta.tif", "A 55763-2025")</f>
        <v/>
      </c>
      <c r="AA75">
        <f>HYPERLINK("https://klasma.github.io/Logging_0331/klagomål/A 55763-2025 FSC-klagomål.docx", "A 55763-2025")</f>
        <v/>
      </c>
      <c r="AB75">
        <f>HYPERLINK("https://klasma.github.io/Logging_0331/klagomålsmail/A 55763-2025 FSC-klagomål mail.docx", "A 55763-2025")</f>
        <v/>
      </c>
      <c r="AC75">
        <f>HYPERLINK("https://klasma.github.io/Logging_0331/tillsyn/A 55763-2025 tillsynsbegäran.docx", "A 55763-2025")</f>
        <v/>
      </c>
      <c r="AD75">
        <f>HYPERLINK("https://klasma.github.io/Logging_0331/tillsynsmail/A 55763-2025 tillsynsbegäran mail.docx", "A 55763-2025")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46253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19751-2023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46253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HYPERLINK("https://klasma.github.io/Logging_0331/artfynd/A 19751-2023 artfynd.xlsx", "A 19751-2023")</f>
        <v/>
      </c>
      <c r="X77">
        <f>HYPERLINK("https://klasma.github.io/Logging_0331/kartor/A 19751-2023 karta.png", "A 19751-2023")</f>
        <v/>
      </c>
      <c r="Y77">
        <f>HYPERLINK("https://klasma.github.io/Logging_0331/kartor_geotiff/A 19751-2023 georefererad karta.tif", "A 19751-2023")</f>
        <v/>
      </c>
      <c r="Z77">
        <f>HYPERLINK("https://klasma.github.io/Logging_0331/knärot/A 19751-2023 karta knärot.png", "A 19751-2023")</f>
        <v/>
      </c>
      <c r="AA77">
        <f>HYPERLINK("https://klasma.github.io/Logging_0331/klagomål/A 19751-2023 FSC-klagomål.docx", "A 19751-2023")</f>
        <v/>
      </c>
      <c r="AB77">
        <f>HYPERLINK("https://klasma.github.io/Logging_0331/klagomålsmail/A 19751-2023 FSC-klagomål mail.docx", "A 19751-2023")</f>
        <v/>
      </c>
      <c r="AC77">
        <f>HYPERLINK("https://klasma.github.io/Logging_0331/tillsyn/A 19751-2023 tillsynsbegäran.docx", "A 19751-2023")</f>
        <v/>
      </c>
      <c r="AD77">
        <f>HYPERLINK("https://klasma.github.io/Logging_0331/tillsynsmail/A 19751-2023 tillsynsbegäran mail.docx", "A 19751-2023")</f>
        <v/>
      </c>
    </row>
    <row r="78" ht="15" customHeight="1">
      <c r="A78" t="inlineStr">
        <is>
          <t>A 54368-2024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46253</v>
      </c>
      <c r="F78" t="inlineStr">
        <is>
          <t>UPPSALA LÄN</t>
        </is>
      </c>
      <c r="G78" t="inlineStr">
        <is>
          <t>HEBY</t>
        </is>
      </c>
      <c r="H78" t="inlineStr">
        <is>
          <t>Allmännings- och besparingsskogar</t>
        </is>
      </c>
      <c r="I78" t="n">
        <v>13.9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Talltita</t>
        </is>
      </c>
      <c r="W78">
        <f>HYPERLINK("https://klasma.github.io/Logging_0331/artfynd/A 54368-2024 artfynd.xlsx", "A 54368-2024")</f>
        <v/>
      </c>
      <c r="X78">
        <f>HYPERLINK("https://klasma.github.io/Logging_0331/kartor/A 54368-2024 karta.png", "A 54368-2024")</f>
        <v/>
      </c>
      <c r="Y78">
        <f>HYPERLINK("https://klasma.github.io/Logging_0331/kartor_geotiff/A 54368-2024 georefererad karta.tif", "A 54368-2024")</f>
        <v/>
      </c>
      <c r="AA78">
        <f>HYPERLINK("https://klasma.github.io/Logging_0331/klagomål/A 54368-2024 FSC-klagomål.docx", "A 54368-2024")</f>
        <v/>
      </c>
      <c r="AB78">
        <f>HYPERLINK("https://klasma.github.io/Logging_0331/klagomålsmail/A 54368-2024 FSC-klagomål mail.docx", "A 54368-2024")</f>
        <v/>
      </c>
      <c r="AC78">
        <f>HYPERLINK("https://klasma.github.io/Logging_0331/tillsyn/A 54368-2024 tillsynsbegäran.docx", "A 54368-2024")</f>
        <v/>
      </c>
      <c r="AD78">
        <f>HYPERLINK("https://klasma.github.io/Logging_0331/tillsynsmail/A 54368-2024 tillsynsbegäran mail.docx", "A 54368-2024")</f>
        <v/>
      </c>
      <c r="AE78">
        <f>HYPERLINK("https://klasma.github.io/Logging_0331/fåglar/A 54368-2024 prioriterade fågelarter.docx", "A 54368-2024")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46253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19555-2025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45770</v>
      </c>
      <c r="E80" s="1" t="n">
        <v>46253</v>
      </c>
      <c r="F80" t="inlineStr">
        <is>
          <t>UPPSALA LÄN</t>
        </is>
      </c>
      <c r="G80" t="inlineStr">
        <is>
          <t>HEBY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HYPERLINK("https://klasma.github.io/Logging_0331/artfynd/A 19555-2025 artfynd.xlsx", "A 19555-2025")</f>
        <v/>
      </c>
      <c r="X80">
        <f>HYPERLINK("https://klasma.github.io/Logging_0331/kartor/A 19555-2025 karta.png", "A 19555-2025")</f>
        <v/>
      </c>
      <c r="Y80">
        <f>HYPERLINK("https://klasma.github.io/Logging_0331/kartor_geotiff/A 19555-2025 georefererad karta.tif", "A 19555-2025")</f>
        <v/>
      </c>
      <c r="AA80">
        <f>HYPERLINK("https://klasma.github.io/Logging_0331/klagomål/A 19555-2025 FSC-klagomål.docx", "A 19555-2025")</f>
        <v/>
      </c>
      <c r="AB80">
        <f>HYPERLINK("https://klasma.github.io/Logging_0331/klagomålsmail/A 19555-2025 FSC-klagomål mail.docx", "A 19555-2025")</f>
        <v/>
      </c>
      <c r="AC80">
        <f>HYPERLINK("https://klasma.github.io/Logging_0331/tillsyn/A 19555-2025 tillsynsbegäran.docx", "A 19555-2025")</f>
        <v/>
      </c>
      <c r="AD80">
        <f>HYPERLINK("https://klasma.github.io/Logging_0331/tillsynsmail/A 19555-2025 tillsynsbegäran mail.docx", "A 19555-2025")</f>
        <v/>
      </c>
      <c r="AE80">
        <f>HYPERLINK("https://klasma.github.io/Logging_0331/fåglar/A 19555-2025 prioriterade fågelarter.docx", "A 19555-2025")</f>
        <v/>
      </c>
    </row>
    <row r="81" ht="15" customHeight="1">
      <c r="A81" t="inlineStr">
        <is>
          <t>A 61598-2021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46253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Trana</t>
        </is>
      </c>
      <c r="W81">
        <f>HYPERLINK("https://klasma.github.io/Logging_0331/artfynd/A 61598-2021 artfynd.xlsx", "A 61598-2021")</f>
        <v/>
      </c>
      <c r="X81">
        <f>HYPERLINK("https://klasma.github.io/Logging_0331/kartor/A 61598-2021 karta.png", "A 61598-2021")</f>
        <v/>
      </c>
      <c r="Y81">
        <f>HYPERLINK("https://klasma.github.io/Logging_0331/kartor_geotiff/A 61598-2021 georefererad karta.tif", "A 61598-2021")</f>
        <v/>
      </c>
      <c r="AA81">
        <f>HYPERLINK("https://klasma.github.io/Logging_0331/klagomål/A 61598-2021 FSC-klagomål.docx", "A 61598-2021")</f>
        <v/>
      </c>
      <c r="AB81">
        <f>HYPERLINK("https://klasma.github.io/Logging_0331/klagomålsmail/A 61598-2021 FSC-klagomål mail.docx", "A 61598-2021")</f>
        <v/>
      </c>
      <c r="AC81">
        <f>HYPERLINK("https://klasma.github.io/Logging_0331/tillsyn/A 61598-2021 tillsynsbegäran.docx", "A 61598-2021")</f>
        <v/>
      </c>
      <c r="AD81">
        <f>HYPERLINK("https://klasma.github.io/Logging_0331/tillsynsmail/A 61598-2021 tillsynsbegäran mail.docx", "A 61598-2021")</f>
        <v/>
      </c>
      <c r="AE81">
        <f>HYPERLINK("https://klasma.github.io/Logging_0331/fåglar/A 61598-2021 prioriterade fågelarter.docx", "A 61598-2021")</f>
        <v/>
      </c>
    </row>
    <row r="82" ht="15" customHeight="1">
      <c r="A82" t="inlineStr">
        <is>
          <t>A 55663-2024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45622</v>
      </c>
      <c r="E82" s="1" t="n">
        <v>46253</v>
      </c>
      <c r="F82" t="inlineStr">
        <is>
          <t>UPPSALA LÄN</t>
        </is>
      </c>
      <c r="G82" t="inlineStr">
        <is>
          <t>HEBY</t>
        </is>
      </c>
      <c r="H82" t="inlineStr">
        <is>
          <t>Bergvik skog väst AB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HYPERLINK("https://klasma.github.io/Logging_0331/artfynd/A 55663-2024 artfynd.xlsx", "A 55663-2024")</f>
        <v/>
      </c>
      <c r="X82">
        <f>HYPERLINK("https://klasma.github.io/Logging_0331/kartor/A 55663-2024 karta.png", "A 55663-2024")</f>
        <v/>
      </c>
      <c r="Y82">
        <f>HYPERLINK("https://klasma.github.io/Logging_0331/kartor_geotiff/A 55663-2024 georefererad karta.tif", "A 55663-2024")</f>
        <v/>
      </c>
      <c r="AA82">
        <f>HYPERLINK("https://klasma.github.io/Logging_0331/klagomål/A 55663-2024 FSC-klagomål.docx", "A 55663-2024")</f>
        <v/>
      </c>
      <c r="AB82">
        <f>HYPERLINK("https://klasma.github.io/Logging_0331/klagomålsmail/A 55663-2024 FSC-klagomål mail.docx", "A 55663-2024")</f>
        <v/>
      </c>
      <c r="AC82">
        <f>HYPERLINK("https://klasma.github.io/Logging_0331/tillsyn/A 55663-2024 tillsynsbegäran.docx", "A 55663-2024")</f>
        <v/>
      </c>
      <c r="AD82">
        <f>HYPERLINK("https://klasma.github.io/Logging_0331/tillsynsmail/A 55663-2024 tillsynsbegäran mail.docx", "A 55663-2024")</f>
        <v/>
      </c>
    </row>
    <row r="83" ht="15" customHeight="1">
      <c r="A83" t="inlineStr">
        <is>
          <t>A 17697-2024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46253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Mindre bastardsvärmare</t>
        </is>
      </c>
      <c r="W83">
        <f>HYPERLINK("https://klasma.github.io/Logging_0331/artfynd/A 17697-2024 artfynd.xlsx", "A 17697-2024")</f>
        <v/>
      </c>
      <c r="X83">
        <f>HYPERLINK("https://klasma.github.io/Logging_0331/kartor/A 17697-2024 karta.png", "A 17697-2024")</f>
        <v/>
      </c>
      <c r="Y83">
        <f>HYPERLINK("https://klasma.github.io/Logging_0331/kartor_geotiff/A 17697-2024 georefererad karta.tif", "A 17697-2024")</f>
        <v/>
      </c>
      <c r="AA83">
        <f>HYPERLINK("https://klasma.github.io/Logging_0331/klagomål/A 17697-2024 FSC-klagomål.docx", "A 17697-2024")</f>
        <v/>
      </c>
      <c r="AB83">
        <f>HYPERLINK("https://klasma.github.io/Logging_0331/klagomålsmail/A 17697-2024 FSC-klagomål mail.docx", "A 17697-2024")</f>
        <v/>
      </c>
      <c r="AC83">
        <f>HYPERLINK("https://klasma.github.io/Logging_0331/tillsyn/A 17697-2024 tillsynsbegäran.docx", "A 17697-2024")</f>
        <v/>
      </c>
      <c r="AD83">
        <f>HYPERLINK("https://klasma.github.io/Logging_0331/tillsynsmail/A 17697-2024 tillsynsbegäran mail.docx", "A 17697-2024")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46253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46253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46253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46253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46253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46253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46253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46253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46253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46253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46253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46253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46253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46253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46253</v>
      </c>
      <c r="F98" t="inlineStr">
        <is>
          <t>UPPSALA LÄN</t>
        </is>
      </c>
      <c r="G98" t="inlineStr">
        <is>
          <t>HEBY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46253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46253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46253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46253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46253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46253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46253</v>
      </c>
      <c r="F106" t="inlineStr">
        <is>
          <t>UPPSALA LÄN</t>
        </is>
      </c>
      <c r="G106" t="inlineStr">
        <is>
          <t>HEBY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46253</v>
      </c>
      <c r="F107" t="inlineStr">
        <is>
          <t>UPPSALA LÄN</t>
        </is>
      </c>
      <c r="G107" t="inlineStr">
        <is>
          <t>HEBY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46253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46253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46253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46253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46253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46253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46253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46253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46253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46253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46253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46253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46253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46253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46253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46253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46253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46253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46253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46253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46253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46253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46253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46253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46253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46253</v>
      </c>
      <c r="F133" t="inlineStr">
        <is>
          <t>UPPSALA LÄN</t>
        </is>
      </c>
      <c r="G133" t="inlineStr">
        <is>
          <t>HEBY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46253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46253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46253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46253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46253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46253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44573</v>
      </c>
      <c r="E140" s="1" t="n">
        <v>46253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46253</v>
      </c>
      <c r="F141" t="inlineStr">
        <is>
          <t>UPPSALA LÄN</t>
        </is>
      </c>
      <c r="G141" t="inlineStr">
        <is>
          <t>HEBY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46253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46253</v>
      </c>
      <c r="F143" t="inlineStr">
        <is>
          <t>UPPSALA LÄN</t>
        </is>
      </c>
      <c r="G143" t="inlineStr">
        <is>
          <t>HEBY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46253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46253</v>
      </c>
      <c r="F145" t="inlineStr">
        <is>
          <t>UPPSALA LÄN</t>
        </is>
      </c>
      <c r="G145" t="inlineStr">
        <is>
          <t>HEBY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45370</v>
      </c>
      <c r="E146" s="1" t="n">
        <v>46253</v>
      </c>
      <c r="F146" t="inlineStr">
        <is>
          <t>UPPSALA LÄN</t>
        </is>
      </c>
      <c r="G146" t="inlineStr">
        <is>
          <t>HEBY</t>
        </is>
      </c>
      <c r="H146" t="inlineStr">
        <is>
          <t>Övriga Aktiebolag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45331</v>
      </c>
      <c r="E147" s="1" t="n">
        <v>46253</v>
      </c>
      <c r="F147" t="inlineStr">
        <is>
          <t>UPPSALA LÄN</t>
        </is>
      </c>
      <c r="G147" t="inlineStr">
        <is>
          <t>HEBY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46253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46253</v>
      </c>
      <c r="F149" t="inlineStr">
        <is>
          <t>UPPSALA LÄN</t>
        </is>
      </c>
      <c r="G149" t="inlineStr">
        <is>
          <t>HEBY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46253</v>
      </c>
      <c r="F150" t="inlineStr">
        <is>
          <t>UPPSALA LÄN</t>
        </is>
      </c>
      <c r="G150" t="inlineStr">
        <is>
          <t>HEBY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46253</v>
      </c>
      <c r="F151" t="inlineStr">
        <is>
          <t>UPPSALA LÄN</t>
        </is>
      </c>
      <c r="G151" t="inlineStr">
        <is>
          <t>HEBY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46253</v>
      </c>
      <c r="F152" t="inlineStr">
        <is>
          <t>UPPSALA LÄN</t>
        </is>
      </c>
      <c r="G152" t="inlineStr">
        <is>
          <t>HEBY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44865</v>
      </c>
      <c r="E153" s="1" t="n">
        <v>46253</v>
      </c>
      <c r="F153" t="inlineStr">
        <is>
          <t>UPPSALA LÄN</t>
        </is>
      </c>
      <c r="G153" t="inlineStr">
        <is>
          <t>HEBY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46253</v>
      </c>
      <c r="F154" t="inlineStr">
        <is>
          <t>UPPSALA LÄN</t>
        </is>
      </c>
      <c r="G154" t="inlineStr">
        <is>
          <t>HEBY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44849</v>
      </c>
      <c r="E155" s="1" t="n">
        <v>46253</v>
      </c>
      <c r="F155" t="inlineStr">
        <is>
          <t>UPPSALA LÄN</t>
        </is>
      </c>
      <c r="G155" t="inlineStr">
        <is>
          <t>HEBY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44823</v>
      </c>
      <c r="E156" s="1" t="n">
        <v>46253</v>
      </c>
      <c r="F156" t="inlineStr">
        <is>
          <t>UPPSALA LÄN</t>
        </is>
      </c>
      <c r="G156" t="inlineStr">
        <is>
          <t>HEBY</t>
        </is>
      </c>
      <c r="H156" t="inlineStr">
        <is>
          <t>Övriga Aktiebolag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45250</v>
      </c>
      <c r="E157" s="1" t="n">
        <v>46253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46253</v>
      </c>
      <c r="F158" t="inlineStr">
        <is>
          <t>UPPSALA LÄN</t>
        </is>
      </c>
      <c r="G158" t="inlineStr">
        <is>
          <t>HEBY</t>
        </is>
      </c>
      <c r="I158" t="n">
        <v>10.3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44833</v>
      </c>
      <c r="E159" s="1" t="n">
        <v>46253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46253</v>
      </c>
      <c r="F160" t="inlineStr">
        <is>
          <t>UPPSALA LÄN</t>
        </is>
      </c>
      <c r="G160" t="inlineStr">
        <is>
          <t>HEBY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46253</v>
      </c>
      <c r="F161" t="inlineStr">
        <is>
          <t>UPPSALA LÄN</t>
        </is>
      </c>
      <c r="G161" t="inlineStr">
        <is>
          <t>HEBY</t>
        </is>
      </c>
      <c r="H161" t="inlineStr">
        <is>
          <t>Allmännings- och besparingsskogar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44978</v>
      </c>
      <c r="E162" s="1" t="n">
        <v>46253</v>
      </c>
      <c r="F162" t="inlineStr">
        <is>
          <t>UPPSALA LÄN</t>
        </is>
      </c>
      <c r="G162" t="inlineStr">
        <is>
          <t>HEBY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44925</v>
      </c>
      <c r="E163" s="1" t="n">
        <v>46253</v>
      </c>
      <c r="F163" t="inlineStr">
        <is>
          <t>UPPSALA LÄN</t>
        </is>
      </c>
      <c r="G163" t="inlineStr">
        <is>
          <t>HEBY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46253</v>
      </c>
      <c r="F164" t="inlineStr">
        <is>
          <t>UPPSALA LÄN</t>
        </is>
      </c>
      <c r="G164" t="inlineStr">
        <is>
          <t>HEBY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69377-2021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46253</v>
      </c>
      <c r="F165" t="inlineStr">
        <is>
          <t>UPPSALA LÄN</t>
        </is>
      </c>
      <c r="G165" t="inlineStr">
        <is>
          <t>HEBY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45339</v>
      </c>
      <c r="E166" s="1" t="n">
        <v>46253</v>
      </c>
      <c r="F166" t="inlineStr">
        <is>
          <t>UPPSALA LÄN</t>
        </is>
      </c>
      <c r="G166" t="inlineStr">
        <is>
          <t>HEBY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45502</v>
      </c>
      <c r="E167" s="1" t="n">
        <v>46253</v>
      </c>
      <c r="F167" t="inlineStr">
        <is>
          <t>UPPSALA LÄN</t>
        </is>
      </c>
      <c r="G167" t="inlineStr">
        <is>
          <t>HEBY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46253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46253</v>
      </c>
      <c r="F169" t="inlineStr">
        <is>
          <t>UPPSALA LÄN</t>
        </is>
      </c>
      <c r="G169" t="inlineStr">
        <is>
          <t>HEBY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46253</v>
      </c>
      <c r="F170" t="inlineStr">
        <is>
          <t>UPPSALA LÄN</t>
        </is>
      </c>
      <c r="G170" t="inlineStr">
        <is>
          <t>HEBY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44913</v>
      </c>
      <c r="E171" s="1" t="n">
        <v>46253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46253</v>
      </c>
      <c r="F172" t="inlineStr">
        <is>
          <t>UPPSALA LÄN</t>
        </is>
      </c>
      <c r="G172" t="inlineStr">
        <is>
          <t>HEBY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46253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46253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44586</v>
      </c>
      <c r="E175" s="1" t="n">
        <v>46253</v>
      </c>
      <c r="F175" t="inlineStr">
        <is>
          <t>UPPSALA LÄN</t>
        </is>
      </c>
      <c r="G175" t="inlineStr">
        <is>
          <t>HEBY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64899-2021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46253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46253</v>
      </c>
      <c r="F177" t="inlineStr">
        <is>
          <t>UPPSALA LÄN</t>
        </is>
      </c>
      <c r="G177" t="inlineStr">
        <is>
          <t>HEBY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46253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46253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46253</v>
      </c>
      <c r="F180" t="inlineStr">
        <is>
          <t>UPPSALA LÄN</t>
        </is>
      </c>
      <c r="G180" t="inlineStr">
        <is>
          <t>HEBY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46253</v>
      </c>
      <c r="F181" t="inlineStr">
        <is>
          <t>UPPSALA LÄN</t>
        </is>
      </c>
      <c r="G181" t="inlineStr">
        <is>
          <t>HEBY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46253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45519</v>
      </c>
      <c r="E183" s="1" t="n">
        <v>46253</v>
      </c>
      <c r="F183" t="inlineStr">
        <is>
          <t>UPPSALA LÄN</t>
        </is>
      </c>
      <c r="G183" t="inlineStr">
        <is>
          <t>HEBY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46253</v>
      </c>
      <c r="F184" t="inlineStr">
        <is>
          <t>UPPSALA LÄN</t>
        </is>
      </c>
      <c r="G184" t="inlineStr">
        <is>
          <t>HEBY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44574</v>
      </c>
      <c r="E185" s="1" t="n">
        <v>46253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46253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46253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46253</v>
      </c>
      <c r="F188" t="inlineStr">
        <is>
          <t>UPPSALA LÄN</t>
        </is>
      </c>
      <c r="G188" t="inlineStr">
        <is>
          <t>HEBY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46253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46253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46253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46253</v>
      </c>
      <c r="F192" t="inlineStr">
        <is>
          <t>UPPSALA LÄN</t>
        </is>
      </c>
      <c r="G192" t="inlineStr">
        <is>
          <t>HEBY</t>
        </is>
      </c>
      <c r="H192" t="inlineStr">
        <is>
          <t>Bergvik skog väst AB</t>
        </is>
      </c>
      <c r="I192" t="n">
        <v>66.90000000000001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44945</v>
      </c>
      <c r="E193" s="1" t="n">
        <v>46253</v>
      </c>
      <c r="F193" t="inlineStr">
        <is>
          <t>UPPSALA LÄN</t>
        </is>
      </c>
      <c r="G193" t="inlineStr">
        <is>
          <t>HEBY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46253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46253</v>
      </c>
      <c r="F195" t="inlineStr">
        <is>
          <t>UPPSALA LÄN</t>
        </is>
      </c>
      <c r="G195" t="inlineStr">
        <is>
          <t>HEBY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44873</v>
      </c>
      <c r="E196" s="1" t="n">
        <v>46253</v>
      </c>
      <c r="F196" t="inlineStr">
        <is>
          <t>UPPSALA LÄN</t>
        </is>
      </c>
      <c r="G196" t="inlineStr">
        <is>
          <t>HEBY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45567</v>
      </c>
      <c r="E197" s="1" t="n">
        <v>46253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46253</v>
      </c>
      <c r="F198" t="inlineStr">
        <is>
          <t>UPPSALA LÄN</t>
        </is>
      </c>
      <c r="G198" t="inlineStr">
        <is>
          <t>HEBY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46253</v>
      </c>
      <c r="F199" t="inlineStr">
        <is>
          <t>UPPSALA LÄN</t>
        </is>
      </c>
      <c r="G199" t="inlineStr">
        <is>
          <t>HEBY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46253</v>
      </c>
      <c r="F200" t="inlineStr">
        <is>
          <t>UPPSALA LÄN</t>
        </is>
      </c>
      <c r="G200" t="inlineStr">
        <is>
          <t>HEBY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46253</v>
      </c>
      <c r="F201" t="inlineStr">
        <is>
          <t>UPPSALA LÄN</t>
        </is>
      </c>
      <c r="G201" t="inlineStr">
        <is>
          <t>HEBY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45331</v>
      </c>
      <c r="E202" s="1" t="n">
        <v>46253</v>
      </c>
      <c r="F202" t="inlineStr">
        <is>
          <t>UPPSALA LÄN</t>
        </is>
      </c>
      <c r="G202" t="inlineStr">
        <is>
          <t>HEBY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46253</v>
      </c>
      <c r="F203" t="inlineStr">
        <is>
          <t>UPPSALA LÄN</t>
        </is>
      </c>
      <c r="G203" t="inlineStr">
        <is>
          <t>HEBY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45050</v>
      </c>
      <c r="E204" s="1" t="n">
        <v>46253</v>
      </c>
      <c r="F204" t="inlineStr">
        <is>
          <t>UPPSALA LÄN</t>
        </is>
      </c>
      <c r="G204" t="inlineStr">
        <is>
          <t>HEBY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46253</v>
      </c>
      <c r="F205" t="inlineStr">
        <is>
          <t>UPPSALA LÄN</t>
        </is>
      </c>
      <c r="G205" t="inlineStr">
        <is>
          <t>HEBY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46253</v>
      </c>
      <c r="F206" t="inlineStr">
        <is>
          <t>UPPSALA LÄN</t>
        </is>
      </c>
      <c r="G206" t="inlineStr">
        <is>
          <t>HEBY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44944</v>
      </c>
      <c r="E207" s="1" t="n">
        <v>46253</v>
      </c>
      <c r="F207" t="inlineStr">
        <is>
          <t>UPPSALA LÄN</t>
        </is>
      </c>
      <c r="G207" t="inlineStr">
        <is>
          <t>HEBY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46253</v>
      </c>
      <c r="F208" t="inlineStr">
        <is>
          <t>UPPSALA LÄN</t>
        </is>
      </c>
      <c r="G208" t="inlineStr">
        <is>
          <t>HEBY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46253</v>
      </c>
      <c r="F209" t="inlineStr">
        <is>
          <t>UPPSALA LÄN</t>
        </is>
      </c>
      <c r="G209" t="inlineStr">
        <is>
          <t>HEBY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46253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46253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46253</v>
      </c>
      <c r="F212" t="inlineStr">
        <is>
          <t>UPPSALA LÄN</t>
        </is>
      </c>
      <c r="G212" t="inlineStr">
        <is>
          <t>HEBY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46253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46253</v>
      </c>
      <c r="F214" t="inlineStr">
        <is>
          <t>UPPSALA LÄN</t>
        </is>
      </c>
      <c r="G214" t="inlineStr">
        <is>
          <t>HEBY</t>
        </is>
      </c>
      <c r="H214" t="inlineStr">
        <is>
          <t>Övriga Aktiebolag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46253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46253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46253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16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11555-2026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46084</v>
      </c>
      <c r="E218" s="1" t="n">
        <v>46253</v>
      </c>
      <c r="F218" t="inlineStr">
        <is>
          <t>UPPSALA LÄN</t>
        </is>
      </c>
      <c r="G218" t="inlineStr">
        <is>
          <t>HEBY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46253</v>
      </c>
      <c r="F219" t="inlineStr">
        <is>
          <t>UPPSALA LÄN</t>
        </is>
      </c>
      <c r="G219" t="inlineStr">
        <is>
          <t>HEBY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46253</v>
      </c>
      <c r="F220" t="inlineStr">
        <is>
          <t>UPPSALA LÄN</t>
        </is>
      </c>
      <c r="G220" t="inlineStr">
        <is>
          <t>HEBY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44916</v>
      </c>
      <c r="E221" s="1" t="n">
        <v>46253</v>
      </c>
      <c r="F221" t="inlineStr">
        <is>
          <t>UPPSALA LÄN</t>
        </is>
      </c>
      <c r="G221" t="inlineStr">
        <is>
          <t>HEBY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46058</v>
      </c>
      <c r="E222" s="1" t="n">
        <v>46253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46253</v>
      </c>
      <c r="F223" t="inlineStr">
        <is>
          <t>UPPSALA LÄN</t>
        </is>
      </c>
      <c r="G223" t="inlineStr">
        <is>
          <t>HEBY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46253</v>
      </c>
      <c r="F224" t="inlineStr">
        <is>
          <t>UPPSALA LÄN</t>
        </is>
      </c>
      <c r="G224" t="inlineStr">
        <is>
          <t>HEBY</t>
        </is>
      </c>
      <c r="H224" t="inlineStr">
        <is>
          <t>Kommuner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45364</v>
      </c>
      <c r="E225" s="1" t="n">
        <v>46253</v>
      </c>
      <c r="F225" t="inlineStr">
        <is>
          <t>UPPSALA LÄN</t>
        </is>
      </c>
      <c r="G225" t="inlineStr">
        <is>
          <t>HEBY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45364</v>
      </c>
      <c r="E226" s="1" t="n">
        <v>46253</v>
      </c>
      <c r="F226" t="inlineStr">
        <is>
          <t>UPPSALA LÄN</t>
        </is>
      </c>
      <c r="G226" t="inlineStr">
        <is>
          <t>HEBY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46253</v>
      </c>
      <c r="F227" t="inlineStr">
        <is>
          <t>UPPSALA LÄN</t>
        </is>
      </c>
      <c r="G227" t="inlineStr">
        <is>
          <t>HEBY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46253</v>
      </c>
      <c r="F228" t="inlineStr">
        <is>
          <t>UPPSALA LÄN</t>
        </is>
      </c>
      <c r="G228" t="inlineStr">
        <is>
          <t>HEBY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46253</v>
      </c>
      <c r="F229" t="inlineStr">
        <is>
          <t>UPPSALA LÄN</t>
        </is>
      </c>
      <c r="G229" t="inlineStr">
        <is>
          <t>HEBY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46253</v>
      </c>
      <c r="F230" t="inlineStr">
        <is>
          <t>UPPSALA LÄN</t>
        </is>
      </c>
      <c r="G230" t="inlineStr">
        <is>
          <t>HEBY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46253</v>
      </c>
      <c r="F231" t="inlineStr">
        <is>
          <t>UPPSALA LÄN</t>
        </is>
      </c>
      <c r="G231" t="inlineStr">
        <is>
          <t>HEBY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44888</v>
      </c>
      <c r="E232" s="1" t="n">
        <v>46253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46253</v>
      </c>
      <c r="F233" t="inlineStr">
        <is>
          <t>UPPSALA LÄN</t>
        </is>
      </c>
      <c r="G233" t="inlineStr">
        <is>
          <t>HEBY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46253</v>
      </c>
      <c r="F234" t="inlineStr">
        <is>
          <t>UPPSALA LÄN</t>
        </is>
      </c>
      <c r="G234" t="inlineStr">
        <is>
          <t>HEBY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46253</v>
      </c>
      <c r="F235" t="inlineStr">
        <is>
          <t>UPPSALA LÄN</t>
        </is>
      </c>
      <c r="G235" t="inlineStr">
        <is>
          <t>HEBY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46253</v>
      </c>
      <c r="F236" t="inlineStr">
        <is>
          <t>UPPSALA LÄN</t>
        </is>
      </c>
      <c r="G236" t="inlineStr">
        <is>
          <t>HEBY</t>
        </is>
      </c>
      <c r="I236" t="n">
        <v>14.8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46253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45058</v>
      </c>
      <c r="E238" s="1" t="n">
        <v>46253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46253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43.4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44701</v>
      </c>
      <c r="E240" s="1" t="n">
        <v>46253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46253</v>
      </c>
      <c r="F241" t="inlineStr">
        <is>
          <t>UPPSALA LÄN</t>
        </is>
      </c>
      <c r="G241" t="inlineStr">
        <is>
          <t>HEBY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46253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44601</v>
      </c>
      <c r="E243" s="1" t="n">
        <v>46253</v>
      </c>
      <c r="F243" t="inlineStr">
        <is>
          <t>UPPSALA LÄN</t>
        </is>
      </c>
      <c r="G243" t="inlineStr">
        <is>
          <t>HEBY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46253</v>
      </c>
      <c r="F244" t="inlineStr">
        <is>
          <t>UPPSALA LÄN</t>
        </is>
      </c>
      <c r="G244" t="inlineStr">
        <is>
          <t>HEBY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45422</v>
      </c>
      <c r="E245" s="1" t="n">
        <v>46253</v>
      </c>
      <c r="F245" t="inlineStr">
        <is>
          <t>UPPSALA LÄN</t>
        </is>
      </c>
      <c r="G245" t="inlineStr">
        <is>
          <t>HEBY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46073</v>
      </c>
      <c r="E246" s="1" t="n">
        <v>46253</v>
      </c>
      <c r="F246" t="inlineStr">
        <is>
          <t>UPPSALA LÄN</t>
        </is>
      </c>
      <c r="G246" t="inlineStr">
        <is>
          <t>HEBY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46253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46253</v>
      </c>
      <c r="F248" t="inlineStr">
        <is>
          <t>UPPSALA LÄN</t>
        </is>
      </c>
      <c r="G248" t="inlineStr">
        <is>
          <t>HEBY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44697</v>
      </c>
      <c r="E249" s="1" t="n">
        <v>46253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14.3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46253</v>
      </c>
      <c r="F250" t="inlineStr">
        <is>
          <t>UPPSALA LÄN</t>
        </is>
      </c>
      <c r="G250" t="inlineStr">
        <is>
          <t>HEBY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59486-2021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44491</v>
      </c>
      <c r="E251" s="1" t="n">
        <v>46253</v>
      </c>
      <c r="F251" t="inlineStr">
        <is>
          <t>UPPSALA LÄN</t>
        </is>
      </c>
      <c r="G251" t="inlineStr">
        <is>
          <t>HEBY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46253</v>
      </c>
      <c r="F252" t="inlineStr">
        <is>
          <t>UPPSALA LÄN</t>
        </is>
      </c>
      <c r="G252" t="inlineStr">
        <is>
          <t>HEBY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46253</v>
      </c>
      <c r="F253" t="inlineStr">
        <is>
          <t>UPPSALA LÄN</t>
        </is>
      </c>
      <c r="G253" t="inlineStr">
        <is>
          <t>HEBY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46253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46253</v>
      </c>
      <c r="F255" t="inlineStr">
        <is>
          <t>UPPSALA LÄN</t>
        </is>
      </c>
      <c r="G255" t="inlineStr">
        <is>
          <t>HEBY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46253</v>
      </c>
      <c r="F256" t="inlineStr">
        <is>
          <t>UPPSALA LÄN</t>
        </is>
      </c>
      <c r="G256" t="inlineStr">
        <is>
          <t>HEBY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46253</v>
      </c>
      <c r="F257" t="inlineStr">
        <is>
          <t>UPPSALA LÄN</t>
        </is>
      </c>
      <c r="G257" t="inlineStr">
        <is>
          <t>HEBY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45106</v>
      </c>
      <c r="E258" s="1" t="n">
        <v>46253</v>
      </c>
      <c r="F258" t="inlineStr">
        <is>
          <t>UPPSALA LÄN</t>
        </is>
      </c>
      <c r="G258" t="inlineStr">
        <is>
          <t>HEBY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45294</v>
      </c>
      <c r="E259" s="1" t="n">
        <v>46253</v>
      </c>
      <c r="F259" t="inlineStr">
        <is>
          <t>UPPSALA LÄN</t>
        </is>
      </c>
      <c r="G259" t="inlineStr">
        <is>
          <t>HEBY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46253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45092</v>
      </c>
      <c r="E261" s="1" t="n">
        <v>46253</v>
      </c>
      <c r="F261" t="inlineStr">
        <is>
          <t>UPPSALA LÄN</t>
        </is>
      </c>
      <c r="G261" t="inlineStr">
        <is>
          <t>HEBY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46253</v>
      </c>
      <c r="F262" t="inlineStr">
        <is>
          <t>UPPSALA LÄN</t>
        </is>
      </c>
      <c r="G262" t="inlineStr">
        <is>
          <t>HEBY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70158-2021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46253</v>
      </c>
      <c r="F263" t="inlineStr">
        <is>
          <t>UPPSALA LÄN</t>
        </is>
      </c>
      <c r="G263" t="inlineStr">
        <is>
          <t>HEBY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45294</v>
      </c>
      <c r="E264" s="1" t="n">
        <v>46253</v>
      </c>
      <c r="F264" t="inlineStr">
        <is>
          <t>UPPSALA LÄN</t>
        </is>
      </c>
      <c r="G264" t="inlineStr">
        <is>
          <t>HEBY</t>
        </is>
      </c>
      <c r="H264" t="inlineStr">
        <is>
          <t>Kommuner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46253</v>
      </c>
      <c r="F265" t="inlineStr">
        <is>
          <t>UPPSALA LÄN</t>
        </is>
      </c>
      <c r="G265" t="inlineStr">
        <is>
          <t>HEBY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45382-2025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46253</v>
      </c>
      <c r="F266" t="inlineStr">
        <is>
          <t>UPPSALA LÄN</t>
        </is>
      </c>
      <c r="G266" t="inlineStr">
        <is>
          <t>HEBY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46253</v>
      </c>
      <c r="F267" t="inlineStr">
        <is>
          <t>UPPSALA LÄN</t>
        </is>
      </c>
      <c r="G267" t="inlineStr">
        <is>
          <t>HEBY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46253</v>
      </c>
      <c r="F268" t="inlineStr">
        <is>
          <t>UPPSALA LÄN</t>
        </is>
      </c>
      <c r="G268" t="inlineStr">
        <is>
          <t>HEBY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46253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46253</v>
      </c>
      <c r="F270" t="inlineStr">
        <is>
          <t>UPPSALA LÄN</t>
        </is>
      </c>
      <c r="G270" t="inlineStr">
        <is>
          <t>HEBY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46253</v>
      </c>
      <c r="F271" t="inlineStr">
        <is>
          <t>UPPSALA LÄN</t>
        </is>
      </c>
      <c r="G271" t="inlineStr">
        <is>
          <t>HEBY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46253</v>
      </c>
      <c r="F272" t="inlineStr">
        <is>
          <t>UPPSALA LÄN</t>
        </is>
      </c>
      <c r="G272" t="inlineStr">
        <is>
          <t>HEBY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43957-2021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44434</v>
      </c>
      <c r="E273" s="1" t="n">
        <v>46253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46253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44802</v>
      </c>
      <c r="E275" s="1" t="n">
        <v>46253</v>
      </c>
      <c r="F275" t="inlineStr">
        <is>
          <t>UPPSALA LÄN</t>
        </is>
      </c>
      <c r="G275" t="inlineStr">
        <is>
          <t>HEBY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46253</v>
      </c>
      <c r="F276" t="inlineStr">
        <is>
          <t>UPPSALA LÄN</t>
        </is>
      </c>
      <c r="G276" t="inlineStr">
        <is>
          <t>HEBY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45749</v>
      </c>
      <c r="E277" s="1" t="n">
        <v>46253</v>
      </c>
      <c r="F277" t="inlineStr">
        <is>
          <t>UPPSALA LÄN</t>
        </is>
      </c>
      <c r="G277" t="inlineStr">
        <is>
          <t>HEBY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43179-2021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44431</v>
      </c>
      <c r="E278" s="1" t="n">
        <v>46253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46253</v>
      </c>
      <c r="F279" t="inlineStr">
        <is>
          <t>UPPSALA LÄN</t>
        </is>
      </c>
      <c r="G279" t="inlineStr">
        <is>
          <t>HEBY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45847</v>
      </c>
      <c r="E280" s="1" t="n">
        <v>46253</v>
      </c>
      <c r="F280" t="inlineStr">
        <is>
          <t>UPPSALA LÄN</t>
        </is>
      </c>
      <c r="G280" t="inlineStr">
        <is>
          <t>HEBY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46253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45932</v>
      </c>
      <c r="E282" s="1" t="n">
        <v>46253</v>
      </c>
      <c r="F282" t="inlineStr">
        <is>
          <t>UPPSALA LÄN</t>
        </is>
      </c>
      <c r="G282" t="inlineStr">
        <is>
          <t>HEBY</t>
        </is>
      </c>
      <c r="H282" t="inlineStr">
        <is>
          <t>Allmännings- och besparingsskogar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46253</v>
      </c>
      <c r="F283" t="inlineStr">
        <is>
          <t>UPPSALA LÄN</t>
        </is>
      </c>
      <c r="G283" t="inlineStr">
        <is>
          <t>HEBY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44810</v>
      </c>
      <c r="E284" s="1" t="n">
        <v>46253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46253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46253</v>
      </c>
      <c r="F286" t="inlineStr">
        <is>
          <t>UPPSALA LÄN</t>
        </is>
      </c>
      <c r="G286" t="inlineStr">
        <is>
          <t>HEBY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45852</v>
      </c>
      <c r="E287" s="1" t="n">
        <v>46253</v>
      </c>
      <c r="F287" t="inlineStr">
        <is>
          <t>UPPSALA LÄN</t>
        </is>
      </c>
      <c r="G287" t="inlineStr">
        <is>
          <t>HEBY</t>
        </is>
      </c>
      <c r="H287" t="inlineStr">
        <is>
          <t>Kyrkan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46253</v>
      </c>
      <c r="F288" t="inlineStr">
        <is>
          <t>UPPSALA LÄN</t>
        </is>
      </c>
      <c r="G288" t="inlineStr">
        <is>
          <t>HEBY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46253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öst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46253</v>
      </c>
      <c r="F290" t="inlineStr">
        <is>
          <t>UPPSALA LÄN</t>
        </is>
      </c>
      <c r="G290" t="inlineStr">
        <is>
          <t>HEBY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46253</v>
      </c>
      <c r="F291" t="inlineStr">
        <is>
          <t>UPPSALA LÄN</t>
        </is>
      </c>
      <c r="G291" t="inlineStr">
        <is>
          <t>HEBY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45132</v>
      </c>
      <c r="E292" s="1" t="n">
        <v>46253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44694</v>
      </c>
      <c r="E293" s="1" t="n">
        <v>46253</v>
      </c>
      <c r="F293" t="inlineStr">
        <is>
          <t>UPPSALA LÄN</t>
        </is>
      </c>
      <c r="G293" t="inlineStr">
        <is>
          <t>HEBY</t>
        </is>
      </c>
      <c r="I293" t="n">
        <v>22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45132</v>
      </c>
      <c r="E294" s="1" t="n">
        <v>46253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46110</v>
      </c>
      <c r="E295" s="1" t="n">
        <v>46253</v>
      </c>
      <c r="F295" t="inlineStr">
        <is>
          <t>UPPSALA LÄN</t>
        </is>
      </c>
      <c r="G295" t="inlineStr">
        <is>
          <t>HEBY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8182-2022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44609</v>
      </c>
      <c r="E296" s="1" t="n">
        <v>46253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46253</v>
      </c>
      <c r="F297" t="inlineStr">
        <is>
          <t>UPPSALA LÄN</t>
        </is>
      </c>
      <c r="G297" t="inlineStr">
        <is>
          <t>HEBY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46253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50255-2025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46253</v>
      </c>
      <c r="F299" t="inlineStr">
        <is>
          <t>UPPSALA LÄN</t>
        </is>
      </c>
      <c r="G299" t="inlineStr">
        <is>
          <t>HEBY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16506-2026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46112</v>
      </c>
      <c r="E300" s="1" t="n">
        <v>46253</v>
      </c>
      <c r="F300" t="inlineStr">
        <is>
          <t>UPPSALA LÄN</t>
        </is>
      </c>
      <c r="G300" t="inlineStr">
        <is>
          <t>HEBY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46112</v>
      </c>
      <c r="E301" s="1" t="n">
        <v>46253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46112</v>
      </c>
      <c r="E302" s="1" t="n">
        <v>46253</v>
      </c>
      <c r="F302" t="inlineStr">
        <is>
          <t>UPPSALA LÄN</t>
        </is>
      </c>
      <c r="G302" t="inlineStr">
        <is>
          <t>HEBY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46253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46253</v>
      </c>
      <c r="F304" t="inlineStr">
        <is>
          <t>UPPSALA LÄN</t>
        </is>
      </c>
      <c r="G304" t="inlineStr">
        <is>
          <t>HEBY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45743</v>
      </c>
      <c r="E305" s="1" t="n">
        <v>46253</v>
      </c>
      <c r="F305" t="inlineStr">
        <is>
          <t>UPPSALA LÄN</t>
        </is>
      </c>
      <c r="G305" t="inlineStr">
        <is>
          <t>HEBY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46253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46253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46253</v>
      </c>
      <c r="F308" t="inlineStr">
        <is>
          <t>UPPSALA LÄN</t>
        </is>
      </c>
      <c r="G308" t="inlineStr">
        <is>
          <t>HEBY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46253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44464-2021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44435</v>
      </c>
      <c r="E310" s="1" t="n">
        <v>46253</v>
      </c>
      <c r="F310" t="inlineStr">
        <is>
          <t>UPPSALA LÄN</t>
        </is>
      </c>
      <c r="G310" t="inlineStr">
        <is>
          <t>HEBY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45351</v>
      </c>
      <c r="E311" s="1" t="n">
        <v>46253</v>
      </c>
      <c r="F311" t="inlineStr">
        <is>
          <t>UPPSALA LÄN</t>
        </is>
      </c>
      <c r="G311" t="inlineStr">
        <is>
          <t>HEBY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51333-2025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45950</v>
      </c>
      <c r="E312" s="1" t="n">
        <v>46253</v>
      </c>
      <c r="F312" t="inlineStr">
        <is>
          <t>UPPSALA LÄN</t>
        </is>
      </c>
      <c r="G312" t="inlineStr">
        <is>
          <t>HEBY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46253</v>
      </c>
      <c r="F313" t="inlineStr">
        <is>
          <t>UPPSALA LÄN</t>
        </is>
      </c>
      <c r="G313" t="inlineStr">
        <is>
          <t>HEBY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46253</v>
      </c>
      <c r="F314" t="inlineStr">
        <is>
          <t>UPPSALA LÄN</t>
        </is>
      </c>
      <c r="G314" t="inlineStr">
        <is>
          <t>HEBY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46253</v>
      </c>
      <c r="F315" t="inlineStr">
        <is>
          <t>UPPSALA LÄN</t>
        </is>
      </c>
      <c r="G315" t="inlineStr">
        <is>
          <t>HEBY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51091-2023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45218</v>
      </c>
      <c r="E316" s="1" t="n">
        <v>46253</v>
      </c>
      <c r="F316" t="inlineStr">
        <is>
          <t>UPPSALA LÄN</t>
        </is>
      </c>
      <c r="G316" t="inlineStr">
        <is>
          <t>HEBY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46253</v>
      </c>
      <c r="F317" t="inlineStr">
        <is>
          <t>UPPSALA LÄN</t>
        </is>
      </c>
      <c r="G317" t="inlineStr">
        <is>
          <t>HEBY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46253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45216</v>
      </c>
      <c r="E319" s="1" t="n">
        <v>46253</v>
      </c>
      <c r="F319" t="inlineStr">
        <is>
          <t>UPPSALA LÄN</t>
        </is>
      </c>
      <c r="G319" t="inlineStr">
        <is>
          <t>HEBY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46126</v>
      </c>
      <c r="E320" s="1" t="n">
        <v>46253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46253</v>
      </c>
      <c r="F321" t="inlineStr">
        <is>
          <t>UPPSALA LÄN</t>
        </is>
      </c>
      <c r="G321" t="inlineStr">
        <is>
          <t>HEBY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46253</v>
      </c>
      <c r="F322" t="inlineStr">
        <is>
          <t>UPPSALA LÄN</t>
        </is>
      </c>
      <c r="G322" t="inlineStr">
        <is>
          <t>HEBY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18144-2022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44684</v>
      </c>
      <c r="E323" s="1" t="n">
        <v>46253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46253</v>
      </c>
      <c r="F324" t="inlineStr">
        <is>
          <t>UPPSALA LÄN</t>
        </is>
      </c>
      <c r="G324" t="inlineStr">
        <is>
          <t>HEBY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44939</v>
      </c>
      <c r="E325" s="1" t="n">
        <v>46253</v>
      </c>
      <c r="F325" t="inlineStr">
        <is>
          <t>UPPSALA LÄN</t>
        </is>
      </c>
      <c r="G325" t="inlineStr">
        <is>
          <t>HEBY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46253</v>
      </c>
      <c r="F326" t="inlineStr">
        <is>
          <t>UPPSALA LÄN</t>
        </is>
      </c>
      <c r="G326" t="inlineStr">
        <is>
          <t>HEBY</t>
        </is>
      </c>
      <c r="H326" t="inlineStr">
        <is>
          <t>Kyrkan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46253</v>
      </c>
      <c r="F327" t="inlineStr">
        <is>
          <t>UPPSALA LÄN</t>
        </is>
      </c>
      <c r="G327" t="inlineStr">
        <is>
          <t>HEBY</t>
        </is>
      </c>
      <c r="H327" t="inlineStr">
        <is>
          <t>Kyrkan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46253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väst AB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70976-2021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44538</v>
      </c>
      <c r="E329" s="1" t="n">
        <v>46253</v>
      </c>
      <c r="F329" t="inlineStr">
        <is>
          <t>UPPSALA LÄN</t>
        </is>
      </c>
      <c r="G329" t="inlineStr">
        <is>
          <t>HEBY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46253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46253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46253</v>
      </c>
      <c r="F332" t="inlineStr">
        <is>
          <t>UPPSALA LÄN</t>
        </is>
      </c>
      <c r="G332" t="inlineStr">
        <is>
          <t>HEBY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45670</v>
      </c>
      <c r="E333" s="1" t="n">
        <v>46253</v>
      </c>
      <c r="F333" t="inlineStr">
        <is>
          <t>UPPSALA LÄN</t>
        </is>
      </c>
      <c r="G333" t="inlineStr">
        <is>
          <t>HEBY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55018-2025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45967</v>
      </c>
      <c r="E334" s="1" t="n">
        <v>46253</v>
      </c>
      <c r="F334" t="inlineStr">
        <is>
          <t>UPPSALA LÄN</t>
        </is>
      </c>
      <c r="G334" t="inlineStr">
        <is>
          <t>HEBY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44944</v>
      </c>
      <c r="E335" s="1" t="n">
        <v>46253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46253</v>
      </c>
      <c r="F336" t="inlineStr">
        <is>
          <t>UPPSALA LÄN</t>
        </is>
      </c>
      <c r="G336" t="inlineStr">
        <is>
          <t>HEBY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55488-2025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45971</v>
      </c>
      <c r="E337" s="1" t="n">
        <v>46253</v>
      </c>
      <c r="F337" t="inlineStr">
        <is>
          <t>UPPSALA LÄN</t>
        </is>
      </c>
      <c r="G337" t="inlineStr">
        <is>
          <t>HEBY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55496-2025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45971</v>
      </c>
      <c r="E338" s="1" t="n">
        <v>46253</v>
      </c>
      <c r="F338" t="inlineStr">
        <is>
          <t>UPPSALA LÄN</t>
        </is>
      </c>
      <c r="G338" t="inlineStr">
        <is>
          <t>HEBY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50859-2022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44862</v>
      </c>
      <c r="E339" s="1" t="n">
        <v>46253</v>
      </c>
      <c r="F339" t="inlineStr">
        <is>
          <t>UPPSALA LÄN</t>
        </is>
      </c>
      <c r="G339" t="inlineStr">
        <is>
          <t>HEBY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46253</v>
      </c>
      <c r="F340" t="inlineStr">
        <is>
          <t>UPPSALA LÄN</t>
        </is>
      </c>
      <c r="G340" t="inlineStr">
        <is>
          <t>HEBY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44568</v>
      </c>
      <c r="E341" s="1" t="n">
        <v>46253</v>
      </c>
      <c r="F341" t="inlineStr">
        <is>
          <t>UPPSALA LÄN</t>
        </is>
      </c>
      <c r="G341" t="inlineStr">
        <is>
          <t>HEBY</t>
        </is>
      </c>
      <c r="I341" t="n">
        <v>10.6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46253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öst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45279</v>
      </c>
      <c r="E343" s="1" t="n">
        <v>46253</v>
      </c>
      <c r="F343" t="inlineStr">
        <is>
          <t>UPPSALA LÄN</t>
        </is>
      </c>
      <c r="G343" t="inlineStr">
        <is>
          <t>HEBY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46253</v>
      </c>
      <c r="F344" t="inlineStr">
        <is>
          <t>UPPSALA LÄN</t>
        </is>
      </c>
      <c r="G344" t="inlineStr">
        <is>
          <t>HEBY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46253</v>
      </c>
      <c r="F345" t="inlineStr">
        <is>
          <t>UPPSALA LÄN</t>
        </is>
      </c>
      <c r="G345" t="inlineStr">
        <is>
          <t>HEBY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45090</v>
      </c>
      <c r="E346" s="1" t="n">
        <v>46253</v>
      </c>
      <c r="F346" t="inlineStr">
        <is>
          <t>UPPSALA LÄN</t>
        </is>
      </c>
      <c r="G346" t="inlineStr">
        <is>
          <t>HEBY</t>
        </is>
      </c>
      <c r="H346" t="inlineStr">
        <is>
          <t>Övriga Aktiebolag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46253</v>
      </c>
      <c r="F347" t="inlineStr">
        <is>
          <t>UPPSALA LÄN</t>
        </is>
      </c>
      <c r="G347" t="inlineStr">
        <is>
          <t>HEBY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45932</v>
      </c>
      <c r="E348" s="1" t="n">
        <v>46253</v>
      </c>
      <c r="F348" t="inlineStr">
        <is>
          <t>UPPSALA LÄN</t>
        </is>
      </c>
      <c r="G348" t="inlineStr">
        <is>
          <t>HEBY</t>
        </is>
      </c>
      <c r="H348" t="inlineStr">
        <is>
          <t>Allmännings- och besparingsskogar</t>
        </is>
      </c>
      <c r="I348" t="n">
        <v>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46253</v>
      </c>
      <c r="F349" t="inlineStr">
        <is>
          <t>UPPSALA LÄN</t>
        </is>
      </c>
      <c r="G349" t="inlineStr">
        <is>
          <t>HEBY</t>
        </is>
      </c>
      <c r="H349" t="inlineStr">
        <is>
          <t>Övriga Aktiebolag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46253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46253</v>
      </c>
      <c r="F351" t="inlineStr">
        <is>
          <t>UPPSALA LÄN</t>
        </is>
      </c>
      <c r="G351" t="inlineStr">
        <is>
          <t>HEBY</t>
        </is>
      </c>
      <c r="H351" t="inlineStr">
        <is>
          <t>Kyrkan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66055-2021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44517</v>
      </c>
      <c r="E352" s="1" t="n">
        <v>46253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46253</v>
      </c>
      <c r="F353" t="inlineStr">
        <is>
          <t>UPPSALA LÄN</t>
        </is>
      </c>
      <c r="G353" t="inlineStr">
        <is>
          <t>HEBY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46253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45761</v>
      </c>
      <c r="E355" s="1" t="n">
        <v>46253</v>
      </c>
      <c r="F355" t="inlineStr">
        <is>
          <t>UPPSALA LÄN</t>
        </is>
      </c>
      <c r="G355" t="inlineStr">
        <is>
          <t>HEBY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46253</v>
      </c>
      <c r="F356" t="inlineStr">
        <is>
          <t>UPPSALA LÄN</t>
        </is>
      </c>
      <c r="G356" t="inlineStr">
        <is>
          <t>HEBY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46253</v>
      </c>
      <c r="F357" t="inlineStr">
        <is>
          <t>UPPSALA LÄN</t>
        </is>
      </c>
      <c r="G357" t="inlineStr">
        <is>
          <t>HEBY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72180-2021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44543</v>
      </c>
      <c r="E358" s="1" t="n">
        <v>46253</v>
      </c>
      <c r="F358" t="inlineStr">
        <is>
          <t>UPPSALA LÄN</t>
        </is>
      </c>
      <c r="G358" t="inlineStr">
        <is>
          <t>HEBY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46253</v>
      </c>
      <c r="F359" t="inlineStr">
        <is>
          <t>UPPSALA LÄN</t>
        </is>
      </c>
      <c r="G359" t="inlineStr">
        <is>
          <t>HEBY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46253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46253</v>
      </c>
      <c r="F361" t="inlineStr">
        <is>
          <t>UPPSALA LÄN</t>
        </is>
      </c>
      <c r="G361" t="inlineStr">
        <is>
          <t>HEBY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44914</v>
      </c>
      <c r="E362" s="1" t="n">
        <v>46253</v>
      </c>
      <c r="F362" t="inlineStr">
        <is>
          <t>UPPSALA LÄN</t>
        </is>
      </c>
      <c r="G362" t="inlineStr">
        <is>
          <t>HEBY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46253</v>
      </c>
      <c r="F363" t="inlineStr">
        <is>
          <t>UPPSALA LÄN</t>
        </is>
      </c>
      <c r="G363" t="inlineStr">
        <is>
          <t>HEBY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46253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47861-2025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46253</v>
      </c>
      <c r="F365" t="inlineStr">
        <is>
          <t>UPPSALA LÄN</t>
        </is>
      </c>
      <c r="G365" t="inlineStr">
        <is>
          <t>HEBY</t>
        </is>
      </c>
      <c r="H365" t="inlineStr">
        <is>
          <t>Allmännings- och besparingsskogar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45117</v>
      </c>
      <c r="E366" s="1" t="n">
        <v>46253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45117</v>
      </c>
      <c r="E367" s="1" t="n">
        <v>46253</v>
      </c>
      <c r="F367" t="inlineStr">
        <is>
          <t>UPPSALA LÄN</t>
        </is>
      </c>
      <c r="G367" t="inlineStr">
        <is>
          <t>HEBY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45117</v>
      </c>
      <c r="E368" s="1" t="n">
        <v>46253</v>
      </c>
      <c r="F368" t="inlineStr">
        <is>
          <t>UPPSALA LÄN</t>
        </is>
      </c>
      <c r="G368" t="inlineStr">
        <is>
          <t>HEBY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51733-2025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45951</v>
      </c>
      <c r="E369" s="1" t="n">
        <v>46253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45777</v>
      </c>
      <c r="E370" s="1" t="n">
        <v>46253</v>
      </c>
      <c r="F370" t="inlineStr">
        <is>
          <t>UPPSALA LÄN</t>
        </is>
      </c>
      <c r="G370" t="inlineStr">
        <is>
          <t>HEBY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46253</v>
      </c>
      <c r="F371" t="inlineStr">
        <is>
          <t>UPPSALA LÄN</t>
        </is>
      </c>
      <c r="G371" t="inlineStr">
        <is>
          <t>HEBY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45895</v>
      </c>
      <c r="E372" s="1" t="n">
        <v>46253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öst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46253</v>
      </c>
      <c r="F373" t="inlineStr">
        <is>
          <t>UPPSALA LÄN</t>
        </is>
      </c>
      <c r="G373" t="inlineStr">
        <is>
          <t>HEBY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45884</v>
      </c>
      <c r="E374" s="1" t="n">
        <v>46253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46253</v>
      </c>
      <c r="F375" t="inlineStr">
        <is>
          <t>UPPSALA LÄN</t>
        </is>
      </c>
      <c r="G375" t="inlineStr">
        <is>
          <t>HEBY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73622-2021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44552</v>
      </c>
      <c r="E376" s="1" t="n">
        <v>46253</v>
      </c>
      <c r="F376" t="inlineStr">
        <is>
          <t>UPPSALA LÄN</t>
        </is>
      </c>
      <c r="G376" t="inlineStr">
        <is>
          <t>HEBY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46253</v>
      </c>
      <c r="F377" t="inlineStr">
        <is>
          <t>UPPSALA LÄN</t>
        </is>
      </c>
      <c r="G377" t="inlineStr">
        <is>
          <t>HEBY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45891</v>
      </c>
      <c r="E378" s="1" t="n">
        <v>46253</v>
      </c>
      <c r="F378" t="inlineStr">
        <is>
          <t>UPPSALA LÄN</t>
        </is>
      </c>
      <c r="G378" t="inlineStr">
        <is>
          <t>HEBY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46253</v>
      </c>
      <c r="F379" t="inlineStr">
        <is>
          <t>UPPSALA LÄN</t>
        </is>
      </c>
      <c r="G379" t="inlineStr">
        <is>
          <t>HEBY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46253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öst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45006</v>
      </c>
      <c r="E381" s="1" t="n">
        <v>46253</v>
      </c>
      <c r="F381" t="inlineStr">
        <is>
          <t>UPPSALA LÄN</t>
        </is>
      </c>
      <c r="G381" t="inlineStr">
        <is>
          <t>HEBY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46253</v>
      </c>
      <c r="F382" t="inlineStr">
        <is>
          <t>UPPSALA LÄN</t>
        </is>
      </c>
      <c r="G382" t="inlineStr">
        <is>
          <t>HEBY</t>
        </is>
      </c>
      <c r="H382" t="inlineStr">
        <is>
          <t>Övriga Aktiebolag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46253</v>
      </c>
      <c r="F383" t="inlineStr">
        <is>
          <t>UPPSALA LÄN</t>
        </is>
      </c>
      <c r="G383" t="inlineStr">
        <is>
          <t>HEBY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44568</v>
      </c>
      <c r="E384" s="1" t="n">
        <v>46253</v>
      </c>
      <c r="F384" t="inlineStr">
        <is>
          <t>UPPSALA LÄN</t>
        </is>
      </c>
      <c r="G384" t="inlineStr">
        <is>
          <t>HEBY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45805</v>
      </c>
      <c r="E385" s="1" t="n">
        <v>46253</v>
      </c>
      <c r="F385" t="inlineStr">
        <is>
          <t>UPPSALA LÄN</t>
        </is>
      </c>
      <c r="G385" t="inlineStr">
        <is>
          <t>HEBY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46253</v>
      </c>
      <c r="F386" t="inlineStr">
        <is>
          <t>UPPSALA LÄN</t>
        </is>
      </c>
      <c r="G386" t="inlineStr">
        <is>
          <t>HEBY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46253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61886-2025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46253</v>
      </c>
      <c r="F388" t="inlineStr">
        <is>
          <t>UPPSALA LÄN</t>
        </is>
      </c>
      <c r="G388" t="inlineStr">
        <is>
          <t>HEBY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62042-2025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46005</v>
      </c>
      <c r="E389" s="1" t="n">
        <v>46253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46253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46253</v>
      </c>
      <c r="F391" t="inlineStr">
        <is>
          <t>UPPSALA LÄN</t>
        </is>
      </c>
      <c r="G391" t="inlineStr">
        <is>
          <t>HEBY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45532</v>
      </c>
      <c r="E392" s="1" t="n">
        <v>46253</v>
      </c>
      <c r="F392" t="inlineStr">
        <is>
          <t>UPPSALA LÄN</t>
        </is>
      </c>
      <c r="G392" t="inlineStr">
        <is>
          <t>HEBY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46253</v>
      </c>
      <c r="F393" t="inlineStr">
        <is>
          <t>UPPSALA LÄN</t>
        </is>
      </c>
      <c r="G393" t="inlineStr">
        <is>
          <t>HEBY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11715-2024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45373</v>
      </c>
      <c r="E394" s="1" t="n">
        <v>46253</v>
      </c>
      <c r="F394" t="inlineStr">
        <is>
          <t>UPPSALA LÄN</t>
        </is>
      </c>
      <c r="G394" t="inlineStr">
        <is>
          <t>HEBY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62475-2025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46007</v>
      </c>
      <c r="E395" s="1" t="n">
        <v>46253</v>
      </c>
      <c r="F395" t="inlineStr">
        <is>
          <t>UPPSALA LÄN</t>
        </is>
      </c>
      <c r="G395" t="inlineStr">
        <is>
          <t>HEBY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46253</v>
      </c>
      <c r="F396" t="inlineStr">
        <is>
          <t>UPPSALA LÄN</t>
        </is>
      </c>
      <c r="G396" t="inlineStr">
        <is>
          <t>HEBY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39157-2023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46253</v>
      </c>
      <c r="F397" t="inlineStr">
        <is>
          <t>UPPSALA LÄN</t>
        </is>
      </c>
      <c r="G397" t="inlineStr">
        <is>
          <t>HEBY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46253</v>
      </c>
      <c r="F398" t="inlineStr">
        <is>
          <t>UPPSALA LÄN</t>
        </is>
      </c>
      <c r="G398" t="inlineStr">
        <is>
          <t>HEBY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46253</v>
      </c>
      <c r="F399" t="inlineStr">
        <is>
          <t>UPPSALA LÄN</t>
        </is>
      </c>
      <c r="G399" t="inlineStr">
        <is>
          <t>HEBY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64364-2021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44511</v>
      </c>
      <c r="E400" s="1" t="n">
        <v>46253</v>
      </c>
      <c r="F400" t="inlineStr">
        <is>
          <t>UPPSALA LÄN</t>
        </is>
      </c>
      <c r="G400" t="inlineStr">
        <is>
          <t>HEBY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46253</v>
      </c>
      <c r="F401" t="inlineStr">
        <is>
          <t>UPPSALA LÄN</t>
        </is>
      </c>
      <c r="G401" t="inlineStr">
        <is>
          <t>HEBY</t>
        </is>
      </c>
      <c r="H401" t="inlineStr">
        <is>
          <t>Allmännings- och besparingsskogar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46023</v>
      </c>
      <c r="E402" s="1" t="n">
        <v>46253</v>
      </c>
      <c r="F402" t="inlineStr">
        <is>
          <t>UPPSALA LÄN</t>
        </is>
      </c>
      <c r="G402" t="inlineStr">
        <is>
          <t>HEBY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46253</v>
      </c>
      <c r="F403" t="inlineStr">
        <is>
          <t>UPPSALA LÄN</t>
        </is>
      </c>
      <c r="G403" t="inlineStr">
        <is>
          <t>HEBY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48029-2024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45589</v>
      </c>
      <c r="E404" s="1" t="n">
        <v>46253</v>
      </c>
      <c r="F404" t="inlineStr">
        <is>
          <t>UPPSALA LÄN</t>
        </is>
      </c>
      <c r="G404" t="inlineStr">
        <is>
          <t>HEBY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9815-2022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44620</v>
      </c>
      <c r="E405" s="1" t="n">
        <v>46253</v>
      </c>
      <c r="F405" t="inlineStr">
        <is>
          <t>UPPSALA LÄN</t>
        </is>
      </c>
      <c r="G405" t="inlineStr">
        <is>
          <t>HEBY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4213-2023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46253</v>
      </c>
      <c r="F406" t="inlineStr">
        <is>
          <t>UPPSALA LÄN</t>
        </is>
      </c>
      <c r="G406" t="inlineStr">
        <is>
          <t>HEBY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8660-2022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44613</v>
      </c>
      <c r="E407" s="1" t="n">
        <v>46253</v>
      </c>
      <c r="F407" t="inlineStr">
        <is>
          <t>UPPSALA LÄN</t>
        </is>
      </c>
      <c r="G407" t="inlineStr">
        <is>
          <t>HEBY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45805</v>
      </c>
      <c r="E408" s="1" t="n">
        <v>46253</v>
      </c>
      <c r="F408" t="inlineStr">
        <is>
          <t>UPPSALA LÄN</t>
        </is>
      </c>
      <c r="G408" t="inlineStr">
        <is>
          <t>HEBY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46253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46253</v>
      </c>
      <c r="F410" t="inlineStr">
        <is>
          <t>UPPSALA LÄN</t>
        </is>
      </c>
      <c r="G410" t="inlineStr">
        <is>
          <t>HEBY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74215-2021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44558</v>
      </c>
      <c r="E411" s="1" t="n">
        <v>46253</v>
      </c>
      <c r="F411" t="inlineStr">
        <is>
          <t>UPPSALA LÄN</t>
        </is>
      </c>
      <c r="G411" t="inlineStr">
        <is>
          <t>HEBY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46253</v>
      </c>
      <c r="F412" t="inlineStr">
        <is>
          <t>UPPSALA LÄN</t>
        </is>
      </c>
      <c r="G412" t="inlineStr">
        <is>
          <t>HEBY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40926-2023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46253</v>
      </c>
      <c r="F413" t="inlineStr">
        <is>
          <t>UPPSALA LÄN</t>
        </is>
      </c>
      <c r="G413" t="inlineStr">
        <is>
          <t>HEBY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45008</v>
      </c>
      <c r="E414" s="1" t="n">
        <v>46253</v>
      </c>
      <c r="F414" t="inlineStr">
        <is>
          <t>UPPSALA LÄN</t>
        </is>
      </c>
      <c r="G414" t="inlineStr">
        <is>
          <t>HEBY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45547</v>
      </c>
      <c r="E415" s="1" t="n">
        <v>46253</v>
      </c>
      <c r="F415" t="inlineStr">
        <is>
          <t>UPPSALA LÄN</t>
        </is>
      </c>
      <c r="G415" t="inlineStr">
        <is>
          <t>HEBY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46253</v>
      </c>
      <c r="F416" t="inlineStr">
        <is>
          <t>UPPSALA LÄN</t>
        </is>
      </c>
      <c r="G416" t="inlineStr">
        <is>
          <t>HEBY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46253</v>
      </c>
      <c r="F417" t="inlineStr">
        <is>
          <t>UPPSALA LÄN</t>
        </is>
      </c>
      <c r="G417" t="inlineStr">
        <is>
          <t>HEBY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45181</v>
      </c>
      <c r="E418" s="1" t="n">
        <v>46253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45599</v>
      </c>
      <c r="E419" s="1" t="n">
        <v>46253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31139-2023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45103</v>
      </c>
      <c r="E420" s="1" t="n">
        <v>46253</v>
      </c>
      <c r="F420" t="inlineStr">
        <is>
          <t>UPPSALA LÄN</t>
        </is>
      </c>
      <c r="G420" t="inlineStr">
        <is>
          <t>HEBY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46253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46253</v>
      </c>
      <c r="F422" t="inlineStr">
        <is>
          <t>UPPSALA LÄN</t>
        </is>
      </c>
      <c r="G422" t="inlineStr">
        <is>
          <t>HEBY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46253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46253</v>
      </c>
      <c r="F424" t="inlineStr">
        <is>
          <t>UPPSALA LÄN</t>
        </is>
      </c>
      <c r="G424" t="inlineStr">
        <is>
          <t>HEBY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46253</v>
      </c>
      <c r="F425" t="inlineStr">
        <is>
          <t>UPPSALA LÄN</t>
        </is>
      </c>
      <c r="G425" t="inlineStr">
        <is>
          <t>HEBY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45674</v>
      </c>
      <c r="E426" s="1" t="n">
        <v>46253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35865-2022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44802</v>
      </c>
      <c r="E427" s="1" t="n">
        <v>46253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44802</v>
      </c>
      <c r="E428" s="1" t="n">
        <v>46253</v>
      </c>
      <c r="F428" t="inlineStr">
        <is>
          <t>UPPSALA LÄN</t>
        </is>
      </c>
      <c r="G428" t="inlineStr">
        <is>
          <t>HEBY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46253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45166</v>
      </c>
      <c r="E430" s="1" t="n">
        <v>46253</v>
      </c>
      <c r="F430" t="inlineStr">
        <is>
          <t>UPPSALA LÄN</t>
        </is>
      </c>
      <c r="G430" t="inlineStr">
        <is>
          <t>HEBY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44623</v>
      </c>
      <c r="E431" s="1" t="n">
        <v>46253</v>
      </c>
      <c r="F431" t="inlineStr">
        <is>
          <t>UPPSALA LÄN</t>
        </is>
      </c>
      <c r="G431" t="inlineStr">
        <is>
          <t>HEBY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46253</v>
      </c>
      <c r="F432" t="inlineStr">
        <is>
          <t>UPPSALA LÄN</t>
        </is>
      </c>
      <c r="G432" t="inlineStr">
        <is>
          <t>HEBY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46253</v>
      </c>
      <c r="F433" t="inlineStr">
        <is>
          <t>UPPSALA LÄN</t>
        </is>
      </c>
      <c r="G433" t="inlineStr">
        <is>
          <t>HEBY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46253</v>
      </c>
      <c r="F434" t="inlineStr">
        <is>
          <t>UPPSALA LÄN</t>
        </is>
      </c>
      <c r="G434" t="inlineStr">
        <is>
          <t>HEBY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19718-2023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45050</v>
      </c>
      <c r="E435" s="1" t="n">
        <v>46253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44609</v>
      </c>
      <c r="E436" s="1" t="n">
        <v>46253</v>
      </c>
      <c r="F436" t="inlineStr">
        <is>
          <t>UPPSALA LÄN</t>
        </is>
      </c>
      <c r="G436" t="inlineStr">
        <is>
          <t>HEBY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46253</v>
      </c>
      <c r="F437" t="inlineStr">
        <is>
          <t>UPPSALA LÄN</t>
        </is>
      </c>
      <c r="G437" t="inlineStr">
        <is>
          <t>HEBY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46253</v>
      </c>
      <c r="F438" t="inlineStr">
        <is>
          <t>UPPSALA LÄN</t>
        </is>
      </c>
      <c r="G438" t="inlineStr">
        <is>
          <t>HEBY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46253</v>
      </c>
      <c r="F439" t="inlineStr">
        <is>
          <t>UPPSALA LÄN</t>
        </is>
      </c>
      <c r="G439" t="inlineStr">
        <is>
          <t>HEBY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46253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33729-2023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45133</v>
      </c>
      <c r="E441" s="1" t="n">
        <v>46253</v>
      </c>
      <c r="F441" t="inlineStr">
        <is>
          <t>UPPSALA LÄN</t>
        </is>
      </c>
      <c r="G441" t="inlineStr">
        <is>
          <t>HEBY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19896-2022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44697</v>
      </c>
      <c r="E442" s="1" t="n">
        <v>46253</v>
      </c>
      <c r="F442" t="inlineStr">
        <is>
          <t>UPPSALA LÄN</t>
        </is>
      </c>
      <c r="G442" t="inlineStr">
        <is>
          <t>HEBY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45009-2022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44841</v>
      </c>
      <c r="E443" s="1" t="n">
        <v>46253</v>
      </c>
      <c r="F443" t="inlineStr">
        <is>
          <t>UPPSALA LÄN</t>
        </is>
      </c>
      <c r="G443" t="inlineStr">
        <is>
          <t>HEBY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34593-2023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45138</v>
      </c>
      <c r="E444" s="1" t="n">
        <v>46253</v>
      </c>
      <c r="F444" t="inlineStr">
        <is>
          <t>UPPSALA LÄN</t>
        </is>
      </c>
      <c r="G444" t="inlineStr">
        <is>
          <t>HEBY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19654-2022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44694</v>
      </c>
      <c r="E445" s="1" t="n">
        <v>46253</v>
      </c>
      <c r="F445" t="inlineStr">
        <is>
          <t>UPPSALA LÄN</t>
        </is>
      </c>
      <c r="G445" t="inlineStr">
        <is>
          <t>HEBY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46253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46223</v>
      </c>
      <c r="E447" s="1" t="n">
        <v>46253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46253</v>
      </c>
      <c r="F448" t="inlineStr">
        <is>
          <t>UPPSALA LÄN</t>
        </is>
      </c>
      <c r="G448" t="inlineStr">
        <is>
          <t>HEBY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44788</v>
      </c>
      <c r="E449" s="1" t="n">
        <v>46253</v>
      </c>
      <c r="F449" t="inlineStr">
        <is>
          <t>UPPSALA LÄN</t>
        </is>
      </c>
      <c r="G449" t="inlineStr">
        <is>
          <t>HEBY</t>
        </is>
      </c>
      <c r="I449" t="n">
        <v>18.8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46253</v>
      </c>
      <c r="F450" t="inlineStr">
        <is>
          <t>UPPSALA LÄN</t>
        </is>
      </c>
      <c r="G450" t="inlineStr">
        <is>
          <t>HEBY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46253</v>
      </c>
      <c r="F451" t="inlineStr">
        <is>
          <t>UPPSALA LÄN</t>
        </is>
      </c>
      <c r="G451" t="inlineStr">
        <is>
          <t>HEBY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58913-2023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45250</v>
      </c>
      <c r="E452" s="1" t="n">
        <v>46253</v>
      </c>
      <c r="F452" t="inlineStr">
        <is>
          <t>UPPSALA LÄN</t>
        </is>
      </c>
      <c r="G452" t="inlineStr">
        <is>
          <t>HEBY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44752</v>
      </c>
      <c r="E453" s="1" t="n">
        <v>46253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31604-2026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46224</v>
      </c>
      <c r="E454" s="1" t="n">
        <v>46253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41546-2023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45175</v>
      </c>
      <c r="E455" s="1" t="n">
        <v>46253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44791</v>
      </c>
      <c r="E456" s="1" t="n">
        <v>46253</v>
      </c>
      <c r="F456" t="inlineStr">
        <is>
          <t>UPPSALA LÄN</t>
        </is>
      </c>
      <c r="G456" t="inlineStr">
        <is>
          <t>HEBY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45181</v>
      </c>
      <c r="E457" s="1" t="n">
        <v>46253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46231</v>
      </c>
      <c r="E458" s="1" t="n">
        <v>46253</v>
      </c>
      <c r="F458" t="inlineStr">
        <is>
          <t>UPPSALA LÄN</t>
        </is>
      </c>
      <c r="G458" t="inlineStr">
        <is>
          <t>HEBY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25997-2022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44734</v>
      </c>
      <c r="E459" s="1" t="n">
        <v>46253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46231</v>
      </c>
      <c r="E460" s="1" t="n">
        <v>46253</v>
      </c>
      <c r="F460" t="inlineStr">
        <is>
          <t>UPPSALA LÄN</t>
        </is>
      </c>
      <c r="G460" t="inlineStr">
        <is>
          <t>HEBY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3368-2024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45317</v>
      </c>
      <c r="E461" s="1" t="n">
        <v>46253</v>
      </c>
      <c r="F461" t="inlineStr">
        <is>
          <t>UPPSALA LÄN</t>
        </is>
      </c>
      <c r="G461" t="inlineStr">
        <is>
          <t>HEBY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44734</v>
      </c>
      <c r="E462" s="1" t="n">
        <v>46253</v>
      </c>
      <c r="F462" t="inlineStr">
        <is>
          <t>UPPSALA LÄN</t>
        </is>
      </c>
      <c r="G462" t="inlineStr">
        <is>
          <t>HEBY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46253</v>
      </c>
      <c r="F463" t="inlineStr">
        <is>
          <t>UPPSALA LÄN</t>
        </is>
      </c>
      <c r="G463" t="inlineStr">
        <is>
          <t>HEBY</t>
        </is>
      </c>
      <c r="H463" t="inlineStr">
        <is>
          <t>Kyrkan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44753</v>
      </c>
      <c r="E464" s="1" t="n">
        <v>46253</v>
      </c>
      <c r="F464" t="inlineStr">
        <is>
          <t>UPPSALA LÄN</t>
        </is>
      </c>
      <c r="G464" t="inlineStr">
        <is>
          <t>HEBY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46237</v>
      </c>
      <c r="E465" s="1" t="n">
        <v>46253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32292-2026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46253</v>
      </c>
      <c r="F466" t="inlineStr">
        <is>
          <t>UPPSALA LÄN</t>
        </is>
      </c>
      <c r="G466" t="inlineStr">
        <is>
          <t>HEBY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46253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31903-2023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45118</v>
      </c>
      <c r="E468" s="1" t="n">
        <v>46253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46253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45293</v>
      </c>
      <c r="E470" s="1" t="n">
        <v>46253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45693</v>
      </c>
      <c r="E471" s="1" t="n">
        <v>46253</v>
      </c>
      <c r="F471" t="inlineStr">
        <is>
          <t>UPPSALA LÄN</t>
        </is>
      </c>
      <c r="G471" t="inlineStr">
        <is>
          <t>HEBY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44781</v>
      </c>
      <c r="E472" s="1" t="n">
        <v>46253</v>
      </c>
      <c r="F472" t="inlineStr">
        <is>
          <t>UPPSALA LÄN</t>
        </is>
      </c>
      <c r="G472" t="inlineStr">
        <is>
          <t>HEBY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46237</v>
      </c>
      <c r="E473" s="1" t="n">
        <v>46253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46253</v>
      </c>
      <c r="F474" t="inlineStr">
        <is>
          <t>UPPSALA LÄN</t>
        </is>
      </c>
      <c r="G474" t="inlineStr">
        <is>
          <t>HEBY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45128</v>
      </c>
      <c r="E475" s="1" t="n">
        <v>46253</v>
      </c>
      <c r="F475" t="inlineStr">
        <is>
          <t>UPPSALA LÄN</t>
        </is>
      </c>
      <c r="G475" t="inlineStr">
        <is>
          <t>HEBY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46253</v>
      </c>
      <c r="F476" t="inlineStr">
        <is>
          <t>UPPSALA LÄN</t>
        </is>
      </c>
      <c r="G476" t="inlineStr">
        <is>
          <t>HEBY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46253</v>
      </c>
      <c r="F477" t="inlineStr">
        <is>
          <t>UPPSALA LÄN</t>
        </is>
      </c>
      <c r="G477" t="inlineStr">
        <is>
          <t>HEBY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25419-2022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44732</v>
      </c>
      <c r="E478" s="1" t="n">
        <v>46253</v>
      </c>
      <c r="F478" t="inlineStr">
        <is>
          <t>UPPSALA LÄN</t>
        </is>
      </c>
      <c r="G478" t="inlineStr">
        <is>
          <t>HEBY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46220</v>
      </c>
      <c r="E479" s="1" t="n">
        <v>46253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55.9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46253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62132-2022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46253</v>
      </c>
      <c r="F481" t="inlineStr">
        <is>
          <t>UPPSALA LÄN</t>
        </is>
      </c>
      <c r="G481" t="inlineStr">
        <is>
          <t>HEBY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46238</v>
      </c>
      <c r="E482" s="1" t="n">
        <v>46253</v>
      </c>
      <c r="F482" t="inlineStr">
        <is>
          <t>UPPSALA LÄN</t>
        </is>
      </c>
      <c r="G482" t="inlineStr">
        <is>
          <t>HEBY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46253</v>
      </c>
      <c r="F483" t="inlineStr">
        <is>
          <t>UPPSALA LÄN</t>
        </is>
      </c>
      <c r="G483" t="inlineStr">
        <is>
          <t>HEBY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16167-2024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45406</v>
      </c>
      <c r="E484" s="1" t="n">
        <v>46253</v>
      </c>
      <c r="F484" t="inlineStr">
        <is>
          <t>UPPSALA LÄN</t>
        </is>
      </c>
      <c r="G484" t="inlineStr">
        <is>
          <t>HEBY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46253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46253</v>
      </c>
      <c r="F486" t="inlineStr">
        <is>
          <t>UPPSALA LÄN</t>
        </is>
      </c>
      <c r="G486" t="inlineStr">
        <is>
          <t>HEBY</t>
        </is>
      </c>
      <c r="H486" t="inlineStr">
        <is>
          <t>Kyrkan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44911</v>
      </c>
      <c r="E487" s="1" t="n">
        <v>46253</v>
      </c>
      <c r="F487" t="inlineStr">
        <is>
          <t>UPPSALA LÄN</t>
        </is>
      </c>
      <c r="G487" t="inlineStr">
        <is>
          <t>HEBY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46252</v>
      </c>
      <c r="E488" s="1" t="n">
        <v>46253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19721-2022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44694</v>
      </c>
      <c r="E489" s="1" t="n">
        <v>46253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44978</v>
      </c>
      <c r="E490" s="1" t="n">
        <v>46253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60295-2021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44495</v>
      </c>
      <c r="E491" s="1" t="n">
        <v>46253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44093-2024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46253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46253</v>
      </c>
      <c r="F493" t="inlineStr">
        <is>
          <t>UPPSALA LÄN</t>
        </is>
      </c>
      <c r="G493" t="inlineStr">
        <is>
          <t>HEBY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44614</v>
      </c>
      <c r="E494" s="1" t="n">
        <v>46253</v>
      </c>
      <c r="F494" t="inlineStr">
        <is>
          <t>UPPSALA LÄN</t>
        </is>
      </c>
      <c r="G494" t="inlineStr">
        <is>
          <t>HEBY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46253</v>
      </c>
      <c r="F495" t="inlineStr">
        <is>
          <t>UPPSALA LÄN</t>
        </is>
      </c>
      <c r="G495" t="inlineStr">
        <is>
          <t>HEBY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46253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44942</v>
      </c>
      <c r="E497" s="1" t="n">
        <v>46253</v>
      </c>
      <c r="F497" t="inlineStr">
        <is>
          <t>UPPSALA LÄN</t>
        </is>
      </c>
      <c r="G497" t="inlineStr">
        <is>
          <t>HEBY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45664</v>
      </c>
      <c r="E498" s="1" t="n">
        <v>46253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44602</v>
      </c>
      <c r="E499" s="1" t="n">
        <v>46253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46253</v>
      </c>
      <c r="F500" t="inlineStr">
        <is>
          <t>UPPSALA LÄN</t>
        </is>
      </c>
      <c r="G500" t="inlineStr">
        <is>
          <t>HEBY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18148-2022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44684</v>
      </c>
      <c r="E501" s="1" t="n">
        <v>46253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41.8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66873-2021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44522</v>
      </c>
      <c r="E502" s="1" t="n">
        <v>46253</v>
      </c>
      <c r="F502" t="inlineStr">
        <is>
          <t>UPPSALA LÄN</t>
        </is>
      </c>
      <c r="G502" t="inlineStr">
        <is>
          <t>HEBY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44753</v>
      </c>
      <c r="E503" s="1" t="n">
        <v>46253</v>
      </c>
      <c r="F503" t="inlineStr">
        <is>
          <t>UPPSALA LÄN</t>
        </is>
      </c>
      <c r="G503" t="inlineStr">
        <is>
          <t>HEBY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45006</v>
      </c>
      <c r="E504" s="1" t="n">
        <v>46253</v>
      </c>
      <c r="F504" t="inlineStr">
        <is>
          <t>UPPSALA LÄN</t>
        </is>
      </c>
      <c r="G504" t="inlineStr">
        <is>
          <t>HEBY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25995-2022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44734</v>
      </c>
      <c r="E505" s="1" t="n">
        <v>46253</v>
      </c>
      <c r="F505" t="inlineStr">
        <is>
          <t>UPPSALA LÄN</t>
        </is>
      </c>
      <c r="G505" t="inlineStr">
        <is>
          <t>HEBY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24558-2023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45083</v>
      </c>
      <c r="E506" s="1" t="n">
        <v>46253</v>
      </c>
      <c r="F506" t="inlineStr">
        <is>
          <t>UPPSALA LÄN</t>
        </is>
      </c>
      <c r="G506" t="inlineStr">
        <is>
          <t>HEBY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46253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20882-2022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44701</v>
      </c>
      <c r="E508" s="1" t="n">
        <v>46253</v>
      </c>
      <c r="F508" t="inlineStr">
        <is>
          <t>UPPSALA LÄN</t>
        </is>
      </c>
      <c r="G508" t="inlineStr">
        <is>
          <t>HEBY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46253</v>
      </c>
      <c r="F509" t="inlineStr">
        <is>
          <t>UPPSALA LÄN</t>
        </is>
      </c>
      <c r="G509" t="inlineStr">
        <is>
          <t>HEBY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56352-2021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44480</v>
      </c>
      <c r="E510" s="1" t="n">
        <v>46253</v>
      </c>
      <c r="F510" t="inlineStr">
        <is>
          <t>UPPSALA LÄN</t>
        </is>
      </c>
      <c r="G510" t="inlineStr">
        <is>
          <t>HEBY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9767-2023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44984</v>
      </c>
      <c r="E511" s="1" t="n">
        <v>46253</v>
      </c>
      <c r="F511" t="inlineStr">
        <is>
          <t>UPPSALA LÄN</t>
        </is>
      </c>
      <c r="G511" t="inlineStr">
        <is>
          <t>HEBY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51521-2023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45215</v>
      </c>
      <c r="E512" s="1" t="n">
        <v>46253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44984</v>
      </c>
      <c r="E513" s="1" t="n">
        <v>46253</v>
      </c>
      <c r="F513" t="inlineStr">
        <is>
          <t>UPPSALA LÄN</t>
        </is>
      </c>
      <c r="G513" t="inlineStr">
        <is>
          <t>HEBY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45964-2021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44441</v>
      </c>
      <c r="E514" s="1" t="n">
        <v>46253</v>
      </c>
      <c r="F514" t="inlineStr">
        <is>
          <t>UPPSALA LÄN</t>
        </is>
      </c>
      <c r="G514" t="inlineStr">
        <is>
          <t>HEBY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44644</v>
      </c>
      <c r="E515" s="1" t="n">
        <v>46253</v>
      </c>
      <c r="F515" t="inlineStr">
        <is>
          <t>UPPSALA LÄN</t>
        </is>
      </c>
      <c r="G515" t="inlineStr">
        <is>
          <t>HEBY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45035</v>
      </c>
      <c r="E516" s="1" t="n">
        <v>46253</v>
      </c>
      <c r="F516" t="inlineStr">
        <is>
          <t>UPPSALA LÄN</t>
        </is>
      </c>
      <c r="G516" t="inlineStr">
        <is>
          <t>HEBY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45639</v>
      </c>
      <c r="E517" s="1" t="n">
        <v>46253</v>
      </c>
      <c r="F517" t="inlineStr">
        <is>
          <t>UPPSALA LÄN</t>
        </is>
      </c>
      <c r="G517" t="inlineStr">
        <is>
          <t>HEBY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9497-2023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44981</v>
      </c>
      <c r="E518" s="1" t="n">
        <v>46253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60788-2022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46253</v>
      </c>
      <c r="F519" t="inlineStr">
        <is>
          <t>UPPSALA LÄN</t>
        </is>
      </c>
      <c r="G519" t="inlineStr">
        <is>
          <t>HEBY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11835-2024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45376</v>
      </c>
      <c r="E520" s="1" t="n">
        <v>46253</v>
      </c>
      <c r="F520" t="inlineStr">
        <is>
          <t>UPPSALA LÄN</t>
        </is>
      </c>
      <c r="G520" t="inlineStr">
        <is>
          <t>HEBY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46253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46253</v>
      </c>
      <c r="F522" t="inlineStr">
        <is>
          <t>UPPSALA LÄN</t>
        </is>
      </c>
      <c r="G522" t="inlineStr">
        <is>
          <t>HEBY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45135</v>
      </c>
      <c r="E523" s="1" t="n">
        <v>46253</v>
      </c>
      <c r="F523" t="inlineStr">
        <is>
          <t>UPPSALA LÄN</t>
        </is>
      </c>
      <c r="G523" t="inlineStr">
        <is>
          <t>HEBY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45132</v>
      </c>
      <c r="E524" s="1" t="n">
        <v>46253</v>
      </c>
      <c r="F524" t="inlineStr">
        <is>
          <t>UPPSALA LÄN</t>
        </is>
      </c>
      <c r="G524" t="inlineStr">
        <is>
          <t>HEBY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46253</v>
      </c>
      <c r="F525" t="inlineStr">
        <is>
          <t>UPPSALA LÄN</t>
        </is>
      </c>
      <c r="G525" t="inlineStr">
        <is>
          <t>HEBY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52252-2024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46253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45599</v>
      </c>
      <c r="E527" s="1" t="n">
        <v>46253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7173-2024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45344</v>
      </c>
      <c r="E528" s="1" t="n">
        <v>46253</v>
      </c>
      <c r="F528" t="inlineStr">
        <is>
          <t>UPPSALA LÄN</t>
        </is>
      </c>
      <c r="G528" t="inlineStr">
        <is>
          <t>HEBY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45686</v>
      </c>
      <c r="E529" s="1" t="n">
        <v>46253</v>
      </c>
      <c r="F529" t="inlineStr">
        <is>
          <t>UPPSALA LÄN</t>
        </is>
      </c>
      <c r="G529" t="inlineStr">
        <is>
          <t>HEBY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44911</v>
      </c>
      <c r="E530" s="1" t="n">
        <v>46253</v>
      </c>
      <c r="F530" t="inlineStr">
        <is>
          <t>UPPSALA LÄN</t>
        </is>
      </c>
      <c r="G530" t="inlineStr">
        <is>
          <t>HEBY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45551</v>
      </c>
      <c r="E531" s="1" t="n">
        <v>46253</v>
      </c>
      <c r="F531" t="inlineStr">
        <is>
          <t>UPPSALA LÄN</t>
        </is>
      </c>
      <c r="G531" t="inlineStr">
        <is>
          <t>HEBY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45519</v>
      </c>
      <c r="E532" s="1" t="n">
        <v>46253</v>
      </c>
      <c r="F532" t="inlineStr">
        <is>
          <t>UPPSALA LÄN</t>
        </is>
      </c>
      <c r="G532" t="inlineStr">
        <is>
          <t>HEBY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45519</v>
      </c>
      <c r="E533" s="1" t="n">
        <v>46253</v>
      </c>
      <c r="F533" t="inlineStr">
        <is>
          <t>UPPSALA LÄN</t>
        </is>
      </c>
      <c r="G533" t="inlineStr">
        <is>
          <t>HEBY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44900</v>
      </c>
      <c r="E534" s="1" t="n">
        <v>46253</v>
      </c>
      <c r="F534" t="inlineStr">
        <is>
          <t>UPPSALA LÄN</t>
        </is>
      </c>
      <c r="G534" t="inlineStr">
        <is>
          <t>HEBY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45058</v>
      </c>
      <c r="E535" s="1" t="n">
        <v>46253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48956-2023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46253</v>
      </c>
      <c r="F536" t="inlineStr">
        <is>
          <t>UPPSALA LÄN</t>
        </is>
      </c>
      <c r="G536" t="inlineStr">
        <is>
          <t>HEBY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44979</v>
      </c>
      <c r="E537" s="1" t="n">
        <v>46253</v>
      </c>
      <c r="F537" t="inlineStr">
        <is>
          <t>UPPSALA LÄN</t>
        </is>
      </c>
      <c r="G537" t="inlineStr">
        <is>
          <t>HEBY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45713</v>
      </c>
      <c r="E538" s="1" t="n">
        <v>46253</v>
      </c>
      <c r="F538" t="inlineStr">
        <is>
          <t>UPPSALA LÄN</t>
        </is>
      </c>
      <c r="G538" t="inlineStr">
        <is>
          <t>HEBY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45321</v>
      </c>
      <c r="E539" s="1" t="n">
        <v>46253</v>
      </c>
      <c r="F539" t="inlineStr">
        <is>
          <t>UPPSALA LÄN</t>
        </is>
      </c>
      <c r="G539" t="inlineStr">
        <is>
          <t>HEBY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52955-2022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44875</v>
      </c>
      <c r="E540" s="1" t="n">
        <v>46253</v>
      </c>
      <c r="F540" t="inlineStr">
        <is>
          <t>UPPSALA LÄN</t>
        </is>
      </c>
      <c r="G540" t="inlineStr">
        <is>
          <t>HEBY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45117</v>
      </c>
      <c r="E541" s="1" t="n">
        <v>46253</v>
      </c>
      <c r="F541" t="inlineStr">
        <is>
          <t>UPPSALA LÄN</t>
        </is>
      </c>
      <c r="G541" t="inlineStr">
        <is>
          <t>HEBY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45740</v>
      </c>
      <c r="E542" s="1" t="n">
        <v>46253</v>
      </c>
      <c r="F542" t="inlineStr">
        <is>
          <t>UPPSALA LÄN</t>
        </is>
      </c>
      <c r="G542" t="inlineStr">
        <is>
          <t>HEBY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46253</v>
      </c>
      <c r="F543" t="inlineStr">
        <is>
          <t>UPPSALA LÄN</t>
        </is>
      </c>
      <c r="G543" t="inlineStr">
        <is>
          <t>HEBY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54594-2024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45617</v>
      </c>
      <c r="E544" s="1" t="n">
        <v>46253</v>
      </c>
      <c r="F544" t="inlineStr">
        <is>
          <t>UPPSALA LÄN</t>
        </is>
      </c>
      <c r="G544" t="inlineStr">
        <is>
          <t>HEBY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45747</v>
      </c>
      <c r="E545" s="1" t="n">
        <v>46253</v>
      </c>
      <c r="F545" t="inlineStr">
        <is>
          <t>UPPSALA LÄN</t>
        </is>
      </c>
      <c r="G545" t="inlineStr">
        <is>
          <t>HEBY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45786</v>
      </c>
      <c r="E546" s="1" t="n">
        <v>46253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45394</v>
      </c>
      <c r="E547" s="1" t="n">
        <v>46253</v>
      </c>
      <c r="F547" t="inlineStr">
        <is>
          <t>UPPSALA LÄN</t>
        </is>
      </c>
      <c r="G547" t="inlineStr">
        <is>
          <t>HEBY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22455-2025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46253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45355</v>
      </c>
      <c r="E549" s="1" t="n">
        <v>46253</v>
      </c>
      <c r="F549" t="inlineStr">
        <is>
          <t>UPPSALA LÄN</t>
        </is>
      </c>
      <c r="G549" t="inlineStr">
        <is>
          <t>HEBY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45390</v>
      </c>
      <c r="E550" s="1" t="n">
        <v>46253</v>
      </c>
      <c r="F550" t="inlineStr">
        <is>
          <t>UPPSALA LÄN</t>
        </is>
      </c>
      <c r="G550" t="inlineStr">
        <is>
          <t>HEBY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46253</v>
      </c>
      <c r="F551" t="inlineStr">
        <is>
          <t>UPPSALA LÄN</t>
        </is>
      </c>
      <c r="G551" t="inlineStr">
        <is>
          <t>HEBY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22460-2025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46253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45786</v>
      </c>
      <c r="E553" s="1" t="n">
        <v>46253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45175</v>
      </c>
      <c r="E554" s="1" t="n">
        <v>46253</v>
      </c>
      <c r="F554" t="inlineStr">
        <is>
          <t>UPPSALA LÄN</t>
        </is>
      </c>
      <c r="G554" t="inlineStr">
        <is>
          <t>HEBY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44946</v>
      </c>
      <c r="E555" s="1" t="n">
        <v>46253</v>
      </c>
      <c r="F555" t="inlineStr">
        <is>
          <t>UPPSALA LÄN</t>
        </is>
      </c>
      <c r="G555" t="inlineStr">
        <is>
          <t>HEBY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45328</v>
      </c>
      <c r="E556" s="1" t="n">
        <v>46253</v>
      </c>
      <c r="F556" t="inlineStr">
        <is>
          <t>UPPSALA LÄN</t>
        </is>
      </c>
      <c r="G556" t="inlineStr">
        <is>
          <t>HEBY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45133</v>
      </c>
      <c r="E557" s="1" t="n">
        <v>46253</v>
      </c>
      <c r="F557" t="inlineStr">
        <is>
          <t>UPPSALA LÄN</t>
        </is>
      </c>
      <c r="G557" t="inlineStr">
        <is>
          <t>HEBY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46253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12.3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46253</v>
      </c>
      <c r="F559" t="inlineStr">
        <is>
          <t>UPPSALA LÄN</t>
        </is>
      </c>
      <c r="G559" t="inlineStr">
        <is>
          <t>HEBY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52796-2024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45610</v>
      </c>
      <c r="E560" s="1" t="n">
        <v>46253</v>
      </c>
      <c r="F560" t="inlineStr">
        <is>
          <t>UPPSALA LÄN</t>
        </is>
      </c>
      <c r="G560" t="inlineStr">
        <is>
          <t>HEBY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45797</v>
      </c>
      <c r="E561" s="1" t="n">
        <v>46253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10.6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45547</v>
      </c>
      <c r="E562" s="1" t="n">
        <v>46253</v>
      </c>
      <c r="F562" t="inlineStr">
        <is>
          <t>UPPSALA LÄN</t>
        </is>
      </c>
      <c r="G562" t="inlineStr">
        <is>
          <t>HEBY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45804</v>
      </c>
      <c r="E563" s="1" t="n">
        <v>46253</v>
      </c>
      <c r="F563" t="inlineStr">
        <is>
          <t>UPPSALA LÄN</t>
        </is>
      </c>
      <c r="G563" t="inlineStr">
        <is>
          <t>HEBY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25969-2025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45804</v>
      </c>
      <c r="E564" s="1" t="n">
        <v>46253</v>
      </c>
      <c r="F564" t="inlineStr">
        <is>
          <t>UPPSALA LÄN</t>
        </is>
      </c>
      <c r="G564" t="inlineStr">
        <is>
          <t>HEBY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25677-2025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45803</v>
      </c>
      <c r="E565" s="1" t="n">
        <v>46253</v>
      </c>
      <c r="F565" t="inlineStr">
        <is>
          <t>UPPSALA LÄN</t>
        </is>
      </c>
      <c r="G565" t="inlineStr">
        <is>
          <t>HEBY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46253</v>
      </c>
      <c r="F566" t="inlineStr">
        <is>
          <t>UPPSALA LÄN</t>
        </is>
      </c>
      <c r="G566" t="inlineStr">
        <is>
          <t>HEBY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1334-2022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44629</v>
      </c>
      <c r="E567" s="1" t="n">
        <v>46253</v>
      </c>
      <c r="F567" t="inlineStr">
        <is>
          <t>UPPSALA LÄN</t>
        </is>
      </c>
      <c r="G567" t="inlineStr">
        <is>
          <t>HEBY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10324-2021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44546</v>
      </c>
      <c r="E568" s="1" t="n">
        <v>46253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46253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2310-2022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44684</v>
      </c>
      <c r="E570" s="1" t="n">
        <v>46253</v>
      </c>
      <c r="F570" t="inlineStr">
        <is>
          <t>UPPSALA LÄN</t>
        </is>
      </c>
      <c r="G570" t="inlineStr">
        <is>
          <t>HEBY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1330-2022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44629</v>
      </c>
      <c r="E571" s="1" t="n">
        <v>46253</v>
      </c>
      <c r="F571" t="inlineStr">
        <is>
          <t>UPPSALA LÄN</t>
        </is>
      </c>
      <c r="G571" t="inlineStr">
        <is>
          <t>HEBY</t>
        </is>
      </c>
      <c r="I571" t="n">
        <v>25.1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  <c r="Z571">
        <f>HYPERLINK("https://klasma.github.io/Logging_0331/knärot/S 1330-2022 karta knärot.png", "S 1330-2022")</f>
        <v/>
      </c>
      <c r="AA571">
        <f>HYPERLINK("https://klasma.github.io/Logging_0331/klagomål/S 1330-2022 FSC-klagomål.docx", "S 1330-2022")</f>
        <v/>
      </c>
      <c r="AB571">
        <f>HYPERLINK("https://klasma.github.io/Logging_0331/klagomålsmail/S 1330-2022 FSC-klagomål mail.docx", "S 1330-2022")</f>
        <v/>
      </c>
      <c r="AC571">
        <f>HYPERLINK("https://klasma.github.io/Logging_0331/tillsyn/S 1330-2022 tillsynsbegäran.docx", "S 1330-2022")</f>
        <v/>
      </c>
      <c r="AD571">
        <f>HYPERLINK("https://klasma.github.io/Logging_0331/tillsynsmail/S 1330-2022 tillsynsbegäran mail.docx", "S 1330-2022")</f>
        <v/>
      </c>
    </row>
    <row r="572" ht="15" customHeight="1">
      <c r="A572" t="inlineStr">
        <is>
          <t>S 3256-2023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45191</v>
      </c>
      <c r="E572" s="1" t="n">
        <v>46253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5859-2021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44438</v>
      </c>
      <c r="E573" s="1" t="n">
        <v>46253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öst AB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4466-2022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44788</v>
      </c>
      <c r="E574" s="1" t="n">
        <v>46253</v>
      </c>
      <c r="F574" t="inlineStr">
        <is>
          <t>UPPSALA LÄN</t>
        </is>
      </c>
      <c r="G574" t="inlineStr">
        <is>
          <t>HEBY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46253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46253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46253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46253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46253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46253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3301-2025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45987</v>
      </c>
      <c r="E581" s="1" t="n">
        <v>46253</v>
      </c>
      <c r="F581" t="inlineStr">
        <is>
          <t>UPPSALA LÄN</t>
        </is>
      </c>
      <c r="G581" t="inlineStr">
        <is>
          <t>HEBY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3478-2025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46000</v>
      </c>
      <c r="E582" s="1" t="n">
        <v>46253</v>
      </c>
      <c r="F582" t="inlineStr">
        <is>
          <t>UPPSALA LÄN</t>
        </is>
      </c>
      <c r="G582" t="inlineStr">
        <is>
          <t>HEBY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598-2026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46085</v>
      </c>
      <c r="E583" s="1" t="n">
        <v>46253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43.4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1818-2026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46190</v>
      </c>
      <c r="E584" s="1" t="n">
        <v>46253</v>
      </c>
      <c r="F584" t="inlineStr">
        <is>
          <t>UPPSALA LÄN</t>
        </is>
      </c>
      <c r="G584" t="inlineStr">
        <is>
          <t>HEBY</t>
        </is>
      </c>
      <c r="H584" t="inlineStr">
        <is>
          <t>Kommuner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2026-08-19T01:48:08Z</dcterms:created>
  <dcterms:modified xmlns:dcterms="http://purl.org/dc/terms/" xmlns:xsi="http://www.w3.org/2001/XMLSchema-instance" xsi:type="dcterms:W3CDTF">2026-08-19T01:48:08Z</dcterms:modified>
</cp:coreProperties>
</file>
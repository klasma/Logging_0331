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45692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45692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45692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45692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45692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45692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45692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45692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45692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45692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45692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45692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45692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45692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45692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61139-2022</t>
        </is>
      </c>
      <c r="B17" s="1" t="n">
        <v>44915</v>
      </c>
      <c r="C17" s="1" t="n">
        <v>45692</v>
      </c>
      <c r="D17" t="inlineStr">
        <is>
          <t>UPPSALA LÄN</t>
        </is>
      </c>
      <c r="E17" t="inlineStr">
        <is>
          <t>HEBY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Grönhjon
Björksplintborre
Jättesvampmal
Noshornsoxe
Blåsippa</t>
        </is>
      </c>
      <c r="S17">
        <f>HYPERLINK("https://klasma.github.io/Logging_0331/artfynd/A 61139-2022 artfynd.xlsx", "A 61139-2022")</f>
        <v/>
      </c>
      <c r="T17">
        <f>HYPERLINK("https://klasma.github.io/Logging_0331/kartor/A 61139-2022 karta.png", "A 61139-2022")</f>
        <v/>
      </c>
      <c r="V17">
        <f>HYPERLINK("https://klasma.github.io/Logging_0331/klagomål/A 61139-2022 FSC-klagomål.docx", "A 61139-2022")</f>
        <v/>
      </c>
      <c r="W17">
        <f>HYPERLINK("https://klasma.github.io/Logging_0331/klagomålsmail/A 61139-2022 FSC-klagomål mail.docx", "A 61139-2022")</f>
        <v/>
      </c>
      <c r="X17">
        <f>HYPERLINK("https://klasma.github.io/Logging_0331/tillsyn/A 61139-2022 tillsynsbegäran.docx", "A 61139-2022")</f>
        <v/>
      </c>
      <c r="Y17">
        <f>HYPERLINK("https://klasma.github.io/Logging_0331/tillsynsmail/A 61139-2022 tillsynsbegäran mail.docx", "A 61139-2022")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45692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56075-2023</t>
        </is>
      </c>
      <c r="B19" s="1" t="n">
        <v>45240</v>
      </c>
      <c r="C19" s="1" t="n">
        <v>45692</v>
      </c>
      <c r="D19" t="inlineStr">
        <is>
          <t>UPPSALA LÄN</t>
        </is>
      </c>
      <c r="E19" t="inlineStr">
        <is>
          <t>HEBY</t>
        </is>
      </c>
      <c r="G19" t="n">
        <v>3.8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Ullticka
Vedtrappmossa
Jättesvampmal
Rostfläck
Blåsippa</t>
        </is>
      </c>
      <c r="S19">
        <f>HYPERLINK("https://klasma.github.io/Logging_0331/artfynd/A 56075-2023 artfynd.xlsx", "A 56075-2023")</f>
        <v/>
      </c>
      <c r="T19">
        <f>HYPERLINK("https://klasma.github.io/Logging_0331/kartor/A 56075-2023 karta.png", "A 56075-2023")</f>
        <v/>
      </c>
      <c r="V19">
        <f>HYPERLINK("https://klasma.github.io/Logging_0331/klagomål/A 56075-2023 FSC-klagomål.docx", "A 56075-2023")</f>
        <v/>
      </c>
      <c r="W19">
        <f>HYPERLINK("https://klasma.github.io/Logging_0331/klagomålsmail/A 56075-2023 FSC-klagomål mail.docx", "A 56075-2023")</f>
        <v/>
      </c>
      <c r="X19">
        <f>HYPERLINK("https://klasma.github.io/Logging_0331/tillsyn/A 56075-2023 tillsynsbegäran.docx", "A 56075-2023")</f>
        <v/>
      </c>
      <c r="Y19">
        <f>HYPERLINK("https://klasma.github.io/Logging_0331/tillsynsmail/A 56075-2023 tillsynsbegäran mail.docx", "A 56075-2023")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45692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45692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45692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45692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45692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45692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45692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45692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45692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45692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45692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45692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45692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45692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45692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45692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45692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45692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45692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45692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45692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45692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45692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45692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45692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45692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45692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45692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45692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45692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45692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45692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45692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45692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45692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45692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45692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45692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45692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45692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45692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45692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45692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45692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45692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45692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45692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45692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45692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45692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45692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45692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45692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45692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45692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45692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45692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45692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45692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45692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45692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45692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45692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45692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45692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45692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45692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45692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45692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45692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45692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45692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45692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45692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45692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45692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45692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45692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45692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45692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45692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45692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45692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45692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45692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45692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45692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45692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45692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45692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45692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45692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45692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45692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45692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45692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45692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45692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45692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45692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45692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45692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45692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45692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45692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45692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45692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45692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45692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45692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45692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45692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45692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45692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45692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45692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45692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45692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45692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45692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45692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45692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45692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45692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45692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45692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45692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45692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45692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45692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45692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45692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45692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45692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45692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45692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45692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45692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45692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45692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45692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45692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45692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45692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45692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45692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45692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45692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45692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45692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45692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45692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45692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45692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45692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45692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45692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45692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45692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45692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45692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45692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45692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45692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45692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45692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45692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45692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45692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45692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45692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45692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45692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45692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45692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45692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45692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45692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45692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45692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45692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45692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45692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45692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45692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45692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45692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45692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45692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45692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45692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45692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45692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45692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45692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45692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45692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45692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45692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45692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45692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45692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45692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45692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45692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45692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45692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45692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45692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45692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45692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45692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45692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45692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45692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45692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45692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45692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45692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45692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45692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45692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45692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45692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45692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45692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45692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45692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45692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45692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45692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45692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45692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45692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45692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45692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45692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45692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45692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45692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45692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45692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45692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45692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45692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45692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45692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45692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45692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45692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45692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45692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45692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45692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45692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45692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45692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45692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45692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45692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45692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45692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45692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45692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45692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45692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45692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45692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45692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45692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45692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45692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45692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45692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45692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45692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45692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45692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45692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45692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45692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45692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45692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45692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45692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45692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45692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45692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45692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45692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45692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45692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45692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45692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45692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45692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45692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45692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45692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45692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45692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45692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45692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45692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45692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45692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45692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45692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45692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45692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45692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45692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45692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45692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45692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45692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45692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45692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45692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45692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45692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45692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45692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45692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45692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45692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45692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45692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45692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45692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45692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45692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45692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45692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45692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45692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45692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45692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45692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45692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45692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45692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45692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45692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45692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45692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45692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45692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45692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45692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45692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45692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45692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45692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45692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45692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45692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45692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45692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45692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45692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45692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45692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45692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45692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45692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45692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45692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45692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45692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45692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45692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45692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45692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45692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45692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45692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45692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45692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45692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45692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45692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45692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45692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45692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45692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45692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45692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45692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45692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45692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45692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45692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45692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45692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45692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45692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45692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45692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45692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45692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45692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45692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45692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45692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45692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45692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45692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45692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45692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45692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45692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45692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45692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45692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45692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45692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45692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45692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45692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45692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45692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45692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45692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45692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45692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45692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45692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45692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45692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45692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45692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45692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45692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45692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45692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45692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45692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45692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45692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45692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45692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45692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45692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45692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45692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45692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45692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45692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45692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45692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45692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45692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45692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45692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45692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45692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45692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45692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45692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45692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45692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45692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45692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45692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45692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45692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45692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45692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45692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45692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45692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45692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45692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45692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45692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45692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45692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45692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45692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45692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45692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45692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45692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45692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45692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45692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45692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45692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45692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45692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45692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45692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45692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45692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45692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45692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45692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45692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45692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45692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45692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45692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45692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45692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45692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45692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45692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45692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45692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45692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45692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45692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45692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45692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45692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45692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45692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45692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45692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45692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45692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45692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45692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45692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45692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45692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45692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45692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45692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45692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45692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45692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45692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45692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45692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45692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45692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45692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45692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45692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45692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45692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45692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45692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45692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45692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45692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45692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45692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45692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45692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45692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45692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45692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45692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45692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45692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45692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45692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45692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45692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45692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45692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45692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45692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45692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45692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45692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45692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45692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45692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45692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45692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45692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45692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45692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45692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45692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45692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45692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45692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45692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45692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45692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45692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45692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45692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45692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45692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45692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45692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45692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45692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45692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45692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45692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45692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45692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45692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45692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45692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45692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45692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45692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45692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45692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45692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45692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45692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45692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45692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45692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45692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45692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45692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45692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45692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45692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45692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45692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45692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45692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45692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45692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45692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45692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45692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45692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45692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45692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45692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45692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45692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45692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45692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45692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45692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45692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45692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45692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45692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45692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45692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45692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45692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45692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45692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45692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45692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45692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45692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45692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45692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45692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45692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45692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45692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45692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45692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45692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45692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45692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45692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45692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45692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45692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45692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45692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45692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45692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45692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45692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45692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45692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45692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45692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45692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45692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45692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45692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45692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45692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45692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45692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45692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45692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45692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45692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45692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45692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45692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45692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45692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45692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45692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45692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45692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45692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45692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45692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45692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45692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45692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45692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45692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45692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45692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45692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45692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45692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45692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45692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45692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45692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45692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45692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45692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45692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45692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45692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45692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45692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45692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45692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45692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45692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45692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45692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45692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45692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45692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45692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45692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45692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45692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45692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45692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45692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45692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45692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45692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45692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45692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45692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45692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45692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45692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45692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45692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45692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45692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45692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45692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45692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45692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45692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45692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45692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45692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45692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45692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45692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45692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45692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45692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45692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45692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45692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45692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45692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45692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45692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45692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45692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45692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45692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45692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45692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45692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45692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45692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45692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45692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45692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45692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45692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45692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45692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45692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45692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45692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45692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45692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45692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45692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45692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45692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45692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45692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45692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45692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45692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45692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45692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45692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45692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45692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45692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45692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45692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45692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45692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45692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45692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45692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45692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45692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45692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45692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45692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45692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45692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45692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45692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45692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45692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45692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45692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45692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45692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45692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45692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45692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45692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45692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45692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45692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45692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45692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45692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45692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45692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45692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45692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45692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45692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45692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45692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45692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45692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45692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45692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45692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45692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45692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45692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45692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45692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45692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45692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45692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45692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45692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45692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45692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45692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45692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45692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45692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45692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45692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45692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45692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45692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45692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45692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45692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45692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45692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45692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45692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45692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45692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45692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45692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45692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45692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45692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45692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45692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45692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45692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45692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45692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45692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45692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45692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45692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45692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45692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45692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45692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45692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45692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45692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45692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45692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45692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45692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45692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45692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45692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45692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45692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45692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45692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45692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45692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45692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45692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45692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45692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45692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45692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45692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45692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45692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45692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45692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45692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45692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45692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45692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45692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45692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45692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45692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45692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45692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45692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45692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45692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45692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45692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45692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45692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45692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45692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45692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45692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45692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45692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45692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45692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45692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45692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45692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45692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45692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45692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45692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45692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45692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45692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45692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45692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45692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45692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45692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45692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45692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45692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45692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45692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45692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45692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45692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45692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45692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45692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45692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45692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45692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45692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45692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45692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45692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45692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45692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45692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45692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45692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45692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45692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45692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45692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45692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45692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45692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45692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45692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45692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45692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45692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45692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45692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45692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45692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45692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45692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45692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45692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45692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45692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45692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45692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45692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45692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45692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45692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45692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45692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45692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45692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45692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45692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45692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45692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45692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45692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45692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45692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45692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45692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45692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45692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45692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45692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45692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45692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45692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45692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45692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45692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45692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45692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45692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45692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45692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45692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45692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45692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45692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45692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45692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45692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45692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724-2025</t>
        </is>
      </c>
      <c r="B1078" s="1" t="n">
        <v>45665</v>
      </c>
      <c r="C1078" s="1" t="n">
        <v>45692</v>
      </c>
      <c r="D1078" t="inlineStr">
        <is>
          <t>UPPSALA LÄN</t>
        </is>
      </c>
      <c r="E1078" t="inlineStr">
        <is>
          <t>HEBY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45692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45692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45692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45692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45692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45692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45692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45692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45692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2487-2025</t>
        </is>
      </c>
      <c r="B1088" s="1" t="n">
        <v>45674</v>
      </c>
      <c r="C1088" s="1" t="n">
        <v>45692</v>
      </c>
      <c r="D1088" t="inlineStr">
        <is>
          <t>UPPSALA LÄN</t>
        </is>
      </c>
      <c r="E1088" t="inlineStr">
        <is>
          <t>HEBY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45692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3466-2025</t>
        </is>
      </c>
      <c r="B1090" s="1" t="n">
        <v>45680</v>
      </c>
      <c r="C1090" s="1" t="n">
        <v>45692</v>
      </c>
      <c r="D1090" t="inlineStr">
        <is>
          <t>UPPSALA LÄN</t>
        </is>
      </c>
      <c r="E1090" t="inlineStr">
        <is>
          <t>HEBY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45692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45692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45692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4735-2025</t>
        </is>
      </c>
      <c r="B1094" s="1" t="n">
        <v>45688</v>
      </c>
      <c r="C1094" s="1" t="n">
        <v>45692</v>
      </c>
      <c r="D1094" t="inlineStr">
        <is>
          <t>UPPSALA LÄN</t>
        </is>
      </c>
      <c r="E1094" t="inlineStr">
        <is>
          <t>HEBY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4737-2025</t>
        </is>
      </c>
      <c r="B1095" s="1" t="n">
        <v>45688</v>
      </c>
      <c r="C1095" s="1" t="n">
        <v>45692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2025-02-04T15:58:08Z</dcterms:created>
  <dcterms:modified xmlns:dcterms="http://purl.org/dc/terms/" xmlns:xsi="http://www.w3.org/2001/XMLSchema-instance" xsi:type="dcterms:W3CDTF">2025-02-04T15:58:09Z</dcterms:modified>
</cp:coreProperties>
</file>
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46292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46292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46292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46292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46292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46292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46292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46292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46292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46292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46292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46292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46292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46292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46292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46292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46292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46292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46292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46292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46292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46292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46292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46292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46292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46292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46292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46292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46292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38448-2026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46292</v>
      </c>
      <c r="F36" t="inlineStr">
        <is>
          <t>UPPSALA LÄN</t>
        </is>
      </c>
      <c r="G36" t="inlineStr">
        <is>
          <t>HEBY</t>
        </is>
      </c>
      <c r="H36" t="inlineStr">
        <is>
          <t>Sveaskog</t>
        </is>
      </c>
      <c r="I36" t="n">
        <v>10.1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Ullticka
Grönpyrola
Vedticka</t>
        </is>
      </c>
      <c r="W36">
        <f>HYPERLINK("https://klasma.github.io/Logging_0331/artfynd/A 38448-2026 artfynd.xlsx", "A 38448-2026")</f>
        <v/>
      </c>
      <c r="X36">
        <f>HYPERLINK("https://klasma.github.io/Logging_0331/kartor/A 38448-2026 karta.png", "A 38448-2026")</f>
        <v/>
      </c>
      <c r="Y36">
        <f>HYPERLINK("https://klasma.github.io/Logging_0331/kartor_geotiff/A 38448-2026 georefererad karta.tif", "A 38448-2026")</f>
        <v/>
      </c>
      <c r="AA36">
        <f>HYPERLINK("https://klasma.github.io/Logging_0331/klagomål/A 38448-2026 FSC-klagomål.docx", "A 38448-2026")</f>
        <v/>
      </c>
      <c r="AB36">
        <f>HYPERLINK("https://klasma.github.io/Logging_0331/klagomålsmail/A 38448-2026 FSC-klagomål mail.docx", "A 38448-2026")</f>
        <v/>
      </c>
      <c r="AC36">
        <f>HYPERLINK("https://klasma.github.io/Logging_0331/tillsyn/A 38448-2026 tillsynsbegäran.docx", "A 38448-2026")</f>
        <v/>
      </c>
      <c r="AD36">
        <f>HYPERLINK("https://klasma.github.io/Logging_0331/tillsynsmail/A 38448-2026 tillsynsbegäran mail.docx", "A 38448-2026")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46292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46292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46292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46292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46292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46292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46292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46292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46292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46292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46292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46292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46292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46292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46292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46292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46292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46292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46292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9358-2026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46292</v>
      </c>
      <c r="F57" t="inlineStr">
        <is>
          <t>UPPSALA LÄN</t>
        </is>
      </c>
      <c r="G57" t="inlineStr">
        <is>
          <t>HEBY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Mindre vattensalamander</t>
        </is>
      </c>
      <c r="W57">
        <f>HYPERLINK("https://klasma.github.io/Logging_0331/artfynd/A 9358-2026 artfynd.xlsx", "A 9358-2026")</f>
        <v/>
      </c>
      <c r="X57">
        <f>HYPERLINK("https://klasma.github.io/Logging_0331/kartor/A 9358-2026 karta.png", "A 9358-2026")</f>
        <v/>
      </c>
      <c r="Y57">
        <f>HYPERLINK("https://klasma.github.io/Logging_0331/kartor_geotiff/A 9358-2026 georefererad karta.tif", "A 9358-2026")</f>
        <v/>
      </c>
      <c r="AA57">
        <f>HYPERLINK("https://klasma.github.io/Logging_0331/klagomål/A 9358-2026 FSC-klagomål.docx", "A 9358-2026")</f>
        <v/>
      </c>
      <c r="AB57">
        <f>HYPERLINK("https://klasma.github.io/Logging_0331/klagomålsmail/A 9358-2026 FSC-klagomål mail.docx", "A 9358-2026")</f>
        <v/>
      </c>
      <c r="AC57">
        <f>HYPERLINK("https://klasma.github.io/Logging_0331/tillsyn/A 9358-2026 tillsynsbegäran.docx", "A 9358-2026")</f>
        <v/>
      </c>
      <c r="AD57">
        <f>HYPERLINK("https://klasma.github.io/Logging_0331/tillsynsmail/A 9358-2026 tillsynsbegäran mail.docx", "A 9358-2026")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46292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46292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46292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46292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46292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46292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46292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46292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8624-2024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46292</v>
      </c>
      <c r="F66" t="inlineStr">
        <is>
          <t>UPPSALA LÄN</t>
        </is>
      </c>
      <c r="G66" t="inlineStr">
        <is>
          <t>HEBY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11</v>
      </c>
      <c r="U66" t="n">
        <v>0</v>
      </c>
      <c r="V66" s="2" t="inlineStr">
        <is>
          <t>Motaggsvamp</t>
        </is>
      </c>
      <c r="W66">
        <f>HYPERLINK("https://klasma.github.io/Logging_0331/artfynd/A 8624-2024 artfynd.xlsx", "A 8624-2024")</f>
        <v/>
      </c>
      <c r="X66">
        <f>HYPERLINK("https://klasma.github.io/Logging_0331/kartor/A 8624-2024 karta.png", "A 8624-2024")</f>
        <v/>
      </c>
      <c r="Y66">
        <f>HYPERLINK("https://klasma.github.io/Logging_0331/kartor_geotiff/A 8624-2024 georefererad karta.tif", "A 8624-2024")</f>
        <v/>
      </c>
      <c r="AA66">
        <f>HYPERLINK("https://klasma.github.io/Logging_0331/klagomål/A 8624-2024 FSC-klagomål.docx", "A 8624-2024")</f>
        <v/>
      </c>
      <c r="AB66">
        <f>HYPERLINK("https://klasma.github.io/Logging_0331/klagomålsmail/A 8624-2024 FSC-klagomål mail.docx", "A 8624-2024")</f>
        <v/>
      </c>
      <c r="AC66">
        <f>HYPERLINK("https://klasma.github.io/Logging_0331/tillsyn/A 8624-2024 tillsynsbegäran.docx", "A 8624-2024")</f>
        <v/>
      </c>
      <c r="AD66">
        <f>HYPERLINK("https://klasma.github.io/Logging_0331/tillsynsmail/A 8624-2024 tillsynsbegäran mail.docx", "A 8624-2024")</f>
        <v/>
      </c>
    </row>
    <row r="67" ht="15" customHeight="1">
      <c r="A67" t="inlineStr">
        <is>
          <t>A 31569-2023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46292</v>
      </c>
      <c r="F67" t="inlineStr">
        <is>
          <t>UPPSALA LÄN</t>
        </is>
      </c>
      <c r="G67" t="inlineStr">
        <is>
          <t>HEBY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2</v>
      </c>
      <c r="V67" s="2" t="inlineStr">
        <is>
          <t>Knärot</t>
        </is>
      </c>
      <c r="W67">
        <f>HYPERLINK("https://klasma.github.io/Logging_0331/artfynd/A 31569-2023 artfynd.xlsx", "A 31569-2023")</f>
        <v/>
      </c>
      <c r="X67">
        <f>HYPERLINK("https://klasma.github.io/Logging_0331/kartor/A 31569-2023 karta.png", "A 31569-2023")</f>
        <v/>
      </c>
      <c r="Y67">
        <f>HYPERLINK("https://klasma.github.io/Logging_0331/kartor_geotiff/A 31569-2023 georefererad karta.tif", "A 31569-2023")</f>
        <v/>
      </c>
      <c r="Z67">
        <f>HYPERLINK("https://klasma.github.io/Logging_0331/knärot/A 31569-2023 karta knärot.png", "A 31569-2023")</f>
        <v/>
      </c>
      <c r="AA67">
        <f>HYPERLINK("https://klasma.github.io/Logging_0331/klagomål/A 31569-2023 FSC-klagomål.docx", "A 31569-2023")</f>
        <v/>
      </c>
      <c r="AB67">
        <f>HYPERLINK("https://klasma.github.io/Logging_0331/klagomålsmail/A 31569-2023 FSC-klagomål mail.docx", "A 31569-2023")</f>
        <v/>
      </c>
      <c r="AC67">
        <f>HYPERLINK("https://klasma.github.io/Logging_0331/tillsyn/A 31569-2023 tillsynsbegäran.docx", "A 31569-2023")</f>
        <v/>
      </c>
      <c r="AD67">
        <f>HYPERLINK("https://klasma.github.io/Logging_0331/tillsynsmail/A 31569-2023 tillsynsbegäran mail.docx", "A 31569-2023")</f>
        <v/>
      </c>
    </row>
    <row r="68" ht="15" customHeight="1">
      <c r="A68" t="inlineStr">
        <is>
          <t>A 55763-2025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45972</v>
      </c>
      <c r="E68" s="1" t="n">
        <v>46292</v>
      </c>
      <c r="F68" t="inlineStr">
        <is>
          <t>UPPSALA LÄN</t>
        </is>
      </c>
      <c r="G68" t="inlineStr">
        <is>
          <t>HEBY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Kandelabersvamp</t>
        </is>
      </c>
      <c r="W68">
        <f>HYPERLINK("https://klasma.github.io/Logging_0331/artfynd/A 55763-2025 artfynd.xlsx", "A 55763-2025")</f>
        <v/>
      </c>
      <c r="X68">
        <f>HYPERLINK("https://klasma.github.io/Logging_0331/kartor/A 55763-2025 karta.png", "A 55763-2025")</f>
        <v/>
      </c>
      <c r="Y68">
        <f>HYPERLINK("https://klasma.github.io/Logging_0331/kartor_geotiff/A 55763-2025 georefererad karta.tif", "A 55763-2025")</f>
        <v/>
      </c>
      <c r="AA68">
        <f>HYPERLINK("https://klasma.github.io/Logging_0331/klagomål/A 55763-2025 FSC-klagomål.docx", "A 55763-2025")</f>
        <v/>
      </c>
      <c r="AB68">
        <f>HYPERLINK("https://klasma.github.io/Logging_0331/klagomålsmail/A 55763-2025 FSC-klagomål mail.docx", "A 55763-2025")</f>
        <v/>
      </c>
      <c r="AC68">
        <f>HYPERLINK("https://klasma.github.io/Logging_0331/tillsyn/A 55763-2025 tillsynsbegäran.docx", "A 55763-2025")</f>
        <v/>
      </c>
      <c r="AD68">
        <f>HYPERLINK("https://klasma.github.io/Logging_0331/tillsynsmail/A 55763-2025 tillsynsbegäran mail.docx", "A 55763-2025")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46292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HYPERLINK("https://klasma.github.io/Logging_0331/artfynd/A 9618-2026 artfynd.xlsx", "A 9618-2026")</f>
        <v/>
      </c>
      <c r="X69">
        <f>HYPERLINK("https://klasma.github.io/Logging_0331/kartor/A 9618-2026 karta.png", "A 9618-2026")</f>
        <v/>
      </c>
      <c r="Y69">
        <f>HYPERLINK("https://klasma.github.io/Logging_0331/kartor_geotiff/A 9618-2026 georefererad karta.tif", "A 9618-2026")</f>
        <v/>
      </c>
      <c r="AA69">
        <f>HYPERLINK("https://klasma.github.io/Logging_0331/klagomål/A 9618-2026 FSC-klagomål.docx", "A 9618-2026")</f>
        <v/>
      </c>
      <c r="AB69">
        <f>HYPERLINK("https://klasma.github.io/Logging_0331/klagomålsmail/A 9618-2026 FSC-klagomål mail.docx", "A 9618-2026")</f>
        <v/>
      </c>
      <c r="AC69">
        <f>HYPERLINK("https://klasma.github.io/Logging_0331/tillsyn/A 9618-2026 tillsynsbegäran.docx", "A 9618-2026")</f>
        <v/>
      </c>
      <c r="AD69">
        <f>HYPERLINK("https://klasma.github.io/Logging_0331/tillsynsmail/A 9618-2026 tillsynsbegäran mail.docx", "A 9618-2026")</f>
        <v/>
      </c>
    </row>
    <row r="70" ht="15" customHeight="1">
      <c r="A70" t="inlineStr">
        <is>
          <t>A 26596-2024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45469</v>
      </c>
      <c r="E70" s="1" t="n">
        <v>46292</v>
      </c>
      <c r="F70" t="inlineStr">
        <is>
          <t>UPPSALA LÄN</t>
        </is>
      </c>
      <c r="G70" t="inlineStr">
        <is>
          <t>HEBY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Stenichnus poweri</t>
        </is>
      </c>
      <c r="W70">
        <f>HYPERLINK("https://klasma.github.io/Logging_0331/artfynd/A 26596-2024 artfynd.xlsx", "A 26596-2024")</f>
        <v/>
      </c>
      <c r="X70">
        <f>HYPERLINK("https://klasma.github.io/Logging_0331/kartor/A 26596-2024 karta.png", "A 26596-2024")</f>
        <v/>
      </c>
      <c r="Y70">
        <f>HYPERLINK("https://klasma.github.io/Logging_0331/kartor_geotiff/A 26596-2024 georefererad karta.tif", "A 26596-2024")</f>
        <v/>
      </c>
      <c r="AA70">
        <f>HYPERLINK("https://klasma.github.io/Logging_0331/klagomål/A 26596-2024 FSC-klagomål.docx", "A 26596-2024")</f>
        <v/>
      </c>
      <c r="AB70">
        <f>HYPERLINK("https://klasma.github.io/Logging_0331/klagomålsmail/A 26596-2024 FSC-klagomål mail.docx", "A 26596-2024")</f>
        <v/>
      </c>
      <c r="AC70">
        <f>HYPERLINK("https://klasma.github.io/Logging_0331/tillsyn/A 26596-2024 tillsynsbegäran.docx", "A 26596-2024")</f>
        <v/>
      </c>
      <c r="AD70">
        <f>HYPERLINK("https://klasma.github.io/Logging_0331/tillsynsmail/A 26596-2024 tillsynsbegäran mail.docx", "A 26596-2024")</f>
        <v/>
      </c>
    </row>
    <row r="71" ht="15" customHeight="1">
      <c r="A71" t="inlineStr">
        <is>
          <t>A 38417-2025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46292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8.300000000000001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HYPERLINK("https://klasma.github.io/Logging_0331/artfynd/A 38417-2025 artfynd.xlsx", "A 38417-2025")</f>
        <v/>
      </c>
      <c r="X71">
        <f>HYPERLINK("https://klasma.github.io/Logging_0331/kartor/A 38417-2025 karta.png", "A 38417-2025")</f>
        <v/>
      </c>
      <c r="Y71">
        <f>HYPERLINK("https://klasma.github.io/Logging_0331/kartor_geotiff/A 38417-2025 georefererad karta.tif", "A 38417-2025")</f>
        <v/>
      </c>
      <c r="Z71">
        <f>HYPERLINK("https://klasma.github.io/Logging_0331/knärot/A 38417-2025 karta knärot.png", "A 38417-2025")</f>
        <v/>
      </c>
      <c r="AA71">
        <f>HYPERLINK("https://klasma.github.io/Logging_0331/klagomål/A 38417-2025 FSC-klagomål.docx", "A 38417-2025")</f>
        <v/>
      </c>
      <c r="AB71">
        <f>HYPERLINK("https://klasma.github.io/Logging_0331/klagomålsmail/A 38417-2025 FSC-klagomål mail.docx", "A 38417-2025")</f>
        <v/>
      </c>
      <c r="AC71">
        <f>HYPERLINK("https://klasma.github.io/Logging_0331/tillsyn/A 38417-2025 tillsynsbegäran.docx", "A 38417-2025")</f>
        <v/>
      </c>
      <c r="AD71">
        <f>HYPERLINK("https://klasma.github.io/Logging_0331/tillsynsmail/A 38417-2025 tillsynsbegäran mail.docx", "A 38417-2025")</f>
        <v/>
      </c>
    </row>
    <row r="72" ht="15" customHeight="1">
      <c r="A72" t="inlineStr">
        <is>
          <t>A 53992-2023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46292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HYPERLINK("https://klasma.github.io/Logging_0331/artfynd/A 53992-2023 artfynd.xlsx", "A 53992-2023")</f>
        <v/>
      </c>
      <c r="X72">
        <f>HYPERLINK("https://klasma.github.io/Logging_0331/kartor/A 53992-2023 karta.png", "A 53992-2023")</f>
        <v/>
      </c>
      <c r="Y72">
        <f>HYPERLINK("https://klasma.github.io/Logging_0331/kartor_geotiff/A 53992-2023 georefererad karta.tif", "A 53992-2023")</f>
        <v/>
      </c>
      <c r="AA72">
        <f>HYPERLINK("https://klasma.github.io/Logging_0331/klagomål/A 53992-2023 FSC-klagomål.docx", "A 53992-2023")</f>
        <v/>
      </c>
      <c r="AB72">
        <f>HYPERLINK("https://klasma.github.io/Logging_0331/klagomålsmail/A 53992-2023 FSC-klagomål mail.docx", "A 53992-2023")</f>
        <v/>
      </c>
      <c r="AC72">
        <f>HYPERLINK("https://klasma.github.io/Logging_0331/tillsyn/A 53992-2023 tillsynsbegäran.docx", "A 53992-2023")</f>
        <v/>
      </c>
      <c r="AD72">
        <f>HYPERLINK("https://klasma.github.io/Logging_0331/tillsynsmail/A 53992-2023 tillsynsbegäran mail.docx", "A 53992-2023")</f>
        <v/>
      </c>
    </row>
    <row r="73" ht="15" customHeight="1">
      <c r="A73" t="inlineStr">
        <is>
          <t>A 63940-2023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46292</v>
      </c>
      <c r="F73" t="inlineStr">
        <is>
          <t>UPPSALA LÄN</t>
        </is>
      </c>
      <c r="G73" t="inlineStr">
        <is>
          <t>HEBY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Gullpudra</t>
        </is>
      </c>
      <c r="W73">
        <f>HYPERLINK("https://klasma.github.io/Logging_0331/artfynd/A 63940-2023 artfynd.xlsx", "A 63940-2023")</f>
        <v/>
      </c>
      <c r="X73">
        <f>HYPERLINK("https://klasma.github.io/Logging_0331/kartor/A 63940-2023 karta.png", "A 63940-2023")</f>
        <v/>
      </c>
      <c r="Y73">
        <f>HYPERLINK("https://klasma.github.io/Logging_0331/kartor_geotiff/A 63940-2023 georefererad karta.tif", "A 63940-2023")</f>
        <v/>
      </c>
      <c r="AA73">
        <f>HYPERLINK("https://klasma.github.io/Logging_0331/klagomål/A 63940-2023 FSC-klagomål.docx", "A 63940-2023")</f>
        <v/>
      </c>
      <c r="AB73">
        <f>HYPERLINK("https://klasma.github.io/Logging_0331/klagomålsmail/A 63940-2023 FSC-klagomål mail.docx", "A 63940-2023")</f>
        <v/>
      </c>
      <c r="AC73">
        <f>HYPERLINK("https://klasma.github.io/Logging_0331/tillsyn/A 63940-2023 tillsynsbegäran.docx", "A 63940-2023")</f>
        <v/>
      </c>
      <c r="AD73">
        <f>HYPERLINK("https://klasma.github.io/Logging_0331/tillsynsmail/A 63940-2023 tillsynsbegäran mail.docx", "A 63940-2023")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46292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19751-2023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46292</v>
      </c>
      <c r="F75" t="inlineStr">
        <is>
          <t>UPPSALA LÄN</t>
        </is>
      </c>
      <c r="G75" t="inlineStr">
        <is>
          <t>HEBY</t>
        </is>
      </c>
      <c r="H75" t="inlineStr">
        <is>
          <t>Bergvik skog väst AB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Blåsippa</t>
        </is>
      </c>
      <c r="W75">
        <f>HYPERLINK("https://klasma.github.io/Logging_0331/artfynd/A 19751-2023 artfynd.xlsx", "A 19751-2023")</f>
        <v/>
      </c>
      <c r="X75">
        <f>HYPERLINK("https://klasma.github.io/Logging_0331/kartor/A 19751-2023 karta.png", "A 19751-2023")</f>
        <v/>
      </c>
      <c r="Y75">
        <f>HYPERLINK("https://klasma.github.io/Logging_0331/kartor_geotiff/A 19751-2023 georefererad karta.tif", "A 19751-2023")</f>
        <v/>
      </c>
      <c r="Z75">
        <f>HYPERLINK("https://klasma.github.io/Logging_0331/knärot/A 19751-2023 karta knärot.png", "A 19751-2023")</f>
        <v/>
      </c>
      <c r="AA75">
        <f>HYPERLINK("https://klasma.github.io/Logging_0331/klagomål/A 19751-2023 FSC-klagomål.docx", "A 19751-2023")</f>
        <v/>
      </c>
      <c r="AB75">
        <f>HYPERLINK("https://klasma.github.io/Logging_0331/klagomålsmail/A 19751-2023 FSC-klagomål mail.docx", "A 19751-2023")</f>
        <v/>
      </c>
      <c r="AC75">
        <f>HYPERLINK("https://klasma.github.io/Logging_0331/tillsyn/A 19751-2023 tillsynsbegäran.docx", "A 19751-2023")</f>
        <v/>
      </c>
      <c r="AD75">
        <f>HYPERLINK("https://klasma.github.io/Logging_0331/tillsynsmail/A 19751-2023 tillsynsbegäran mail.docx", "A 19751-2023")</f>
        <v/>
      </c>
    </row>
    <row r="76" ht="15" customHeight="1">
      <c r="A76" t="inlineStr">
        <is>
          <t>A 54368-2024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46292</v>
      </c>
      <c r="F76" t="inlineStr">
        <is>
          <t>UPPSALA LÄN</t>
        </is>
      </c>
      <c r="G76" t="inlineStr">
        <is>
          <t>HEBY</t>
        </is>
      </c>
      <c r="H76" t="inlineStr">
        <is>
          <t>Allmännings- och besparingsskogar</t>
        </is>
      </c>
      <c r="I76" t="n">
        <v>13.9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Talltita</t>
        </is>
      </c>
      <c r="W76">
        <f>HYPERLINK("https://klasma.github.io/Logging_0331/artfynd/A 54368-2024 artfynd.xlsx", "A 54368-2024")</f>
        <v/>
      </c>
      <c r="X76">
        <f>HYPERLINK("https://klasma.github.io/Logging_0331/kartor/A 54368-2024 karta.png", "A 54368-2024")</f>
        <v/>
      </c>
      <c r="Y76">
        <f>HYPERLINK("https://klasma.github.io/Logging_0331/kartor_geotiff/A 54368-2024 georefererad karta.tif", "A 54368-2024")</f>
        <v/>
      </c>
      <c r="AA76">
        <f>HYPERLINK("https://klasma.github.io/Logging_0331/klagomål/A 54368-2024 FSC-klagomål.docx", "A 54368-2024")</f>
        <v/>
      </c>
      <c r="AB76">
        <f>HYPERLINK("https://klasma.github.io/Logging_0331/klagomålsmail/A 54368-2024 FSC-klagomål mail.docx", "A 54368-2024")</f>
        <v/>
      </c>
      <c r="AC76">
        <f>HYPERLINK("https://klasma.github.io/Logging_0331/tillsyn/A 54368-2024 tillsynsbegäran.docx", "A 54368-2024")</f>
        <v/>
      </c>
      <c r="AD76">
        <f>HYPERLINK("https://klasma.github.io/Logging_0331/tillsynsmail/A 54368-2024 tillsynsbegäran mail.docx", "A 54368-2024")</f>
        <v/>
      </c>
      <c r="AE76">
        <f>HYPERLINK("https://klasma.github.io/Logging_0331/fåglar/A 54368-2024 prioriterade fågelarter.docx", "A 54368-2024")</f>
        <v/>
      </c>
    </row>
    <row r="77" ht="15" customHeight="1">
      <c r="A77" t="inlineStr">
        <is>
          <t>A 49707-2023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46292</v>
      </c>
      <c r="F77" t="inlineStr">
        <is>
          <t>UPPSALA LÄN</t>
        </is>
      </c>
      <c r="G77" t="inlineStr">
        <is>
          <t>HEBY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Granbarkgnagare</t>
        </is>
      </c>
      <c r="W77">
        <f>HYPERLINK("https://klasma.github.io/Logging_0331/artfynd/A 49707-2023 artfynd.xlsx", "A 49707-2023")</f>
        <v/>
      </c>
      <c r="X77">
        <f>HYPERLINK("https://klasma.github.io/Logging_0331/kartor/A 49707-2023 karta.png", "A 49707-2023")</f>
        <v/>
      </c>
      <c r="Y77">
        <f>HYPERLINK("https://klasma.github.io/Logging_0331/kartor_geotiff/A 49707-2023 georefererad karta.tif", "A 49707-2023")</f>
        <v/>
      </c>
      <c r="AA77">
        <f>HYPERLINK("https://klasma.github.io/Logging_0331/klagomål/A 49707-2023 FSC-klagomål.docx", "A 49707-2023")</f>
        <v/>
      </c>
      <c r="AB77">
        <f>HYPERLINK("https://klasma.github.io/Logging_0331/klagomålsmail/A 49707-2023 FSC-klagomål mail.docx", "A 49707-2023")</f>
        <v/>
      </c>
      <c r="AC77">
        <f>HYPERLINK("https://klasma.github.io/Logging_0331/tillsyn/A 49707-2023 tillsynsbegäran.docx", "A 49707-2023")</f>
        <v/>
      </c>
      <c r="AD77">
        <f>HYPERLINK("https://klasma.github.io/Logging_0331/tillsynsmail/A 49707-2023 tillsynsbegäran mail.docx", "A 49707-2023")</f>
        <v/>
      </c>
    </row>
    <row r="78" ht="15" customHeight="1">
      <c r="A78" t="inlineStr">
        <is>
          <t>A 19555-2025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46292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HYPERLINK("https://klasma.github.io/Logging_0331/artfynd/A 19555-2025 artfynd.xlsx", "A 19555-2025")</f>
        <v/>
      </c>
      <c r="X78">
        <f>HYPERLINK("https://klasma.github.io/Logging_0331/kartor/A 19555-2025 karta.png", "A 19555-2025")</f>
        <v/>
      </c>
      <c r="Y78">
        <f>HYPERLINK("https://klasma.github.io/Logging_0331/kartor_geotiff/A 19555-2025 georefererad karta.tif", "A 19555-2025")</f>
        <v/>
      </c>
      <c r="AA78">
        <f>HYPERLINK("https://klasma.github.io/Logging_0331/klagomål/A 19555-2025 FSC-klagomål.docx", "A 19555-2025")</f>
        <v/>
      </c>
      <c r="AB78">
        <f>HYPERLINK("https://klasma.github.io/Logging_0331/klagomålsmail/A 19555-2025 FSC-klagomål mail.docx", "A 19555-2025")</f>
        <v/>
      </c>
      <c r="AC78">
        <f>HYPERLINK("https://klasma.github.io/Logging_0331/tillsyn/A 19555-2025 tillsynsbegäran.docx", "A 19555-2025")</f>
        <v/>
      </c>
      <c r="AD78">
        <f>HYPERLINK("https://klasma.github.io/Logging_0331/tillsynsmail/A 19555-2025 tillsynsbegäran mail.docx", "A 19555-2025")</f>
        <v/>
      </c>
      <c r="AE78">
        <f>HYPERLINK("https://klasma.github.io/Logging_0331/fåglar/A 19555-2025 prioriterade fågelarter.docx", "A 19555-2025")</f>
        <v/>
      </c>
    </row>
    <row r="79" ht="15" customHeight="1">
      <c r="A79" t="inlineStr">
        <is>
          <t>A 61598-2021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46292</v>
      </c>
      <c r="F79" t="inlineStr">
        <is>
          <t>UPPSALA LÄN</t>
        </is>
      </c>
      <c r="G79" t="inlineStr">
        <is>
          <t>HEBY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HYPERLINK("https://klasma.github.io/Logging_0331/artfynd/A 61598-2021 artfynd.xlsx", "A 61598-2021")</f>
        <v/>
      </c>
      <c r="X79">
        <f>HYPERLINK("https://klasma.github.io/Logging_0331/kartor/A 61598-2021 karta.png", "A 61598-2021")</f>
        <v/>
      </c>
      <c r="Y79">
        <f>HYPERLINK("https://klasma.github.io/Logging_0331/kartor_geotiff/A 61598-2021 georefererad karta.tif", "A 61598-2021")</f>
        <v/>
      </c>
      <c r="AA79">
        <f>HYPERLINK("https://klasma.github.io/Logging_0331/klagomål/A 61598-2021 FSC-klagomål.docx", "A 61598-2021")</f>
        <v/>
      </c>
      <c r="AB79">
        <f>HYPERLINK("https://klasma.github.io/Logging_0331/klagomålsmail/A 61598-2021 FSC-klagomål mail.docx", "A 61598-2021")</f>
        <v/>
      </c>
      <c r="AC79">
        <f>HYPERLINK("https://klasma.github.io/Logging_0331/tillsyn/A 61598-2021 tillsynsbegäran.docx", "A 61598-2021")</f>
        <v/>
      </c>
      <c r="AD79">
        <f>HYPERLINK("https://klasma.github.io/Logging_0331/tillsynsmail/A 61598-2021 tillsynsbegäran mail.docx", "A 61598-2021")</f>
        <v/>
      </c>
      <c r="AE79">
        <f>HYPERLINK("https://klasma.github.io/Logging_0331/fåglar/A 61598-2021 prioriterade fågelarter.docx", "A 61598-2021")</f>
        <v/>
      </c>
    </row>
    <row r="80" ht="15" customHeight="1">
      <c r="A80" t="inlineStr">
        <is>
          <t>A 55663-2024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46292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HYPERLINK("https://klasma.github.io/Logging_0331/artfynd/A 55663-2024 artfynd.xlsx", "A 55663-2024")</f>
        <v/>
      </c>
      <c r="X80">
        <f>HYPERLINK("https://klasma.github.io/Logging_0331/kartor/A 55663-2024 karta.png", "A 55663-2024")</f>
        <v/>
      </c>
      <c r="Y80">
        <f>HYPERLINK("https://klasma.github.io/Logging_0331/kartor_geotiff/A 55663-2024 georefererad karta.tif", "A 55663-2024")</f>
        <v/>
      </c>
      <c r="AA80">
        <f>HYPERLINK("https://klasma.github.io/Logging_0331/klagomål/A 55663-2024 FSC-klagomål.docx", "A 55663-2024")</f>
        <v/>
      </c>
      <c r="AB80">
        <f>HYPERLINK("https://klasma.github.io/Logging_0331/klagomålsmail/A 55663-2024 FSC-klagomål mail.docx", "A 55663-2024")</f>
        <v/>
      </c>
      <c r="AC80">
        <f>HYPERLINK("https://klasma.github.io/Logging_0331/tillsyn/A 55663-2024 tillsynsbegäran.docx", "A 55663-2024")</f>
        <v/>
      </c>
      <c r="AD80">
        <f>HYPERLINK("https://klasma.github.io/Logging_0331/tillsynsmail/A 55663-2024 tillsynsbegäran mail.docx", "A 55663-2024")</f>
        <v/>
      </c>
    </row>
    <row r="81" ht="15" customHeight="1">
      <c r="A81" t="inlineStr">
        <is>
          <t>A 17697-2024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46292</v>
      </c>
      <c r="F81" t="inlineStr">
        <is>
          <t>UPPSALA LÄN</t>
        </is>
      </c>
      <c r="G81" t="inlineStr">
        <is>
          <t>HEBY</t>
        </is>
      </c>
      <c r="I81" t="n">
        <v>0.6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HYPERLINK("https://klasma.github.io/Logging_0331/artfynd/A 17697-2024 artfynd.xlsx", "A 17697-2024")</f>
        <v/>
      </c>
      <c r="X81">
        <f>HYPERLINK("https://klasma.github.io/Logging_0331/kartor/A 17697-2024 karta.png", "A 17697-2024")</f>
        <v/>
      </c>
      <c r="Y81">
        <f>HYPERLINK("https://klasma.github.io/Logging_0331/kartor_geotiff/A 17697-2024 georefererad karta.tif", "A 17697-2024")</f>
        <v/>
      </c>
      <c r="AA81">
        <f>HYPERLINK("https://klasma.github.io/Logging_0331/klagomål/A 17697-2024 FSC-klagomål.docx", "A 17697-2024")</f>
        <v/>
      </c>
      <c r="AB81">
        <f>HYPERLINK("https://klasma.github.io/Logging_0331/klagomålsmail/A 17697-2024 FSC-klagomål mail.docx", "A 17697-2024")</f>
        <v/>
      </c>
      <c r="AC81">
        <f>HYPERLINK("https://klasma.github.io/Logging_0331/tillsyn/A 17697-2024 tillsynsbegäran.docx", "A 17697-2024")</f>
        <v/>
      </c>
      <c r="AD81">
        <f>HYPERLINK("https://klasma.github.io/Logging_0331/tillsynsmail/A 17697-2024 tillsynsbegäran mail.docx", "A 17697-2024")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46292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46292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46292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46292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46292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46292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46292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46292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46292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46292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46292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46292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46292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46292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46292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46292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46292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46292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46292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46292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46292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46292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46292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46292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46292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46292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46292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46292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46292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46292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46292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46292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46292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46292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46292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46292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46292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46292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46292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46292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46292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46292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46292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46292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46292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46292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46292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46292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46292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46292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46292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46292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46292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46292</v>
      </c>
      <c r="F135" t="inlineStr">
        <is>
          <t>UPPSALA LÄN</t>
        </is>
      </c>
      <c r="G135" t="inlineStr">
        <is>
          <t>HEBY</t>
        </is>
      </c>
      <c r="H135" t="inlineStr">
        <is>
          <t>Övriga Aktiebolag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46292</v>
      </c>
      <c r="F136" t="inlineStr">
        <is>
          <t>UPPSALA LÄN</t>
        </is>
      </c>
      <c r="G136" t="inlineStr">
        <is>
          <t>HEBY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45331</v>
      </c>
      <c r="E137" s="1" t="n">
        <v>46292</v>
      </c>
      <c r="F137" t="inlineStr">
        <is>
          <t>UPPSALA LÄN</t>
        </is>
      </c>
      <c r="G137" t="inlineStr">
        <is>
          <t>HEBY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46292</v>
      </c>
      <c r="F138" t="inlineStr">
        <is>
          <t>UPPSALA LÄN</t>
        </is>
      </c>
      <c r="G138" t="inlineStr">
        <is>
          <t>HEBY</t>
        </is>
      </c>
      <c r="H138" t="inlineStr">
        <is>
          <t>Övriga Aktiebolag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46292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46292</v>
      </c>
      <c r="F140" t="inlineStr">
        <is>
          <t>UPPSALA LÄN</t>
        </is>
      </c>
      <c r="G140" t="inlineStr">
        <is>
          <t>HEBY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46292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46292</v>
      </c>
      <c r="F142" t="inlineStr">
        <is>
          <t>UPPSALA LÄN</t>
        </is>
      </c>
      <c r="G142" t="inlineStr">
        <is>
          <t>HEBY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46292</v>
      </c>
      <c r="F143" t="inlineStr">
        <is>
          <t>UPPSALA LÄN</t>
        </is>
      </c>
      <c r="G143" t="inlineStr">
        <is>
          <t>HEBY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46292</v>
      </c>
      <c r="F144" t="inlineStr">
        <is>
          <t>UPPSALA LÄN</t>
        </is>
      </c>
      <c r="G144" t="inlineStr">
        <is>
          <t>HEBY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49971-2022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46292</v>
      </c>
      <c r="F145" t="inlineStr">
        <is>
          <t>UPPSALA LÄN</t>
        </is>
      </c>
      <c r="G145" t="inlineStr">
        <is>
          <t>HEBY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46292</v>
      </c>
      <c r="F146" t="inlineStr">
        <is>
          <t>UPPSALA LÄN</t>
        </is>
      </c>
      <c r="G146" t="inlineStr">
        <is>
          <t>HEBY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44849</v>
      </c>
      <c r="E147" s="1" t="n">
        <v>46292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46292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58332-2023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45250</v>
      </c>
      <c r="E149" s="1" t="n">
        <v>46292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46292</v>
      </c>
      <c r="F150" t="inlineStr">
        <is>
          <t>UPPSALA LÄN</t>
        </is>
      </c>
      <c r="G150" t="inlineStr">
        <is>
          <t>HEBY</t>
        </is>
      </c>
      <c r="I150" t="n">
        <v>10.3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44833</v>
      </c>
      <c r="E151" s="1" t="n">
        <v>46292</v>
      </c>
      <c r="F151" t="inlineStr">
        <is>
          <t>UPPSALA LÄN</t>
        </is>
      </c>
      <c r="G151" t="inlineStr">
        <is>
          <t>HEBY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46292</v>
      </c>
      <c r="F152" t="inlineStr">
        <is>
          <t>UPPSALA LÄN</t>
        </is>
      </c>
      <c r="G152" t="inlineStr">
        <is>
          <t>HEBY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46292</v>
      </c>
      <c r="F153" t="inlineStr">
        <is>
          <t>UPPSALA LÄN</t>
        </is>
      </c>
      <c r="G153" t="inlineStr">
        <is>
          <t>HEBY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46292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46292</v>
      </c>
      <c r="F155" t="inlineStr">
        <is>
          <t>UPPSALA LÄN</t>
        </is>
      </c>
      <c r="G155" t="inlineStr">
        <is>
          <t>HEBY</t>
        </is>
      </c>
      <c r="H155" t="inlineStr">
        <is>
          <t>Allmännings- och besparingsskogar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44925</v>
      </c>
      <c r="E156" s="1" t="n">
        <v>46292</v>
      </c>
      <c r="F156" t="inlineStr">
        <is>
          <t>UPPSALA LÄN</t>
        </is>
      </c>
      <c r="G156" t="inlineStr">
        <is>
          <t>HEBY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46023</v>
      </c>
      <c r="E157" s="1" t="n">
        <v>46292</v>
      </c>
      <c r="F157" t="inlineStr">
        <is>
          <t>UPPSALA LÄN</t>
        </is>
      </c>
      <c r="G157" t="inlineStr">
        <is>
          <t>HEBY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46292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46292</v>
      </c>
      <c r="F159" t="inlineStr">
        <is>
          <t>UPPSALA LÄN</t>
        </is>
      </c>
      <c r="G159" t="inlineStr">
        <is>
          <t>HEBY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46292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46292</v>
      </c>
      <c r="F161" t="inlineStr">
        <is>
          <t>UPPSALA LÄN</t>
        </is>
      </c>
      <c r="G161" t="inlineStr">
        <is>
          <t>HEBY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69377-2021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46292</v>
      </c>
      <c r="F162" t="inlineStr">
        <is>
          <t>UPPSALA LÄN</t>
        </is>
      </c>
      <c r="G162" t="inlineStr">
        <is>
          <t>HEBY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45339</v>
      </c>
      <c r="E163" s="1" t="n">
        <v>46292</v>
      </c>
      <c r="F163" t="inlineStr">
        <is>
          <t>UPPSALA LÄN</t>
        </is>
      </c>
      <c r="G163" t="inlineStr">
        <is>
          <t>HEBY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46292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46292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12.3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46292</v>
      </c>
      <c r="F166" t="inlineStr">
        <is>
          <t>UPPSALA LÄN</t>
        </is>
      </c>
      <c r="G166" t="inlineStr">
        <is>
          <t>HEBY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46292</v>
      </c>
      <c r="F167" t="inlineStr">
        <is>
          <t>UPPSALA LÄN</t>
        </is>
      </c>
      <c r="G167" t="inlineStr">
        <is>
          <t>HEBY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46292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46292</v>
      </c>
      <c r="F169" t="inlineStr">
        <is>
          <t>UPPSALA LÄN</t>
        </is>
      </c>
      <c r="G169" t="inlineStr">
        <is>
          <t>HEBY</t>
        </is>
      </c>
      <c r="H169" t="inlineStr">
        <is>
          <t>Kyrkan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46292</v>
      </c>
      <c r="F170" t="inlineStr">
        <is>
          <t>UPPSALA LÄN</t>
        </is>
      </c>
      <c r="G170" t="inlineStr">
        <is>
          <t>HEBY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46292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46292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16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46292</v>
      </c>
      <c r="F173" t="inlineStr">
        <is>
          <t>UPPSALA LÄN</t>
        </is>
      </c>
      <c r="G173" t="inlineStr">
        <is>
          <t>HEBY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46292</v>
      </c>
      <c r="F174" t="inlineStr">
        <is>
          <t>UPPSALA LÄN</t>
        </is>
      </c>
      <c r="G174" t="inlineStr">
        <is>
          <t>HEBY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46292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64899-2021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44512</v>
      </c>
      <c r="E176" s="1" t="n">
        <v>46292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46292</v>
      </c>
      <c r="F177" t="inlineStr">
        <is>
          <t>UPPSALA LÄN</t>
        </is>
      </c>
      <c r="G177" t="inlineStr">
        <is>
          <t>HEBY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46292</v>
      </c>
      <c r="F178" t="inlineStr">
        <is>
          <t>UPPSALA LÄN</t>
        </is>
      </c>
      <c r="G178" t="inlineStr">
        <is>
          <t>HEBY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46292</v>
      </c>
      <c r="F179" t="inlineStr">
        <is>
          <t>UPPSALA LÄN</t>
        </is>
      </c>
      <c r="G179" t="inlineStr">
        <is>
          <t>HEBY</t>
        </is>
      </c>
      <c r="I179" t="n">
        <v>14.8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46292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44913</v>
      </c>
      <c r="E181" s="1" t="n">
        <v>46292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46292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46292</v>
      </c>
      <c r="F183" t="inlineStr">
        <is>
          <t>UPPSALA LÄN</t>
        </is>
      </c>
      <c r="G183" t="inlineStr">
        <is>
          <t>HEBY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46292</v>
      </c>
      <c r="F184" t="inlineStr">
        <is>
          <t>UPPSALA LÄN</t>
        </is>
      </c>
      <c r="G184" t="inlineStr">
        <is>
          <t>HEBY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46292</v>
      </c>
      <c r="F185" t="inlineStr">
        <is>
          <t>UPPSALA LÄN</t>
        </is>
      </c>
      <c r="G185" t="inlineStr">
        <is>
          <t>HEBY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46052</v>
      </c>
      <c r="E186" s="1" t="n">
        <v>46292</v>
      </c>
      <c r="F186" t="inlineStr">
        <is>
          <t>UPPSALA LÄN</t>
        </is>
      </c>
      <c r="G186" t="inlineStr">
        <is>
          <t>HEBY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46292</v>
      </c>
      <c r="F187" t="inlineStr">
        <is>
          <t>UPPSALA LÄN</t>
        </is>
      </c>
      <c r="G187" t="inlineStr">
        <is>
          <t>HEBY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46292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46292</v>
      </c>
      <c r="F189" t="inlineStr">
        <is>
          <t>UPPSALA LÄN</t>
        </is>
      </c>
      <c r="G189" t="inlineStr">
        <is>
          <t>HEBY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46292</v>
      </c>
      <c r="F190" t="inlineStr">
        <is>
          <t>UPPSALA LÄN</t>
        </is>
      </c>
      <c r="G190" t="inlineStr">
        <is>
          <t>HEBY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11555-2026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46084</v>
      </c>
      <c r="E191" s="1" t="n">
        <v>46292</v>
      </c>
      <c r="F191" t="inlineStr">
        <is>
          <t>UPPSALA LÄN</t>
        </is>
      </c>
      <c r="G191" t="inlineStr">
        <is>
          <t>HEBY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46292</v>
      </c>
      <c r="F192" t="inlineStr">
        <is>
          <t>UPPSALA LÄN</t>
        </is>
      </c>
      <c r="G192" t="inlineStr">
        <is>
          <t>HEBY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46292</v>
      </c>
      <c r="F193" t="inlineStr">
        <is>
          <t>UPPSALA LÄN</t>
        </is>
      </c>
      <c r="G193" t="inlineStr">
        <is>
          <t>HEBY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46292</v>
      </c>
      <c r="F194" t="inlineStr">
        <is>
          <t>UPPSALA LÄN</t>
        </is>
      </c>
      <c r="G194" t="inlineStr">
        <is>
          <t>HEBY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46292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45912</v>
      </c>
      <c r="E196" s="1" t="n">
        <v>46292</v>
      </c>
      <c r="F196" t="inlineStr">
        <is>
          <t>UPPSALA LÄN</t>
        </is>
      </c>
      <c r="G196" t="inlineStr">
        <is>
          <t>HEBY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45804</v>
      </c>
      <c r="E197" s="1" t="n">
        <v>46292</v>
      </c>
      <c r="F197" t="inlineStr">
        <is>
          <t>UPPSALA LÄN</t>
        </is>
      </c>
      <c r="G197" t="inlineStr">
        <is>
          <t>HEBY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46292</v>
      </c>
      <c r="F198" t="inlineStr">
        <is>
          <t>UPPSALA LÄN</t>
        </is>
      </c>
      <c r="G198" t="inlineStr">
        <is>
          <t>HEBY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46057</v>
      </c>
      <c r="E199" s="1" t="n">
        <v>46292</v>
      </c>
      <c r="F199" t="inlineStr">
        <is>
          <t>UPPSALA LÄN</t>
        </is>
      </c>
      <c r="G199" t="inlineStr">
        <is>
          <t>HEBY</t>
        </is>
      </c>
      <c r="H199" t="inlineStr">
        <is>
          <t>Kommuner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46292</v>
      </c>
      <c r="F200" t="inlineStr">
        <is>
          <t>UPPSALA LÄN</t>
        </is>
      </c>
      <c r="G200" t="inlineStr">
        <is>
          <t>HEBY</t>
        </is>
      </c>
      <c r="H200" t="inlineStr">
        <is>
          <t>Kommuner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46292</v>
      </c>
      <c r="F201" t="inlineStr">
        <is>
          <t>UPPSALA LÄN</t>
        </is>
      </c>
      <c r="G201" t="inlineStr">
        <is>
          <t>HEBY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46292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45294</v>
      </c>
      <c r="E203" s="1" t="n">
        <v>46292</v>
      </c>
      <c r="F203" t="inlineStr">
        <is>
          <t>UPPSALA LÄN</t>
        </is>
      </c>
      <c r="G203" t="inlineStr">
        <is>
          <t>HEBY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46292</v>
      </c>
      <c r="F204" t="inlineStr">
        <is>
          <t>UPPSALA LÄN</t>
        </is>
      </c>
      <c r="G204" t="inlineStr">
        <is>
          <t>HEBY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46292</v>
      </c>
      <c r="F205" t="inlineStr">
        <is>
          <t>UPPSALA LÄN</t>
        </is>
      </c>
      <c r="G205" t="inlineStr">
        <is>
          <t>HEBY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46292</v>
      </c>
      <c r="F206" t="inlineStr">
        <is>
          <t>UPPSALA LÄN</t>
        </is>
      </c>
      <c r="G206" t="inlineStr">
        <is>
          <t>HEBY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46292</v>
      </c>
      <c r="F207" t="inlineStr">
        <is>
          <t>UPPSALA LÄN</t>
        </is>
      </c>
      <c r="G207" t="inlineStr">
        <is>
          <t>HEBY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46292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46063</v>
      </c>
      <c r="E209" s="1" t="n">
        <v>46292</v>
      </c>
      <c r="F209" t="inlineStr">
        <is>
          <t>UPPSALA LÄN</t>
        </is>
      </c>
      <c r="G209" t="inlineStr">
        <is>
          <t>HEBY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46063</v>
      </c>
      <c r="E210" s="1" t="n">
        <v>46292</v>
      </c>
      <c r="F210" t="inlineStr">
        <is>
          <t>UPPSALA LÄN</t>
        </is>
      </c>
      <c r="G210" t="inlineStr">
        <is>
          <t>HEBY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46292</v>
      </c>
      <c r="F211" t="inlineStr">
        <is>
          <t>UPPSALA LÄN</t>
        </is>
      </c>
      <c r="G211" t="inlineStr">
        <is>
          <t>HEBY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46292</v>
      </c>
      <c r="F212" t="inlineStr">
        <is>
          <t>UPPSALA LÄN</t>
        </is>
      </c>
      <c r="G212" t="inlineStr">
        <is>
          <t>HEBY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46292</v>
      </c>
      <c r="F213" t="inlineStr">
        <is>
          <t>UPPSALA LÄN</t>
        </is>
      </c>
      <c r="G213" t="inlineStr">
        <is>
          <t>HEBY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46292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46292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45119</v>
      </c>
      <c r="E216" s="1" t="n">
        <v>46292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66.90000000000001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46292</v>
      </c>
      <c r="F217" t="inlineStr">
        <is>
          <t>UPPSALA LÄN</t>
        </is>
      </c>
      <c r="G217" t="inlineStr">
        <is>
          <t>HEBY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46292</v>
      </c>
      <c r="F218" t="inlineStr">
        <is>
          <t>UPPSALA LÄN</t>
        </is>
      </c>
      <c r="G218" t="inlineStr">
        <is>
          <t>HEBY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44945</v>
      </c>
      <c r="E219" s="1" t="n">
        <v>46292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46073</v>
      </c>
      <c r="E220" s="1" t="n">
        <v>46292</v>
      </c>
      <c r="F220" t="inlineStr">
        <is>
          <t>UPPSALA LÄN</t>
        </is>
      </c>
      <c r="G220" t="inlineStr">
        <is>
          <t>HEBY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46292</v>
      </c>
      <c r="F221" t="inlineStr">
        <is>
          <t>UPPSALA LÄN</t>
        </is>
      </c>
      <c r="G221" t="inlineStr">
        <is>
          <t>HEBY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46292</v>
      </c>
      <c r="F222" t="inlineStr">
        <is>
          <t>UPPSALA LÄN</t>
        </is>
      </c>
      <c r="G222" t="inlineStr">
        <is>
          <t>HEBY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46292</v>
      </c>
      <c r="F223" t="inlineStr">
        <is>
          <t>UPPSALA LÄN</t>
        </is>
      </c>
      <c r="G223" t="inlineStr">
        <is>
          <t>HEBY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46292</v>
      </c>
      <c r="F224" t="inlineStr">
        <is>
          <t>UPPSALA LÄN</t>
        </is>
      </c>
      <c r="G224" t="inlineStr">
        <is>
          <t>HEBY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46292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46292</v>
      </c>
      <c r="F226" t="inlineStr">
        <is>
          <t>UPPSALA LÄN</t>
        </is>
      </c>
      <c r="G226" t="inlineStr">
        <is>
          <t>HEBY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45331</v>
      </c>
      <c r="E227" s="1" t="n">
        <v>46292</v>
      </c>
      <c r="F227" t="inlineStr">
        <is>
          <t>UPPSALA LÄN</t>
        </is>
      </c>
      <c r="G227" t="inlineStr">
        <is>
          <t>HEBY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46292</v>
      </c>
      <c r="F228" t="inlineStr">
        <is>
          <t>UPPSALA LÄN</t>
        </is>
      </c>
      <c r="G228" t="inlineStr">
        <is>
          <t>HEBY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46292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46292</v>
      </c>
      <c r="F230" t="inlineStr">
        <is>
          <t>UPPSALA LÄN</t>
        </is>
      </c>
      <c r="G230" t="inlineStr">
        <is>
          <t>HEBY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46292</v>
      </c>
      <c r="F231" t="inlineStr">
        <is>
          <t>UPPSALA LÄN</t>
        </is>
      </c>
      <c r="G231" t="inlineStr">
        <is>
          <t>HEBY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44944</v>
      </c>
      <c r="E232" s="1" t="n">
        <v>46292</v>
      </c>
      <c r="F232" t="inlineStr">
        <is>
          <t>UPPSALA LÄN</t>
        </is>
      </c>
      <c r="G232" t="inlineStr">
        <is>
          <t>HEBY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45390</v>
      </c>
      <c r="E233" s="1" t="n">
        <v>46292</v>
      </c>
      <c r="F233" t="inlineStr">
        <is>
          <t>UPPSALA LÄN</t>
        </is>
      </c>
      <c r="G233" t="inlineStr">
        <is>
          <t>HEBY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46292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46292</v>
      </c>
      <c r="F235" t="inlineStr">
        <is>
          <t>UPPSALA LÄN</t>
        </is>
      </c>
      <c r="G235" t="inlineStr">
        <is>
          <t>HEBY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44984</v>
      </c>
      <c r="E236" s="1" t="n">
        <v>46292</v>
      </c>
      <c r="F236" t="inlineStr">
        <is>
          <t>UPPSALA LÄN</t>
        </is>
      </c>
      <c r="G236" t="inlineStr">
        <is>
          <t>HEBY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46292</v>
      </c>
      <c r="F237" t="inlineStr">
        <is>
          <t>UPPSALA LÄN</t>
        </is>
      </c>
      <c r="G237" t="inlineStr">
        <is>
          <t>HEBY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46292</v>
      </c>
      <c r="F238" t="inlineStr">
        <is>
          <t>UPPSALA LÄN</t>
        </is>
      </c>
      <c r="G238" t="inlineStr">
        <is>
          <t>HEBY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46292</v>
      </c>
      <c r="F239" t="inlineStr">
        <is>
          <t>UPPSALA LÄN</t>
        </is>
      </c>
      <c r="G239" t="inlineStr">
        <is>
          <t>HEBY</t>
        </is>
      </c>
      <c r="H239" t="inlineStr">
        <is>
          <t>Kyrkan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46292</v>
      </c>
      <c r="F240" t="inlineStr">
        <is>
          <t>UPPSALA LÄN</t>
        </is>
      </c>
      <c r="G240" t="inlineStr">
        <is>
          <t>HEBY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46292</v>
      </c>
      <c r="F241" t="inlineStr">
        <is>
          <t>UPPSALA LÄN</t>
        </is>
      </c>
      <c r="G241" t="inlineStr">
        <is>
          <t>HEBY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46292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46292</v>
      </c>
      <c r="F243" t="inlineStr">
        <is>
          <t>UPPSALA LÄN</t>
        </is>
      </c>
      <c r="G243" t="inlineStr">
        <is>
          <t>HEBY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46292</v>
      </c>
      <c r="F244" t="inlineStr">
        <is>
          <t>UPPSALA LÄN</t>
        </is>
      </c>
      <c r="G244" t="inlineStr">
        <is>
          <t>HEBY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45596</v>
      </c>
      <c r="E245" s="1" t="n">
        <v>46292</v>
      </c>
      <c r="F245" t="inlineStr">
        <is>
          <t>UPPSALA LÄN</t>
        </is>
      </c>
      <c r="G245" t="inlineStr">
        <is>
          <t>HEBY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46292</v>
      </c>
      <c r="F246" t="inlineStr">
        <is>
          <t>UPPSALA LÄN</t>
        </is>
      </c>
      <c r="G246" t="inlineStr">
        <is>
          <t>HEBY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46292</v>
      </c>
      <c r="F247" t="inlineStr">
        <is>
          <t>UPPSALA LÄN</t>
        </is>
      </c>
      <c r="G247" t="inlineStr">
        <is>
          <t>HEBY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46292</v>
      </c>
      <c r="F248" t="inlineStr">
        <is>
          <t>UPPSALA LÄN</t>
        </is>
      </c>
      <c r="G248" t="inlineStr">
        <is>
          <t>HEBY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46292</v>
      </c>
      <c r="F249" t="inlineStr">
        <is>
          <t>UPPSALA LÄN</t>
        </is>
      </c>
      <c r="G249" t="inlineStr">
        <is>
          <t>HEBY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46292</v>
      </c>
      <c r="F250" t="inlineStr">
        <is>
          <t>UPPSALA LÄN</t>
        </is>
      </c>
      <c r="G250" t="inlineStr">
        <is>
          <t>HEBY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45364</v>
      </c>
      <c r="E251" s="1" t="n">
        <v>46292</v>
      </c>
      <c r="F251" t="inlineStr">
        <is>
          <t>UPPSALA LÄN</t>
        </is>
      </c>
      <c r="G251" t="inlineStr">
        <is>
          <t>HEBY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45364</v>
      </c>
      <c r="E252" s="1" t="n">
        <v>46292</v>
      </c>
      <c r="F252" t="inlineStr">
        <is>
          <t>UPPSALA LÄN</t>
        </is>
      </c>
      <c r="G252" t="inlineStr">
        <is>
          <t>HEBY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46292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46292</v>
      </c>
      <c r="F254" t="inlineStr">
        <is>
          <t>UPPSALA LÄN</t>
        </is>
      </c>
      <c r="G254" t="inlineStr">
        <is>
          <t>HEBY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46292</v>
      </c>
      <c r="F255" t="inlineStr">
        <is>
          <t>UPPSALA LÄN</t>
        </is>
      </c>
      <c r="G255" t="inlineStr">
        <is>
          <t>HEBY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46292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44888</v>
      </c>
      <c r="E257" s="1" t="n">
        <v>46292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46292</v>
      </c>
      <c r="F258" t="inlineStr">
        <is>
          <t>UPPSALA LÄN</t>
        </is>
      </c>
      <c r="G258" t="inlineStr">
        <is>
          <t>HEBY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46292</v>
      </c>
      <c r="F259" t="inlineStr">
        <is>
          <t>UPPSALA LÄN</t>
        </is>
      </c>
      <c r="G259" t="inlineStr">
        <is>
          <t>HEBY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46292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21000-2022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44701</v>
      </c>
      <c r="E261" s="1" t="n">
        <v>46292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46292</v>
      </c>
      <c r="F262" t="inlineStr">
        <is>
          <t>UPPSALA LÄN</t>
        </is>
      </c>
      <c r="G262" t="inlineStr">
        <is>
          <t>HEBY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46292</v>
      </c>
      <c r="F263" t="inlineStr">
        <is>
          <t>UPPSALA LÄN</t>
        </is>
      </c>
      <c r="G263" t="inlineStr">
        <is>
          <t>HEBY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46292</v>
      </c>
      <c r="F264" t="inlineStr">
        <is>
          <t>UPPSALA LÄN</t>
        </is>
      </c>
      <c r="G264" t="inlineStr">
        <is>
          <t>HEBY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46292</v>
      </c>
      <c r="F265" t="inlineStr">
        <is>
          <t>UPPSALA LÄN</t>
        </is>
      </c>
      <c r="G265" t="inlineStr">
        <is>
          <t>HEBY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46292</v>
      </c>
      <c r="F266" t="inlineStr">
        <is>
          <t>UPPSALA LÄN</t>
        </is>
      </c>
      <c r="G266" t="inlineStr">
        <is>
          <t>HEBY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46110</v>
      </c>
      <c r="E267" s="1" t="n">
        <v>46292</v>
      </c>
      <c r="F267" t="inlineStr">
        <is>
          <t>UPPSALA LÄN</t>
        </is>
      </c>
      <c r="G267" t="inlineStr">
        <is>
          <t>HEBY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45422</v>
      </c>
      <c r="E268" s="1" t="n">
        <v>46292</v>
      </c>
      <c r="F268" t="inlineStr">
        <is>
          <t>UPPSALA LÄN</t>
        </is>
      </c>
      <c r="G268" t="inlineStr">
        <is>
          <t>HEBY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19990-2022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44697</v>
      </c>
      <c r="E269" s="1" t="n">
        <v>46292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14.3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46292</v>
      </c>
      <c r="F270" t="inlineStr">
        <is>
          <t>UPPSALA LÄN</t>
        </is>
      </c>
      <c r="G270" t="inlineStr">
        <is>
          <t>HEBY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45958</v>
      </c>
      <c r="E271" s="1" t="n">
        <v>46292</v>
      </c>
      <c r="F271" t="inlineStr">
        <is>
          <t>UPPSALA LÄN</t>
        </is>
      </c>
      <c r="G271" t="inlineStr">
        <is>
          <t>HEBY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16506-2026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46112</v>
      </c>
      <c r="E272" s="1" t="n">
        <v>46292</v>
      </c>
      <c r="F272" t="inlineStr">
        <is>
          <t>UPPSALA LÄN</t>
        </is>
      </c>
      <c r="G272" t="inlineStr">
        <is>
          <t>HEBY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46292</v>
      </c>
      <c r="F273" t="inlineStr">
        <is>
          <t>UPPSALA LÄN</t>
        </is>
      </c>
      <c r="G273" t="inlineStr">
        <is>
          <t>HEBY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46292</v>
      </c>
      <c r="F274" t="inlineStr">
        <is>
          <t>UPPSALA LÄN</t>
        </is>
      </c>
      <c r="G274" t="inlineStr">
        <is>
          <t>HEBY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46292</v>
      </c>
      <c r="F275" t="inlineStr">
        <is>
          <t>UPPSALA LÄN</t>
        </is>
      </c>
      <c r="G275" t="inlineStr">
        <is>
          <t>HEBY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46292</v>
      </c>
      <c r="F276" t="inlineStr">
        <is>
          <t>UPPSALA LÄN</t>
        </is>
      </c>
      <c r="G276" t="inlineStr">
        <is>
          <t>HEBY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46292</v>
      </c>
      <c r="F277" t="inlineStr">
        <is>
          <t>UPPSALA LÄN</t>
        </is>
      </c>
      <c r="G277" t="inlineStr">
        <is>
          <t>HEBY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44491</v>
      </c>
      <c r="E278" s="1" t="n">
        <v>46292</v>
      </c>
      <c r="F278" t="inlineStr">
        <is>
          <t>UPPSALA LÄN</t>
        </is>
      </c>
      <c r="G278" t="inlineStr">
        <is>
          <t>HEBY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46292</v>
      </c>
      <c r="F279" t="inlineStr">
        <is>
          <t>UPPSALA LÄN</t>
        </is>
      </c>
      <c r="G279" t="inlineStr">
        <is>
          <t>HEBY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46292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46292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46292</v>
      </c>
      <c r="F282" t="inlineStr">
        <is>
          <t>UPPSALA LÄN</t>
        </is>
      </c>
      <c r="G282" t="inlineStr">
        <is>
          <t>HEBY</t>
        </is>
      </c>
      <c r="H282" t="inlineStr">
        <is>
          <t>Kyrkan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44960</v>
      </c>
      <c r="E283" s="1" t="n">
        <v>46292</v>
      </c>
      <c r="F283" t="inlineStr">
        <is>
          <t>UPPSALA LÄN</t>
        </is>
      </c>
      <c r="G283" t="inlineStr">
        <is>
          <t>HEBY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46292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46292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46292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46292</v>
      </c>
      <c r="F287" t="inlineStr">
        <is>
          <t>UPPSALA LÄN</t>
        </is>
      </c>
      <c r="G287" t="inlineStr">
        <is>
          <t>HEBY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45967</v>
      </c>
      <c r="E288" s="1" t="n">
        <v>46292</v>
      </c>
      <c r="F288" t="inlineStr">
        <is>
          <t>UPPSALA LÄN</t>
        </is>
      </c>
      <c r="G288" t="inlineStr">
        <is>
          <t>HEBY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55488-2025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45971</v>
      </c>
      <c r="E289" s="1" t="n">
        <v>46292</v>
      </c>
      <c r="F289" t="inlineStr">
        <is>
          <t>UPPSALA LÄN</t>
        </is>
      </c>
      <c r="G289" t="inlineStr">
        <is>
          <t>HEBY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55496-2025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45971</v>
      </c>
      <c r="E290" s="1" t="n">
        <v>46292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46292</v>
      </c>
      <c r="F291" t="inlineStr">
        <is>
          <t>UPPSALA LÄN</t>
        </is>
      </c>
      <c r="G291" t="inlineStr">
        <is>
          <t>HEBY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46292</v>
      </c>
      <c r="F292" t="inlineStr">
        <is>
          <t>UPPSALA LÄN</t>
        </is>
      </c>
      <c r="G292" t="inlineStr">
        <is>
          <t>HEBY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46292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46292</v>
      </c>
      <c r="F294" t="inlineStr">
        <is>
          <t>UPPSALA LÄN</t>
        </is>
      </c>
      <c r="G294" t="inlineStr">
        <is>
          <t>HEBY</t>
        </is>
      </c>
      <c r="H294" t="inlineStr">
        <is>
          <t>Kommuner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46292</v>
      </c>
      <c r="F295" t="inlineStr">
        <is>
          <t>UPPSALA LÄN</t>
        </is>
      </c>
      <c r="G295" t="inlineStr">
        <is>
          <t>HEBY</t>
        </is>
      </c>
      <c r="H295" t="inlineStr">
        <is>
          <t>Kyrkan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46292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46292</v>
      </c>
      <c r="F297" t="inlineStr">
        <is>
          <t>UPPSALA LÄN</t>
        </is>
      </c>
      <c r="G297" t="inlineStr">
        <is>
          <t>HEBY</t>
        </is>
      </c>
      <c r="H297" t="inlineStr">
        <is>
          <t>Kyrkan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46292</v>
      </c>
      <c r="F298" t="inlineStr">
        <is>
          <t>UPPSALA LÄN</t>
        </is>
      </c>
      <c r="G298" t="inlineStr">
        <is>
          <t>HEBY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46292</v>
      </c>
      <c r="F299" t="inlineStr">
        <is>
          <t>UPPSALA LÄN</t>
        </is>
      </c>
      <c r="G299" t="inlineStr">
        <is>
          <t>HEBY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46292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46292</v>
      </c>
      <c r="F301" t="inlineStr">
        <is>
          <t>UPPSALA LÄN</t>
        </is>
      </c>
      <c r="G301" t="inlineStr">
        <is>
          <t>HEBY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46135</v>
      </c>
      <c r="E302" s="1" t="n">
        <v>46292</v>
      </c>
      <c r="F302" t="inlineStr">
        <is>
          <t>UPPSALA LÄN</t>
        </is>
      </c>
      <c r="G302" t="inlineStr">
        <is>
          <t>HEBY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46292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45951</v>
      </c>
      <c r="E304" s="1" t="n">
        <v>46292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46292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46292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46292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väst AB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46292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45030</v>
      </c>
      <c r="E309" s="1" t="n">
        <v>46292</v>
      </c>
      <c r="F309" t="inlineStr">
        <is>
          <t>UPPSALA LÄN</t>
        </is>
      </c>
      <c r="G309" t="inlineStr">
        <is>
          <t>HEBY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46292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öst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44810</v>
      </c>
      <c r="E311" s="1" t="n">
        <v>46292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46292</v>
      </c>
      <c r="F312" t="inlineStr">
        <is>
          <t>UPPSALA LÄN</t>
        </is>
      </c>
      <c r="G312" t="inlineStr">
        <is>
          <t>HEBY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46292</v>
      </c>
      <c r="F313" t="inlineStr">
        <is>
          <t>UPPSALA LÄN</t>
        </is>
      </c>
      <c r="G313" t="inlineStr">
        <is>
          <t>HEBY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44754</v>
      </c>
      <c r="E314" s="1" t="n">
        <v>46292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öst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45132</v>
      </c>
      <c r="E315" s="1" t="n">
        <v>46292</v>
      </c>
      <c r="F315" t="inlineStr">
        <is>
          <t>UPPSALA LÄN</t>
        </is>
      </c>
      <c r="G315" t="inlineStr">
        <is>
          <t>HEBY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46292</v>
      </c>
      <c r="F316" t="inlineStr">
        <is>
          <t>UPPSALA LÄN</t>
        </is>
      </c>
      <c r="G316" t="inlineStr">
        <is>
          <t>HEBY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44694</v>
      </c>
      <c r="E317" s="1" t="n">
        <v>46292</v>
      </c>
      <c r="F317" t="inlineStr">
        <is>
          <t>UPPSALA LÄN</t>
        </is>
      </c>
      <c r="G317" t="inlineStr">
        <is>
          <t>HEBY</t>
        </is>
      </c>
      <c r="I317" t="n">
        <v>22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45132</v>
      </c>
      <c r="E318" s="1" t="n">
        <v>46292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46292</v>
      </c>
      <c r="F319" t="inlineStr">
        <is>
          <t>UPPSALA LÄN</t>
        </is>
      </c>
      <c r="G319" t="inlineStr">
        <is>
          <t>HEBY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45317</v>
      </c>
      <c r="E320" s="1" t="n">
        <v>46292</v>
      </c>
      <c r="F320" t="inlineStr">
        <is>
          <t>UPPSALA LÄN</t>
        </is>
      </c>
      <c r="G320" t="inlineStr">
        <is>
          <t>HEBY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47890-2025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46292</v>
      </c>
      <c r="F321" t="inlineStr">
        <is>
          <t>UPPSALA LÄN</t>
        </is>
      </c>
      <c r="G321" t="inlineStr">
        <is>
          <t>HEBY</t>
        </is>
      </c>
      <c r="H321" t="inlineStr">
        <is>
          <t>Allmännings- och besparingsskogar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46292</v>
      </c>
      <c r="F322" t="inlineStr">
        <is>
          <t>UPPSALA LÄN</t>
        </is>
      </c>
      <c r="G322" t="inlineStr">
        <is>
          <t>HEBY</t>
        </is>
      </c>
      <c r="H322" t="inlineStr">
        <is>
          <t>Övriga Aktiebolag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46292</v>
      </c>
      <c r="F323" t="inlineStr">
        <is>
          <t>UPPSALA LÄN</t>
        </is>
      </c>
      <c r="G323" t="inlineStr">
        <is>
          <t>HEBY</t>
        </is>
      </c>
      <c r="H323" t="inlineStr">
        <is>
          <t>Övriga Aktiebolag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46292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46292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46292</v>
      </c>
      <c r="F326" t="inlineStr">
        <is>
          <t>UPPSALA LÄN</t>
        </is>
      </c>
      <c r="G326" t="inlineStr">
        <is>
          <t>HEBY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46292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46292</v>
      </c>
      <c r="F328" t="inlineStr">
        <is>
          <t>UPPSALA LÄN</t>
        </is>
      </c>
      <c r="G328" t="inlineStr">
        <is>
          <t>HEBY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62042-2025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46005</v>
      </c>
      <c r="E329" s="1" t="n">
        <v>46292</v>
      </c>
      <c r="F329" t="inlineStr">
        <is>
          <t>UPPSALA LÄN</t>
        </is>
      </c>
      <c r="G329" t="inlineStr">
        <is>
          <t>HEBY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46292</v>
      </c>
      <c r="F330" t="inlineStr">
        <is>
          <t>UPPSALA LÄN</t>
        </is>
      </c>
      <c r="G330" t="inlineStr">
        <is>
          <t>HEBY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46292</v>
      </c>
      <c r="F331" t="inlineStr">
        <is>
          <t>UPPSALA LÄN</t>
        </is>
      </c>
      <c r="G331" t="inlineStr">
        <is>
          <t>HEBY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46292</v>
      </c>
      <c r="F332" t="inlineStr">
        <is>
          <t>UPPSALA LÄN</t>
        </is>
      </c>
      <c r="G332" t="inlineStr">
        <is>
          <t>HEBY</t>
        </is>
      </c>
      <c r="H332" t="inlineStr">
        <is>
          <t>Kyrkan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46292</v>
      </c>
      <c r="F333" t="inlineStr">
        <is>
          <t>UPPSALA LÄN</t>
        </is>
      </c>
      <c r="G333" t="inlineStr">
        <is>
          <t>HEBY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46292</v>
      </c>
      <c r="F334" t="inlineStr">
        <is>
          <t>UPPSALA LÄN</t>
        </is>
      </c>
      <c r="G334" t="inlineStr">
        <is>
          <t>HEBY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46292</v>
      </c>
      <c r="F335" t="inlineStr">
        <is>
          <t>UPPSALA LÄN</t>
        </is>
      </c>
      <c r="G335" t="inlineStr">
        <is>
          <t>HEBY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46292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45932</v>
      </c>
      <c r="E337" s="1" t="n">
        <v>46292</v>
      </c>
      <c r="F337" t="inlineStr">
        <is>
          <t>UPPSALA LÄN</t>
        </is>
      </c>
      <c r="G337" t="inlineStr">
        <is>
          <t>HEBY</t>
        </is>
      </c>
      <c r="H337" t="inlineStr">
        <is>
          <t>Allmännings- och besparingsskogar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46292</v>
      </c>
      <c r="F338" t="inlineStr">
        <is>
          <t>UPPSALA LÄN</t>
        </is>
      </c>
      <c r="G338" t="inlineStr">
        <is>
          <t>HEBY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45743</v>
      </c>
      <c r="E339" s="1" t="n">
        <v>46292</v>
      </c>
      <c r="F339" t="inlineStr">
        <is>
          <t>UPPSALA LÄN</t>
        </is>
      </c>
      <c r="G339" t="inlineStr">
        <is>
          <t>HEBY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45884</v>
      </c>
      <c r="E340" s="1" t="n">
        <v>46292</v>
      </c>
      <c r="F340" t="inlineStr">
        <is>
          <t>UPPSALA LÄN</t>
        </is>
      </c>
      <c r="G340" t="inlineStr">
        <is>
          <t>HEBY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46292</v>
      </c>
      <c r="F341" t="inlineStr">
        <is>
          <t>UPPSALA LÄN</t>
        </is>
      </c>
      <c r="G341" t="inlineStr">
        <is>
          <t>HEBY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45218</v>
      </c>
      <c r="E342" s="1" t="n">
        <v>46292</v>
      </c>
      <c r="F342" t="inlineStr">
        <is>
          <t>UPPSALA LÄN</t>
        </is>
      </c>
      <c r="G342" t="inlineStr">
        <is>
          <t>HEBY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51091-2023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45218</v>
      </c>
      <c r="E343" s="1" t="n">
        <v>46292</v>
      </c>
      <c r="F343" t="inlineStr">
        <is>
          <t>UPPSALA LÄN</t>
        </is>
      </c>
      <c r="G343" t="inlineStr">
        <is>
          <t>HEBY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46292</v>
      </c>
      <c r="F344" t="inlineStr">
        <is>
          <t>UPPSALA LÄN</t>
        </is>
      </c>
      <c r="G344" t="inlineStr">
        <is>
          <t>HEBY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46292</v>
      </c>
      <c r="F345" t="inlineStr">
        <is>
          <t>UPPSALA LÄN</t>
        </is>
      </c>
      <c r="G345" t="inlineStr">
        <is>
          <t>HEBY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46292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46292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45216</v>
      </c>
      <c r="E348" s="1" t="n">
        <v>46292</v>
      </c>
      <c r="F348" t="inlineStr">
        <is>
          <t>UPPSALA LÄN</t>
        </is>
      </c>
      <c r="G348" t="inlineStr">
        <is>
          <t>HEBY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46292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46292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18144-2022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44684</v>
      </c>
      <c r="E351" s="1" t="n">
        <v>46292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26100-2025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45805</v>
      </c>
      <c r="E352" s="1" t="n">
        <v>46292</v>
      </c>
      <c r="F352" t="inlineStr">
        <is>
          <t>UPPSALA LÄN</t>
        </is>
      </c>
      <c r="G352" t="inlineStr">
        <is>
          <t>HEBY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44939</v>
      </c>
      <c r="E353" s="1" t="n">
        <v>46292</v>
      </c>
      <c r="F353" t="inlineStr">
        <is>
          <t>UPPSALA LÄN</t>
        </is>
      </c>
      <c r="G353" t="inlineStr">
        <is>
          <t>HEBY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46292</v>
      </c>
      <c r="F354" t="inlineStr">
        <is>
          <t>UPPSALA LÄN</t>
        </is>
      </c>
      <c r="G354" t="inlineStr">
        <is>
          <t>HEBY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30418-2025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46292</v>
      </c>
      <c r="F355" t="inlineStr">
        <is>
          <t>UPPSALA LÄN</t>
        </is>
      </c>
      <c r="G355" t="inlineStr">
        <is>
          <t>HEBY</t>
        </is>
      </c>
      <c r="H355" t="inlineStr">
        <is>
          <t>Övriga Aktiebolag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45827</v>
      </c>
      <c r="E356" s="1" t="n">
        <v>46292</v>
      </c>
      <c r="F356" t="inlineStr">
        <is>
          <t>UPPSALA LÄN</t>
        </is>
      </c>
      <c r="G356" t="inlineStr">
        <is>
          <t>HEBY</t>
        </is>
      </c>
      <c r="H356" t="inlineStr">
        <is>
          <t>Övriga Aktiebolag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46292</v>
      </c>
      <c r="F357" t="inlineStr">
        <is>
          <t>UPPSALA LÄN</t>
        </is>
      </c>
      <c r="G357" t="inlineStr">
        <is>
          <t>HEBY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70976-2021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44538</v>
      </c>
      <c r="E358" s="1" t="n">
        <v>46292</v>
      </c>
      <c r="F358" t="inlineStr">
        <is>
          <t>UPPSALA LÄN</t>
        </is>
      </c>
      <c r="G358" t="inlineStr">
        <is>
          <t>HEBY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46292</v>
      </c>
      <c r="F359" t="inlineStr">
        <is>
          <t>UPPSALA LÄN</t>
        </is>
      </c>
      <c r="G359" t="inlineStr">
        <is>
          <t>HEBY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45670</v>
      </c>
      <c r="E360" s="1" t="n">
        <v>46292</v>
      </c>
      <c r="F360" t="inlineStr">
        <is>
          <t>UPPSALA LÄN</t>
        </is>
      </c>
      <c r="G360" t="inlineStr">
        <is>
          <t>HEBY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46149</v>
      </c>
      <c r="E361" s="1" t="n">
        <v>46292</v>
      </c>
      <c r="F361" t="inlineStr">
        <is>
          <t>UPPSALA LÄN</t>
        </is>
      </c>
      <c r="G361" t="inlineStr">
        <is>
          <t>HEBY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44944</v>
      </c>
      <c r="E362" s="1" t="n">
        <v>46292</v>
      </c>
      <c r="F362" t="inlineStr">
        <is>
          <t>UPPSALA LÄN</t>
        </is>
      </c>
      <c r="G362" t="inlineStr">
        <is>
          <t>HEBY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46292</v>
      </c>
      <c r="F363" t="inlineStr">
        <is>
          <t>UPPSALA LÄN</t>
        </is>
      </c>
      <c r="G363" t="inlineStr">
        <is>
          <t>HEBY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46292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50859-2022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44862</v>
      </c>
      <c r="E365" s="1" t="n">
        <v>46292</v>
      </c>
      <c r="F365" t="inlineStr">
        <is>
          <t>UPPSALA LÄN</t>
        </is>
      </c>
      <c r="G365" t="inlineStr">
        <is>
          <t>HEBY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44568</v>
      </c>
      <c r="E366" s="1" t="n">
        <v>46292</v>
      </c>
      <c r="F366" t="inlineStr">
        <is>
          <t>UPPSALA LÄN</t>
        </is>
      </c>
      <c r="G366" t="inlineStr">
        <is>
          <t>HEBY</t>
        </is>
      </c>
      <c r="I366" t="n">
        <v>10.6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45805</v>
      </c>
      <c r="E367" s="1" t="n">
        <v>46292</v>
      </c>
      <c r="F367" t="inlineStr">
        <is>
          <t>UPPSALA LÄN</t>
        </is>
      </c>
      <c r="G367" t="inlineStr">
        <is>
          <t>HEBY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46292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43.4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45770</v>
      </c>
      <c r="E369" s="1" t="n">
        <v>46292</v>
      </c>
      <c r="F369" t="inlineStr">
        <is>
          <t>UPPSALA LÄN</t>
        </is>
      </c>
      <c r="G369" t="inlineStr">
        <is>
          <t>HEBY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46292</v>
      </c>
      <c r="F370" t="inlineStr">
        <is>
          <t>UPPSALA LÄN</t>
        </is>
      </c>
      <c r="G370" t="inlineStr">
        <is>
          <t>HEBY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46292</v>
      </c>
      <c r="F371" t="inlineStr">
        <is>
          <t>UPPSALA LÄN</t>
        </is>
      </c>
      <c r="G371" t="inlineStr">
        <is>
          <t>HEBY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46292</v>
      </c>
      <c r="F372" t="inlineStr">
        <is>
          <t>UPPSALA LÄN</t>
        </is>
      </c>
      <c r="G372" t="inlineStr">
        <is>
          <t>HEBY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45090</v>
      </c>
      <c r="E373" s="1" t="n">
        <v>46292</v>
      </c>
      <c r="F373" t="inlineStr">
        <is>
          <t>UPPSALA LÄN</t>
        </is>
      </c>
      <c r="G373" t="inlineStr">
        <is>
          <t>HEBY</t>
        </is>
      </c>
      <c r="H373" t="inlineStr">
        <is>
          <t>Övriga Aktiebolag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46292</v>
      </c>
      <c r="F374" t="inlineStr">
        <is>
          <t>UPPSALA LÄN</t>
        </is>
      </c>
      <c r="G374" t="inlineStr">
        <is>
          <t>HEBY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66055-2021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44517</v>
      </c>
      <c r="E375" s="1" t="n">
        <v>46292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öst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46292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46292</v>
      </c>
      <c r="F377" t="inlineStr">
        <is>
          <t>UPPSALA LÄN</t>
        </is>
      </c>
      <c r="G377" t="inlineStr">
        <is>
          <t>HEBY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72180-2021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46292</v>
      </c>
      <c r="F378" t="inlineStr">
        <is>
          <t>UPPSALA LÄN</t>
        </is>
      </c>
      <c r="G378" t="inlineStr">
        <is>
          <t>HEBY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46292</v>
      </c>
      <c r="F379" t="inlineStr">
        <is>
          <t>UPPSALA LÄN</t>
        </is>
      </c>
      <c r="G379" t="inlineStr">
        <is>
          <t>HEBY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46292</v>
      </c>
      <c r="F380" t="inlineStr">
        <is>
          <t>UPPSALA LÄN</t>
        </is>
      </c>
      <c r="G380" t="inlineStr">
        <is>
          <t>HEBY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46292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46292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35.2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46292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46292</v>
      </c>
      <c r="F384" t="inlineStr">
        <is>
          <t>UPPSALA LÄN</t>
        </is>
      </c>
      <c r="G384" t="inlineStr">
        <is>
          <t>HEBY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45117</v>
      </c>
      <c r="E385" s="1" t="n">
        <v>46292</v>
      </c>
      <c r="F385" t="inlineStr">
        <is>
          <t>UPPSALA LÄN</t>
        </is>
      </c>
      <c r="G385" t="inlineStr">
        <is>
          <t>HEBY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45117</v>
      </c>
      <c r="E386" s="1" t="n">
        <v>46292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46292</v>
      </c>
      <c r="F387" t="inlineStr">
        <is>
          <t>UPPSALA LÄN</t>
        </is>
      </c>
      <c r="G387" t="inlineStr">
        <is>
          <t>HEBY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46292</v>
      </c>
      <c r="F388" t="inlineStr">
        <is>
          <t>UPPSALA LÄN</t>
        </is>
      </c>
      <c r="G388" t="inlineStr">
        <is>
          <t>HEBY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45852</v>
      </c>
      <c r="E389" s="1" t="n">
        <v>46292</v>
      </c>
      <c r="F389" t="inlineStr">
        <is>
          <t>UPPSALA LÄN</t>
        </is>
      </c>
      <c r="G389" t="inlineStr">
        <is>
          <t>HEBY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45852</v>
      </c>
      <c r="E390" s="1" t="n">
        <v>46292</v>
      </c>
      <c r="F390" t="inlineStr">
        <is>
          <t>UPPSALA LÄN</t>
        </is>
      </c>
      <c r="G390" t="inlineStr">
        <is>
          <t>HEBY</t>
        </is>
      </c>
      <c r="H390" t="inlineStr">
        <is>
          <t>Kyrkan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45317</v>
      </c>
      <c r="E391" s="1" t="n">
        <v>46292</v>
      </c>
      <c r="F391" t="inlineStr">
        <is>
          <t>UPPSALA LÄN</t>
        </is>
      </c>
      <c r="G391" t="inlineStr">
        <is>
          <t>HEBY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46292</v>
      </c>
      <c r="F392" t="inlineStr">
        <is>
          <t>UPPSALA LÄN</t>
        </is>
      </c>
      <c r="G392" t="inlineStr">
        <is>
          <t>HEBY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73622-2021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44552</v>
      </c>
      <c r="E393" s="1" t="n">
        <v>46292</v>
      </c>
      <c r="F393" t="inlineStr">
        <is>
          <t>UPPSALA LÄN</t>
        </is>
      </c>
      <c r="G393" t="inlineStr">
        <is>
          <t>HEBY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46292</v>
      </c>
      <c r="F394" t="inlineStr">
        <is>
          <t>UPPSALA LÄN</t>
        </is>
      </c>
      <c r="G394" t="inlineStr">
        <is>
          <t>HEBY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46292</v>
      </c>
      <c r="F395" t="inlineStr">
        <is>
          <t>UPPSALA LÄN</t>
        </is>
      </c>
      <c r="G395" t="inlineStr">
        <is>
          <t>HEBY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45967</v>
      </c>
      <c r="E396" s="1" t="n">
        <v>46292</v>
      </c>
      <c r="F396" t="inlineStr">
        <is>
          <t>UPPSALA LÄN</t>
        </is>
      </c>
      <c r="G396" t="inlineStr">
        <is>
          <t>HEBY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45006</v>
      </c>
      <c r="E397" s="1" t="n">
        <v>46292</v>
      </c>
      <c r="F397" t="inlineStr">
        <is>
          <t>UPPSALA LÄN</t>
        </is>
      </c>
      <c r="G397" t="inlineStr">
        <is>
          <t>HEBY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46292</v>
      </c>
      <c r="F398" t="inlineStr">
        <is>
          <t>UPPSALA LÄN</t>
        </is>
      </c>
      <c r="G398" t="inlineStr">
        <is>
          <t>HEBY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46292</v>
      </c>
      <c r="F399" t="inlineStr">
        <is>
          <t>UPPSALA LÄN</t>
        </is>
      </c>
      <c r="G399" t="inlineStr">
        <is>
          <t>HEBY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45029</v>
      </c>
      <c r="E400" s="1" t="n">
        <v>46292</v>
      </c>
      <c r="F400" t="inlineStr">
        <is>
          <t>UPPSALA LÄN</t>
        </is>
      </c>
      <c r="G400" t="inlineStr">
        <is>
          <t>HEBY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44568</v>
      </c>
      <c r="E401" s="1" t="n">
        <v>46292</v>
      </c>
      <c r="F401" t="inlineStr">
        <is>
          <t>UPPSALA LÄN</t>
        </is>
      </c>
      <c r="G401" t="inlineStr">
        <is>
          <t>HEBY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45098</v>
      </c>
      <c r="E402" s="1" t="n">
        <v>46292</v>
      </c>
      <c r="F402" t="inlineStr">
        <is>
          <t>UPPSALA LÄN</t>
        </is>
      </c>
      <c r="G402" t="inlineStr">
        <is>
          <t>HEBY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44974</v>
      </c>
      <c r="E403" s="1" t="n">
        <v>46292</v>
      </c>
      <c r="F403" t="inlineStr">
        <is>
          <t>UPPSALA LÄN</t>
        </is>
      </c>
      <c r="G403" t="inlineStr">
        <is>
          <t>HEBY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45532</v>
      </c>
      <c r="E404" s="1" t="n">
        <v>46292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46292</v>
      </c>
      <c r="F405" t="inlineStr">
        <is>
          <t>UPPSALA LÄN</t>
        </is>
      </c>
      <c r="G405" t="inlineStr">
        <is>
          <t>HEBY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46292</v>
      </c>
      <c r="F406" t="inlineStr">
        <is>
          <t>UPPSALA LÄN</t>
        </is>
      </c>
      <c r="G406" t="inlineStr">
        <is>
          <t>HEBY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46292</v>
      </c>
      <c r="F407" t="inlineStr">
        <is>
          <t>UPPSALA LÄN</t>
        </is>
      </c>
      <c r="G407" t="inlineStr">
        <is>
          <t>HEBY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45726</v>
      </c>
      <c r="E408" s="1" t="n">
        <v>46292</v>
      </c>
      <c r="F408" t="inlineStr">
        <is>
          <t>UPPSALA LÄN</t>
        </is>
      </c>
      <c r="G408" t="inlineStr">
        <is>
          <t>HEBY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46292</v>
      </c>
      <c r="F409" t="inlineStr">
        <is>
          <t>UPPSALA LÄN</t>
        </is>
      </c>
      <c r="G409" t="inlineStr">
        <is>
          <t>HEBY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44993</v>
      </c>
      <c r="E410" s="1" t="n">
        <v>46292</v>
      </c>
      <c r="F410" t="inlineStr">
        <is>
          <t>UPPSALA LÄN</t>
        </is>
      </c>
      <c r="G410" t="inlineStr">
        <is>
          <t>HEBY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45511</v>
      </c>
      <c r="E411" s="1" t="n">
        <v>46292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64364-2021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44511</v>
      </c>
      <c r="E412" s="1" t="n">
        <v>46292</v>
      </c>
      <c r="F412" t="inlineStr">
        <is>
          <t>UPPSALA LÄN</t>
        </is>
      </c>
      <c r="G412" t="inlineStr">
        <is>
          <t>HEBY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46292</v>
      </c>
      <c r="F413" t="inlineStr">
        <is>
          <t>UPPSALA LÄN</t>
        </is>
      </c>
      <c r="G413" t="inlineStr">
        <is>
          <t>HEBY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46292</v>
      </c>
      <c r="F414" t="inlineStr">
        <is>
          <t>UPPSALA LÄN</t>
        </is>
      </c>
      <c r="G414" t="inlineStr">
        <is>
          <t>HEBY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44620</v>
      </c>
      <c r="E415" s="1" t="n">
        <v>46292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46292</v>
      </c>
      <c r="F416" t="inlineStr">
        <is>
          <t>UPPSALA LÄN</t>
        </is>
      </c>
      <c r="G416" t="inlineStr">
        <is>
          <t>HEBY</t>
        </is>
      </c>
      <c r="I416" t="n">
        <v>11.2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8660-2022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44613</v>
      </c>
      <c r="E417" s="1" t="n">
        <v>46292</v>
      </c>
      <c r="F417" t="inlineStr">
        <is>
          <t>UPPSALA LÄN</t>
        </is>
      </c>
      <c r="G417" t="inlineStr">
        <is>
          <t>HEBY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46292</v>
      </c>
      <c r="F418" t="inlineStr">
        <is>
          <t>UPPSALA LÄN</t>
        </is>
      </c>
      <c r="G418" t="inlineStr">
        <is>
          <t>HEBY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74215-2021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44558</v>
      </c>
      <c r="E419" s="1" t="n">
        <v>46292</v>
      </c>
      <c r="F419" t="inlineStr">
        <is>
          <t>UPPSALA LÄN</t>
        </is>
      </c>
      <c r="G419" t="inlineStr">
        <is>
          <t>HEBY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46292</v>
      </c>
      <c r="F420" t="inlineStr">
        <is>
          <t>UPPSALA LÄN</t>
        </is>
      </c>
      <c r="G420" t="inlineStr">
        <is>
          <t>HEBY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40926-2023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46292</v>
      </c>
      <c r="F421" t="inlineStr">
        <is>
          <t>UPPSALA LÄN</t>
        </is>
      </c>
      <c r="G421" t="inlineStr">
        <is>
          <t>HEBY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45008</v>
      </c>
      <c r="E422" s="1" t="n">
        <v>46292</v>
      </c>
      <c r="F422" t="inlineStr">
        <is>
          <t>UPPSALA LÄN</t>
        </is>
      </c>
      <c r="G422" t="inlineStr">
        <is>
          <t>HEBY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46292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45547</v>
      </c>
      <c r="E424" s="1" t="n">
        <v>46292</v>
      </c>
      <c r="F424" t="inlineStr">
        <is>
          <t>UPPSALA LÄN</t>
        </is>
      </c>
      <c r="G424" t="inlineStr">
        <is>
          <t>HEBY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46292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46.8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46292</v>
      </c>
      <c r="F426" t="inlineStr">
        <is>
          <t>UPPSALA LÄN</t>
        </is>
      </c>
      <c r="G426" t="inlineStr">
        <is>
          <t>HEBY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46292</v>
      </c>
      <c r="F427" t="inlineStr">
        <is>
          <t>UPPSALA LÄN</t>
        </is>
      </c>
      <c r="G427" t="inlineStr">
        <is>
          <t>HEBY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45337</v>
      </c>
      <c r="E428" s="1" t="n">
        <v>46292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45181</v>
      </c>
      <c r="E429" s="1" t="n">
        <v>46292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45599</v>
      </c>
      <c r="E430" s="1" t="n">
        <v>46292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45103</v>
      </c>
      <c r="E431" s="1" t="n">
        <v>46292</v>
      </c>
      <c r="F431" t="inlineStr">
        <is>
          <t>UPPSALA LÄN</t>
        </is>
      </c>
      <c r="G431" t="inlineStr">
        <is>
          <t>HEBY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46292</v>
      </c>
      <c r="F432" t="inlineStr">
        <is>
          <t>UPPSALA LÄN</t>
        </is>
      </c>
      <c r="G432" t="inlineStr">
        <is>
          <t>HEBY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45777</v>
      </c>
      <c r="E433" s="1" t="n">
        <v>46292</v>
      </c>
      <c r="F433" t="inlineStr">
        <is>
          <t>UPPSALA LÄN</t>
        </is>
      </c>
      <c r="G433" t="inlineStr">
        <is>
          <t>HEBY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46292</v>
      </c>
      <c r="F434" t="inlineStr">
        <is>
          <t>UPPSALA LÄN</t>
        </is>
      </c>
      <c r="G434" t="inlineStr">
        <is>
          <t>HEBY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45884</v>
      </c>
      <c r="E435" s="1" t="n">
        <v>46292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45883</v>
      </c>
      <c r="E436" s="1" t="n">
        <v>46292</v>
      </c>
      <c r="F436" t="inlineStr">
        <is>
          <t>UPPSALA LÄN</t>
        </is>
      </c>
      <c r="G436" t="inlineStr">
        <is>
          <t>HEBY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46292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45674</v>
      </c>
      <c r="E438" s="1" t="n">
        <v>46292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44802</v>
      </c>
      <c r="E439" s="1" t="n">
        <v>46292</v>
      </c>
      <c r="F439" t="inlineStr">
        <is>
          <t>UPPSALA LÄN</t>
        </is>
      </c>
      <c r="G439" t="inlineStr">
        <is>
          <t>HEBY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35875-2022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44802</v>
      </c>
      <c r="E440" s="1" t="n">
        <v>46292</v>
      </c>
      <c r="F440" t="inlineStr">
        <is>
          <t>UPPSALA LÄN</t>
        </is>
      </c>
      <c r="G440" t="inlineStr">
        <is>
          <t>HEBY</t>
        </is>
      </c>
      <c r="I440" t="n">
        <v>12.1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46292</v>
      </c>
      <c r="F441" t="inlineStr">
        <is>
          <t>UPPSALA LÄN</t>
        </is>
      </c>
      <c r="G441" t="inlineStr">
        <is>
          <t>HEBY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46292</v>
      </c>
      <c r="F442" t="inlineStr">
        <is>
          <t>UPPSALA LÄN</t>
        </is>
      </c>
      <c r="G442" t="inlineStr">
        <is>
          <t>HEBY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46292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33943-2026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46292</v>
      </c>
      <c r="F444" t="inlineStr">
        <is>
          <t>UPPSALA LÄN</t>
        </is>
      </c>
      <c r="G444" t="inlineStr">
        <is>
          <t>HEBY</t>
        </is>
      </c>
      <c r="H444" t="inlineStr">
        <is>
          <t>Kyrkan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44623</v>
      </c>
      <c r="E445" s="1" t="n">
        <v>46292</v>
      </c>
      <c r="F445" t="inlineStr">
        <is>
          <t>UPPSALA LÄN</t>
        </is>
      </c>
      <c r="G445" t="inlineStr">
        <is>
          <t>HEBY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19718-2023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45050</v>
      </c>
      <c r="E446" s="1" t="n">
        <v>46292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44609</v>
      </c>
      <c r="E447" s="1" t="n">
        <v>46292</v>
      </c>
      <c r="F447" t="inlineStr">
        <is>
          <t>UPPSALA LÄN</t>
        </is>
      </c>
      <c r="G447" t="inlineStr">
        <is>
          <t>HEBY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46292</v>
      </c>
      <c r="F448" t="inlineStr">
        <is>
          <t>UPPSALA LÄN</t>
        </is>
      </c>
      <c r="G448" t="inlineStr">
        <is>
          <t>HEBY</t>
        </is>
      </c>
      <c r="H448" t="inlineStr">
        <is>
          <t>Allmännings- och besparingsskogar</t>
        </is>
      </c>
      <c r="I448" t="n">
        <v>10.4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46292</v>
      </c>
      <c r="F449" t="inlineStr">
        <is>
          <t>UPPSALA LÄN</t>
        </is>
      </c>
      <c r="G449" t="inlineStr">
        <is>
          <t>HEBY</t>
        </is>
      </c>
      <c r="H449" t="inlineStr">
        <is>
          <t>Kyrkan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45195</v>
      </c>
      <c r="E450" s="1" t="n">
        <v>46292</v>
      </c>
      <c r="F450" t="inlineStr">
        <is>
          <t>UPPSALA LÄN</t>
        </is>
      </c>
      <c r="G450" t="inlineStr">
        <is>
          <t>HEBY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46292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46292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46292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45195</v>
      </c>
      <c r="E454" s="1" t="n">
        <v>46292</v>
      </c>
      <c r="F454" t="inlineStr">
        <is>
          <t>UPPSALA LÄN</t>
        </is>
      </c>
      <c r="G454" t="inlineStr">
        <is>
          <t>HEBY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45133</v>
      </c>
      <c r="E455" s="1" t="n">
        <v>46292</v>
      </c>
      <c r="F455" t="inlineStr">
        <is>
          <t>UPPSALA LÄN</t>
        </is>
      </c>
      <c r="G455" t="inlineStr">
        <is>
          <t>HEBY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44697</v>
      </c>
      <c r="E456" s="1" t="n">
        <v>46292</v>
      </c>
      <c r="F456" t="inlineStr">
        <is>
          <t>UPPSALA LÄN</t>
        </is>
      </c>
      <c r="G456" t="inlineStr">
        <is>
          <t>HEBY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45009-2022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44841</v>
      </c>
      <c r="E457" s="1" t="n">
        <v>46292</v>
      </c>
      <c r="F457" t="inlineStr">
        <is>
          <t>UPPSALA LÄN</t>
        </is>
      </c>
      <c r="G457" t="inlineStr">
        <is>
          <t>HEBY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46292</v>
      </c>
      <c r="F458" t="inlineStr">
        <is>
          <t>UPPSALA LÄN</t>
        </is>
      </c>
      <c r="G458" t="inlineStr">
        <is>
          <t>HEBY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34579-2026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46255</v>
      </c>
      <c r="E459" s="1" t="n">
        <v>46292</v>
      </c>
      <c r="F459" t="inlineStr">
        <is>
          <t>UPPSALA LÄN</t>
        </is>
      </c>
      <c r="G459" t="inlineStr">
        <is>
          <t>HEBY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46292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46292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46255</v>
      </c>
      <c r="E462" s="1" t="n">
        <v>46292</v>
      </c>
      <c r="F462" t="inlineStr">
        <is>
          <t>UPPSALA LÄN</t>
        </is>
      </c>
      <c r="G462" t="inlineStr">
        <is>
          <t>HEBY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34593-2023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45138</v>
      </c>
      <c r="E463" s="1" t="n">
        <v>46292</v>
      </c>
      <c r="F463" t="inlineStr">
        <is>
          <t>UPPSALA LÄN</t>
        </is>
      </c>
      <c r="G463" t="inlineStr">
        <is>
          <t>HEBY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34547-2026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46255</v>
      </c>
      <c r="E464" s="1" t="n">
        <v>46292</v>
      </c>
      <c r="F464" t="inlineStr">
        <is>
          <t>UPPSALA LÄN</t>
        </is>
      </c>
      <c r="G464" t="inlineStr">
        <is>
          <t>HEBY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46292</v>
      </c>
      <c r="F465" t="inlineStr">
        <is>
          <t>UPPSALA LÄN</t>
        </is>
      </c>
      <c r="G465" t="inlineStr">
        <is>
          <t>HEBY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46258</v>
      </c>
      <c r="E466" s="1" t="n">
        <v>46292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46292</v>
      </c>
      <c r="F467" t="inlineStr">
        <is>
          <t>UPPSALA LÄN</t>
        </is>
      </c>
      <c r="G467" t="inlineStr">
        <is>
          <t>HEBY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19654-2022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44694</v>
      </c>
      <c r="E468" s="1" t="n">
        <v>46292</v>
      </c>
      <c r="F468" t="inlineStr">
        <is>
          <t>UPPSALA LÄN</t>
        </is>
      </c>
      <c r="G468" t="inlineStr">
        <is>
          <t>HEBY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34270-2026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46292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46292</v>
      </c>
      <c r="F470" t="inlineStr">
        <is>
          <t>UPPSALA LÄN</t>
        </is>
      </c>
      <c r="G470" t="inlineStr">
        <is>
          <t>HEBY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44788</v>
      </c>
      <c r="E471" s="1" t="n">
        <v>46292</v>
      </c>
      <c r="F471" t="inlineStr">
        <is>
          <t>UPPSALA LÄN</t>
        </is>
      </c>
      <c r="G471" t="inlineStr">
        <is>
          <t>HEBY</t>
        </is>
      </c>
      <c r="I471" t="n">
        <v>18.8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56623-2023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46292</v>
      </c>
      <c r="F472" t="inlineStr">
        <is>
          <t>UPPSALA LÄN</t>
        </is>
      </c>
      <c r="G472" t="inlineStr">
        <is>
          <t>HEBY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46292</v>
      </c>
      <c r="F473" t="inlineStr">
        <is>
          <t>UPPSALA LÄN</t>
        </is>
      </c>
      <c r="G473" t="inlineStr">
        <is>
          <t>HEBY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46292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44752</v>
      </c>
      <c r="E475" s="1" t="n">
        <v>46292</v>
      </c>
      <c r="F475" t="inlineStr">
        <is>
          <t>UPPSALA LÄN</t>
        </is>
      </c>
      <c r="G475" t="inlineStr">
        <is>
          <t>HEBY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46220</v>
      </c>
      <c r="E476" s="1" t="n">
        <v>46292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55.9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46292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34146-2022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44791</v>
      </c>
      <c r="E478" s="1" t="n">
        <v>46292</v>
      </c>
      <c r="F478" t="inlineStr">
        <is>
          <t>UPPSALA LÄN</t>
        </is>
      </c>
      <c r="G478" t="inlineStr">
        <is>
          <t>HEBY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42731-2023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46292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25997-2022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44734</v>
      </c>
      <c r="E480" s="1" t="n">
        <v>46292</v>
      </c>
      <c r="F480" t="inlineStr">
        <is>
          <t>UPPSALA LÄN</t>
        </is>
      </c>
      <c r="G480" t="inlineStr">
        <is>
          <t>HEBY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31560-2026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46223</v>
      </c>
      <c r="E481" s="1" t="n">
        <v>46292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46292</v>
      </c>
      <c r="F482" t="inlineStr">
        <is>
          <t>UPPSALA LÄN</t>
        </is>
      </c>
      <c r="G482" t="inlineStr">
        <is>
          <t>HEBY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46223</v>
      </c>
      <c r="E483" s="1" t="n">
        <v>46292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46224</v>
      </c>
      <c r="E484" s="1" t="n">
        <v>46292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3368-2024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45317</v>
      </c>
      <c r="E485" s="1" t="n">
        <v>46292</v>
      </c>
      <c r="F485" t="inlineStr">
        <is>
          <t>UPPSALA LÄN</t>
        </is>
      </c>
      <c r="G485" t="inlineStr">
        <is>
          <t>HEBY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44734</v>
      </c>
      <c r="E486" s="1" t="n">
        <v>46292</v>
      </c>
      <c r="F486" t="inlineStr">
        <is>
          <t>UPPSALA LÄN</t>
        </is>
      </c>
      <c r="G486" t="inlineStr">
        <is>
          <t>HEBY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36359-2026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46268</v>
      </c>
      <c r="E487" s="1" t="n">
        <v>46292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46268</v>
      </c>
      <c r="E488" s="1" t="n">
        <v>46292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29396-2022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44753</v>
      </c>
      <c r="E489" s="1" t="n">
        <v>46292</v>
      </c>
      <c r="F489" t="inlineStr">
        <is>
          <t>UPPSALA LÄN</t>
        </is>
      </c>
      <c r="G489" t="inlineStr">
        <is>
          <t>HEBY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46272</v>
      </c>
      <c r="E490" s="1" t="n">
        <v>46292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46272</v>
      </c>
      <c r="E491" s="1" t="n">
        <v>46292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46292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46292</v>
      </c>
      <c r="F493" t="inlineStr">
        <is>
          <t>UPPSALA LÄN</t>
        </is>
      </c>
      <c r="G493" t="inlineStr">
        <is>
          <t>HEBY</t>
        </is>
      </c>
      <c r="I493" t="n">
        <v>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46231</v>
      </c>
      <c r="E494" s="1" t="n">
        <v>46292</v>
      </c>
      <c r="F494" t="inlineStr">
        <is>
          <t>UPPSALA LÄN</t>
        </is>
      </c>
      <c r="G494" t="inlineStr">
        <is>
          <t>HEBY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31888-2026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46231</v>
      </c>
      <c r="E495" s="1" t="n">
        <v>46292</v>
      </c>
      <c r="F495" t="inlineStr">
        <is>
          <t>UPPSALA LÄN</t>
        </is>
      </c>
      <c r="G495" t="inlineStr">
        <is>
          <t>HEBY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46292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46272</v>
      </c>
      <c r="E497" s="1" t="n">
        <v>46292</v>
      </c>
      <c r="F497" t="inlineStr">
        <is>
          <t>UPPSALA LÄN</t>
        </is>
      </c>
      <c r="G497" t="inlineStr">
        <is>
          <t>HEBY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46292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45293</v>
      </c>
      <c r="E499" s="1" t="n">
        <v>46292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46292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44781</v>
      </c>
      <c r="E501" s="1" t="n">
        <v>46292</v>
      </c>
      <c r="F501" t="inlineStr">
        <is>
          <t>UPPSALA LÄN</t>
        </is>
      </c>
      <c r="G501" t="inlineStr">
        <is>
          <t>HEBY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46237</v>
      </c>
      <c r="E502" s="1" t="n">
        <v>46292</v>
      </c>
      <c r="F502" t="inlineStr">
        <is>
          <t>UPPSALA LÄN</t>
        </is>
      </c>
      <c r="G502" t="inlineStr">
        <is>
          <t>HEBY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46292</v>
      </c>
      <c r="F503" t="inlineStr">
        <is>
          <t>UPPSALA LÄN</t>
        </is>
      </c>
      <c r="G503" t="inlineStr">
        <is>
          <t>HEBY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45128</v>
      </c>
      <c r="E504" s="1" t="n">
        <v>46292</v>
      </c>
      <c r="F504" t="inlineStr">
        <is>
          <t>UPPSALA LÄN</t>
        </is>
      </c>
      <c r="G504" t="inlineStr">
        <is>
          <t>HEBY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46280</v>
      </c>
      <c r="E505" s="1" t="n">
        <v>46292</v>
      </c>
      <c r="F505" t="inlineStr">
        <is>
          <t>UPPSALA LÄN</t>
        </is>
      </c>
      <c r="G505" t="inlineStr">
        <is>
          <t>HEBY</t>
        </is>
      </c>
      <c r="H505" t="inlineStr">
        <is>
          <t>Sveaskog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46280</v>
      </c>
      <c r="E506" s="1" t="n">
        <v>46292</v>
      </c>
      <c r="F506" t="inlineStr">
        <is>
          <t>UPPSALA LÄN</t>
        </is>
      </c>
      <c r="G506" t="inlineStr">
        <is>
          <t>HEBY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46237</v>
      </c>
      <c r="E507" s="1" t="n">
        <v>46292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46237</v>
      </c>
      <c r="E508" s="1" t="n">
        <v>46292</v>
      </c>
      <c r="F508" t="inlineStr">
        <is>
          <t>UPPSALA LÄN</t>
        </is>
      </c>
      <c r="G508" t="inlineStr">
        <is>
          <t>HEBY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45197</v>
      </c>
      <c r="E509" s="1" t="n">
        <v>46292</v>
      </c>
      <c r="F509" t="inlineStr">
        <is>
          <t>UPPSALA LÄN</t>
        </is>
      </c>
      <c r="G509" t="inlineStr">
        <is>
          <t>HEBY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46292</v>
      </c>
      <c r="F510" t="inlineStr">
        <is>
          <t>UPPSALA LÄN</t>
        </is>
      </c>
      <c r="G510" t="inlineStr">
        <is>
          <t>HEBY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46278</v>
      </c>
      <c r="E511" s="1" t="n">
        <v>46292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46292</v>
      </c>
      <c r="F512" t="inlineStr">
        <is>
          <t>UPPSALA LÄN</t>
        </is>
      </c>
      <c r="G512" t="inlineStr">
        <is>
          <t>HEBY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46281</v>
      </c>
      <c r="E513" s="1" t="n">
        <v>46292</v>
      </c>
      <c r="F513" t="inlineStr">
        <is>
          <t>UPPSALA LÄN</t>
        </is>
      </c>
      <c r="G513" t="inlineStr">
        <is>
          <t>HEBY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25419-2022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44732</v>
      </c>
      <c r="E514" s="1" t="n">
        <v>46292</v>
      </c>
      <c r="F514" t="inlineStr">
        <is>
          <t>UPPSALA LÄN</t>
        </is>
      </c>
      <c r="G514" t="inlineStr">
        <is>
          <t>HEBY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32417-2026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46238</v>
      </c>
      <c r="E515" s="1" t="n">
        <v>46292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46238</v>
      </c>
      <c r="E516" s="1" t="n">
        <v>46292</v>
      </c>
      <c r="F516" t="inlineStr">
        <is>
          <t>UPPSALA LÄN</t>
        </is>
      </c>
      <c r="G516" t="inlineStr">
        <is>
          <t>HEBY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46408-2024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45582</v>
      </c>
      <c r="E517" s="1" t="n">
        <v>46292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62132-2022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44914</v>
      </c>
      <c r="E518" s="1" t="n">
        <v>46292</v>
      </c>
      <c r="F518" t="inlineStr">
        <is>
          <t>UPPSALA LÄN</t>
        </is>
      </c>
      <c r="G518" t="inlineStr">
        <is>
          <t>HEBY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16167-2024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45406</v>
      </c>
      <c r="E519" s="1" t="n">
        <v>46292</v>
      </c>
      <c r="F519" t="inlineStr">
        <is>
          <t>UPPSALA LÄN</t>
        </is>
      </c>
      <c r="G519" t="inlineStr">
        <is>
          <t>HEBY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46292</v>
      </c>
      <c r="F520" t="inlineStr">
        <is>
          <t>UPPSALA LÄN</t>
        </is>
      </c>
      <c r="G520" t="inlineStr">
        <is>
          <t>HEBY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46292</v>
      </c>
      <c r="F521" t="inlineStr">
        <is>
          <t>UPPSALA LÄN</t>
        </is>
      </c>
      <c r="G521" t="inlineStr">
        <is>
          <t>HEBY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19721-2022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44694</v>
      </c>
      <c r="E522" s="1" t="n">
        <v>46292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46292</v>
      </c>
      <c r="F523" t="inlineStr">
        <is>
          <t>UPPSALA LÄN</t>
        </is>
      </c>
      <c r="G523" t="inlineStr">
        <is>
          <t>HEBY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46280</v>
      </c>
      <c r="E524" s="1" t="n">
        <v>46292</v>
      </c>
      <c r="F524" t="inlineStr">
        <is>
          <t>UPPSALA LÄN</t>
        </is>
      </c>
      <c r="G524" t="inlineStr">
        <is>
          <t>HEBY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38818-2026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46286</v>
      </c>
      <c r="E525" s="1" t="n">
        <v>46292</v>
      </c>
      <c r="F525" t="inlineStr">
        <is>
          <t>UPPSALA LÄN</t>
        </is>
      </c>
      <c r="G525" t="inlineStr">
        <is>
          <t>HEBY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60295-2021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44495</v>
      </c>
      <c r="E526" s="1" t="n">
        <v>46292</v>
      </c>
      <c r="F526" t="inlineStr">
        <is>
          <t>UPPSALA LÄN</t>
        </is>
      </c>
      <c r="G526" t="inlineStr">
        <is>
          <t>HEBY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46281</v>
      </c>
      <c r="E527" s="1" t="n">
        <v>46292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45572</v>
      </c>
      <c r="E528" s="1" t="n">
        <v>46292</v>
      </c>
      <c r="F528" t="inlineStr">
        <is>
          <t>UPPSALA LÄN</t>
        </is>
      </c>
      <c r="G528" t="inlineStr">
        <is>
          <t>HEBY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15326-2022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44659</v>
      </c>
      <c r="E529" s="1" t="n">
        <v>46292</v>
      </c>
      <c r="F529" t="inlineStr">
        <is>
          <t>UPPSALA LÄN</t>
        </is>
      </c>
      <c r="G529" t="inlineStr">
        <is>
          <t>HEBY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46292</v>
      </c>
      <c r="F530" t="inlineStr">
        <is>
          <t>UPPSALA LÄN</t>
        </is>
      </c>
      <c r="G530" t="inlineStr">
        <is>
          <t>HEBY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44614</v>
      </c>
      <c r="E531" s="1" t="n">
        <v>46292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45453</v>
      </c>
      <c r="E532" s="1" t="n">
        <v>46292</v>
      </c>
      <c r="F532" t="inlineStr">
        <is>
          <t>UPPSALA LÄN</t>
        </is>
      </c>
      <c r="G532" t="inlineStr">
        <is>
          <t>HEBY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46292</v>
      </c>
      <c r="F533" t="inlineStr">
        <is>
          <t>UPPSALA LÄN</t>
        </is>
      </c>
      <c r="G533" t="inlineStr">
        <is>
          <t>HEBY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44942</v>
      </c>
      <c r="E534" s="1" t="n">
        <v>46292</v>
      </c>
      <c r="F534" t="inlineStr">
        <is>
          <t>UPPSALA LÄN</t>
        </is>
      </c>
      <c r="G534" t="inlineStr">
        <is>
          <t>HEBY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46292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öst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46292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46292</v>
      </c>
      <c r="F537" t="inlineStr">
        <is>
          <t>UPPSALA LÄN</t>
        </is>
      </c>
      <c r="G537" t="inlineStr">
        <is>
          <t>HEBY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45664</v>
      </c>
      <c r="E538" s="1" t="n">
        <v>46292</v>
      </c>
      <c r="F538" t="inlineStr">
        <is>
          <t>UPPSALA LÄN</t>
        </is>
      </c>
      <c r="G538" t="inlineStr">
        <is>
          <t>HEBY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44602</v>
      </c>
      <c r="E539" s="1" t="n">
        <v>46292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46292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46292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44684</v>
      </c>
      <c r="E542" s="1" t="n">
        <v>46292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41.8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66873-2021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44522</v>
      </c>
      <c r="E543" s="1" t="n">
        <v>46292</v>
      </c>
      <c r="F543" t="inlineStr">
        <is>
          <t>UPPSALA LÄN</t>
        </is>
      </c>
      <c r="G543" t="inlineStr">
        <is>
          <t>HEBY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46292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öst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46289</v>
      </c>
      <c r="E545" s="1" t="n">
        <v>46292</v>
      </c>
      <c r="F545" t="inlineStr">
        <is>
          <t>UPPSALA LÄN</t>
        </is>
      </c>
      <c r="G545" t="inlineStr">
        <is>
          <t>HEBY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29387-2022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44753</v>
      </c>
      <c r="E546" s="1" t="n">
        <v>46292</v>
      </c>
      <c r="F546" t="inlineStr">
        <is>
          <t>UPPSALA LÄN</t>
        </is>
      </c>
      <c r="G546" t="inlineStr">
        <is>
          <t>HEBY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45006</v>
      </c>
      <c r="E547" s="1" t="n">
        <v>46292</v>
      </c>
      <c r="F547" t="inlineStr">
        <is>
          <t>UPPSALA LÄN</t>
        </is>
      </c>
      <c r="G547" t="inlineStr">
        <is>
          <t>HEBY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44734</v>
      </c>
      <c r="E548" s="1" t="n">
        <v>46292</v>
      </c>
      <c r="F548" t="inlineStr">
        <is>
          <t>UPPSALA LÄN</t>
        </is>
      </c>
      <c r="G548" t="inlineStr">
        <is>
          <t>HEBY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39686-2026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46292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46292</v>
      </c>
      <c r="F550" t="inlineStr">
        <is>
          <t>UPPSALA LÄN</t>
        </is>
      </c>
      <c r="G550" t="inlineStr">
        <is>
          <t>HEBY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45083</v>
      </c>
      <c r="E551" s="1" t="n">
        <v>46292</v>
      </c>
      <c r="F551" t="inlineStr">
        <is>
          <t>UPPSALA LÄN</t>
        </is>
      </c>
      <c r="G551" t="inlineStr">
        <is>
          <t>HEBY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44964</v>
      </c>
      <c r="E552" s="1" t="n">
        <v>46292</v>
      </c>
      <c r="F552" t="inlineStr">
        <is>
          <t>UPPSALA LÄN</t>
        </is>
      </c>
      <c r="G552" t="inlineStr">
        <is>
          <t>HEBY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20882-2022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44701</v>
      </c>
      <c r="E553" s="1" t="n">
        <v>46292</v>
      </c>
      <c r="F553" t="inlineStr">
        <is>
          <t>UPPSALA LÄN</t>
        </is>
      </c>
      <c r="G553" t="inlineStr">
        <is>
          <t>HEBY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45013</v>
      </c>
      <c r="E554" s="1" t="n">
        <v>46292</v>
      </c>
      <c r="F554" t="inlineStr">
        <is>
          <t>UPPSALA LÄN</t>
        </is>
      </c>
      <c r="G554" t="inlineStr">
        <is>
          <t>HEBY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56352-2021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44480</v>
      </c>
      <c r="E555" s="1" t="n">
        <v>46292</v>
      </c>
      <c r="F555" t="inlineStr">
        <is>
          <t>UPPSALA LÄN</t>
        </is>
      </c>
      <c r="G555" t="inlineStr">
        <is>
          <t>HEBY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44984</v>
      </c>
      <c r="E556" s="1" t="n">
        <v>46292</v>
      </c>
      <c r="F556" t="inlineStr">
        <is>
          <t>UPPSALA LÄN</t>
        </is>
      </c>
      <c r="G556" t="inlineStr">
        <is>
          <t>HEBY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51521-2023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45215</v>
      </c>
      <c r="E557" s="1" t="n">
        <v>46292</v>
      </c>
      <c r="F557" t="inlineStr">
        <is>
          <t>UPPSALA LÄN</t>
        </is>
      </c>
      <c r="G557" t="inlineStr">
        <is>
          <t>HEBY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44984</v>
      </c>
      <c r="E558" s="1" t="n">
        <v>46292</v>
      </c>
      <c r="F558" t="inlineStr">
        <is>
          <t>UPPSALA LÄN</t>
        </is>
      </c>
      <c r="G558" t="inlineStr">
        <is>
          <t>HEBY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44644</v>
      </c>
      <c r="E559" s="1" t="n">
        <v>46292</v>
      </c>
      <c r="F559" t="inlineStr">
        <is>
          <t>UPPSALA LÄN</t>
        </is>
      </c>
      <c r="G559" t="inlineStr">
        <is>
          <t>HEBY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45035</v>
      </c>
      <c r="E560" s="1" t="n">
        <v>46292</v>
      </c>
      <c r="F560" t="inlineStr">
        <is>
          <t>UPPSALA LÄN</t>
        </is>
      </c>
      <c r="G560" t="inlineStr">
        <is>
          <t>HEBY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59858-2024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45639</v>
      </c>
      <c r="E561" s="1" t="n">
        <v>46292</v>
      </c>
      <c r="F561" t="inlineStr">
        <is>
          <t>UPPSALA LÄN</t>
        </is>
      </c>
      <c r="G561" t="inlineStr">
        <is>
          <t>HEBY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44981</v>
      </c>
      <c r="E562" s="1" t="n">
        <v>46292</v>
      </c>
      <c r="F562" t="inlineStr">
        <is>
          <t>UPPSALA LÄN</t>
        </is>
      </c>
      <c r="G562" t="inlineStr">
        <is>
          <t>HEBY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60788-2022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44914</v>
      </c>
      <c r="E563" s="1" t="n">
        <v>46292</v>
      </c>
      <c r="F563" t="inlineStr">
        <is>
          <t>UPPSALA LÄN</t>
        </is>
      </c>
      <c r="G563" t="inlineStr">
        <is>
          <t>HEBY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45376</v>
      </c>
      <c r="E564" s="1" t="n">
        <v>46292</v>
      </c>
      <c r="F564" t="inlineStr">
        <is>
          <t>UPPSALA LÄN</t>
        </is>
      </c>
      <c r="G564" t="inlineStr">
        <is>
          <t>HEBY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45252</v>
      </c>
      <c r="E565" s="1" t="n">
        <v>46292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45111</v>
      </c>
      <c r="E566" s="1" t="n">
        <v>46292</v>
      </c>
      <c r="F566" t="inlineStr">
        <is>
          <t>UPPSALA LÄN</t>
        </is>
      </c>
      <c r="G566" t="inlineStr">
        <is>
          <t>HEBY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45135</v>
      </c>
      <c r="E567" s="1" t="n">
        <v>46292</v>
      </c>
      <c r="F567" t="inlineStr">
        <is>
          <t>UPPSALA LÄN</t>
        </is>
      </c>
      <c r="G567" t="inlineStr">
        <is>
          <t>HEBY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33703-2023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45132</v>
      </c>
      <c r="E568" s="1" t="n">
        <v>46292</v>
      </c>
      <c r="F568" t="inlineStr">
        <is>
          <t>UPPSALA LÄN</t>
        </is>
      </c>
      <c r="G568" t="inlineStr">
        <is>
          <t>HEBY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46292</v>
      </c>
      <c r="F569" t="inlineStr">
        <is>
          <t>UPPSALA LÄN</t>
        </is>
      </c>
      <c r="G569" t="inlineStr">
        <is>
          <t>HEBY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52252-2024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46292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50172-2024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45599</v>
      </c>
      <c r="E571" s="1" t="n">
        <v>46292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45344</v>
      </c>
      <c r="E572" s="1" t="n">
        <v>46292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45686</v>
      </c>
      <c r="E573" s="1" t="n">
        <v>46292</v>
      </c>
      <c r="F573" t="inlineStr">
        <is>
          <t>UPPSALA LÄN</t>
        </is>
      </c>
      <c r="G573" t="inlineStr">
        <is>
          <t>HEBY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60456-2022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44911</v>
      </c>
      <c r="E574" s="1" t="n">
        <v>46292</v>
      </c>
      <c r="F574" t="inlineStr">
        <is>
          <t>UPPSALA LÄN</t>
        </is>
      </c>
      <c r="G574" t="inlineStr">
        <is>
          <t>HEBY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39536-2024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46292</v>
      </c>
      <c r="F575" t="inlineStr">
        <is>
          <t>UPPSALA LÄN</t>
        </is>
      </c>
      <c r="G575" t="inlineStr">
        <is>
          <t>HEBY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45519</v>
      </c>
      <c r="E576" s="1" t="n">
        <v>46292</v>
      </c>
      <c r="F576" t="inlineStr">
        <is>
          <t>UPPSALA LÄN</t>
        </is>
      </c>
      <c r="G576" t="inlineStr">
        <is>
          <t>HEBY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45519</v>
      </c>
      <c r="E577" s="1" t="n">
        <v>46292</v>
      </c>
      <c r="F577" t="inlineStr">
        <is>
          <t>UPPSALA LÄN</t>
        </is>
      </c>
      <c r="G577" t="inlineStr">
        <is>
          <t>HEBY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58124-2022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46292</v>
      </c>
      <c r="F578" t="inlineStr">
        <is>
          <t>UPPSALA LÄN</t>
        </is>
      </c>
      <c r="G578" t="inlineStr">
        <is>
          <t>HEBY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21310-2023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45058</v>
      </c>
      <c r="E579" s="1" t="n">
        <v>46292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48956-2023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45209</v>
      </c>
      <c r="E580" s="1" t="n">
        <v>46292</v>
      </c>
      <c r="F580" t="inlineStr">
        <is>
          <t>UPPSALA LÄN</t>
        </is>
      </c>
      <c r="G580" t="inlineStr">
        <is>
          <t>HEBY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44979</v>
      </c>
      <c r="E581" s="1" t="n">
        <v>46292</v>
      </c>
      <c r="F581" t="inlineStr">
        <is>
          <t>UPPSALA LÄN</t>
        </is>
      </c>
      <c r="G581" t="inlineStr">
        <is>
          <t>HEBY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8881-2025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45713</v>
      </c>
      <c r="E582" s="1" t="n">
        <v>46292</v>
      </c>
      <c r="F582" t="inlineStr">
        <is>
          <t>UPPSALA LÄN</t>
        </is>
      </c>
      <c r="G582" t="inlineStr">
        <is>
          <t>HEBY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45321</v>
      </c>
      <c r="E583" s="1" t="n">
        <v>46292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52955-2022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44875</v>
      </c>
      <c r="E584" s="1" t="n">
        <v>46292</v>
      </c>
      <c r="F584" t="inlineStr">
        <is>
          <t>UPPSALA LÄN</t>
        </is>
      </c>
      <c r="G584" t="inlineStr">
        <is>
          <t>HEBY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31575-2023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46292</v>
      </c>
      <c r="F585" t="inlineStr">
        <is>
          <t>UPPSALA LÄN</t>
        </is>
      </c>
      <c r="G585" t="inlineStr">
        <is>
          <t>HEBY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46292</v>
      </c>
      <c r="F586" t="inlineStr">
        <is>
          <t>UPPSALA LÄN</t>
        </is>
      </c>
      <c r="G586" t="inlineStr">
        <is>
          <t>HEBY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46292</v>
      </c>
      <c r="F587" t="inlineStr">
        <is>
          <t>UPPSALA LÄN</t>
        </is>
      </c>
      <c r="G587" t="inlineStr">
        <is>
          <t>HEBY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54594-2024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45617</v>
      </c>
      <c r="E588" s="1" t="n">
        <v>46292</v>
      </c>
      <c r="F588" t="inlineStr">
        <is>
          <t>UPPSALA LÄN</t>
        </is>
      </c>
      <c r="G588" t="inlineStr">
        <is>
          <t>HEBY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46292</v>
      </c>
      <c r="F589" t="inlineStr">
        <is>
          <t>UPPSALA LÄN</t>
        </is>
      </c>
      <c r="G589" t="inlineStr">
        <is>
          <t>HEBY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45786</v>
      </c>
      <c r="E590" s="1" t="n">
        <v>46292</v>
      </c>
      <c r="F590" t="inlineStr">
        <is>
          <t>UPPSALA LÄN</t>
        </is>
      </c>
      <c r="G590" t="inlineStr">
        <is>
          <t>HEBY</t>
        </is>
      </c>
      <c r="H590" t="inlineStr">
        <is>
          <t>Kyrkan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14437-2024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45394</v>
      </c>
      <c r="E591" s="1" t="n">
        <v>46292</v>
      </c>
      <c r="F591" t="inlineStr">
        <is>
          <t>UPPSALA LÄN</t>
        </is>
      </c>
      <c r="G591" t="inlineStr">
        <is>
          <t>HEBY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45786</v>
      </c>
      <c r="E592" s="1" t="n">
        <v>46292</v>
      </c>
      <c r="F592" t="inlineStr">
        <is>
          <t>UPPSALA LÄN</t>
        </is>
      </c>
      <c r="G592" t="inlineStr">
        <is>
          <t>HEBY</t>
        </is>
      </c>
      <c r="H592" t="inlineStr">
        <is>
          <t>Kyrkan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45355</v>
      </c>
      <c r="E593" s="1" t="n">
        <v>46292</v>
      </c>
      <c r="F593" t="inlineStr">
        <is>
          <t>UPPSALA LÄN</t>
        </is>
      </c>
      <c r="G593" t="inlineStr">
        <is>
          <t>HEBY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45390</v>
      </c>
      <c r="E594" s="1" t="n">
        <v>46292</v>
      </c>
      <c r="F594" t="inlineStr">
        <is>
          <t>UPPSALA LÄN</t>
        </is>
      </c>
      <c r="G594" t="inlineStr">
        <is>
          <t>HEBY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13213-2022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44644</v>
      </c>
      <c r="E595" s="1" t="n">
        <v>46292</v>
      </c>
      <c r="F595" t="inlineStr">
        <is>
          <t>UPPSALA LÄN</t>
        </is>
      </c>
      <c r="G595" t="inlineStr">
        <is>
          <t>HEBY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22460-2025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45786</v>
      </c>
      <c r="E596" s="1" t="n">
        <v>46292</v>
      </c>
      <c r="F596" t="inlineStr">
        <is>
          <t>UPPSALA LÄN</t>
        </is>
      </c>
      <c r="G596" t="inlineStr">
        <is>
          <t>HEBY</t>
        </is>
      </c>
      <c r="H596" t="inlineStr">
        <is>
          <t>Kyrkan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22333-2025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45786</v>
      </c>
      <c r="E597" s="1" t="n">
        <v>46292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1334-2022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44629</v>
      </c>
      <c r="E598" s="1" t="n">
        <v>46292</v>
      </c>
      <c r="F598" t="inlineStr">
        <is>
          <t>UPPSALA LÄN</t>
        </is>
      </c>
      <c r="G598" t="inlineStr">
        <is>
          <t>HEBY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10324-2021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44546</v>
      </c>
      <c r="E599" s="1" t="n">
        <v>46292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517-2022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44588</v>
      </c>
      <c r="E600" s="1" t="n">
        <v>46292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öst AB</t>
        </is>
      </c>
      <c r="I600" t="n">
        <v>30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2310-2022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44684</v>
      </c>
      <c r="E601" s="1" t="n">
        <v>46292</v>
      </c>
      <c r="F601" t="inlineStr">
        <is>
          <t>UPPSALA LÄN</t>
        </is>
      </c>
      <c r="G601" t="inlineStr">
        <is>
          <t>HEBY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1330-2022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44629</v>
      </c>
      <c r="E602" s="1" t="n">
        <v>46292</v>
      </c>
      <c r="F602" t="inlineStr">
        <is>
          <t>UPPSALA LÄN</t>
        </is>
      </c>
      <c r="G602" t="inlineStr">
        <is>
          <t>HEBY</t>
        </is>
      </c>
      <c r="I602" t="n">
        <v>25.1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  <c r="Z602">
        <f>HYPERLINK("https://klasma.github.io/Logging_0331/knärot/S 1330-2022 karta knärot.png", "S 1330-2022")</f>
        <v/>
      </c>
      <c r="AA602">
        <f>HYPERLINK("https://klasma.github.io/Logging_0331/klagomål/S 1330-2022 FSC-klagomål.docx", "S 1330-2022")</f>
        <v/>
      </c>
      <c r="AB602">
        <f>HYPERLINK("https://klasma.github.io/Logging_0331/klagomålsmail/S 1330-2022 FSC-klagomål mail.docx", "S 1330-2022")</f>
        <v/>
      </c>
      <c r="AC602">
        <f>HYPERLINK("https://klasma.github.io/Logging_0331/tillsyn/S 1330-2022 tillsynsbegäran.docx", "S 1330-2022")</f>
        <v/>
      </c>
      <c r="AD602">
        <f>HYPERLINK("https://klasma.github.io/Logging_0331/tillsynsmail/S 1330-2022 tillsynsbegäran mail.docx", "S 1330-2022")</f>
        <v/>
      </c>
    </row>
    <row r="603" ht="15" customHeight="1">
      <c r="A603" t="inlineStr">
        <is>
          <t>S 3256-2023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45191</v>
      </c>
      <c r="E603" s="1" t="n">
        <v>46292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20.9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4466-2022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44788</v>
      </c>
      <c r="E604" s="1" t="n">
        <v>46292</v>
      </c>
      <c r="F604" t="inlineStr">
        <is>
          <t>UPPSALA LÄN</t>
        </is>
      </c>
      <c r="G604" t="inlineStr">
        <is>
          <t>HEBY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4423-2024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45590</v>
      </c>
      <c r="E605" s="1" t="n">
        <v>46292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1385-2024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45411</v>
      </c>
      <c r="E606" s="1" t="n">
        <v>46292</v>
      </c>
      <c r="F606" t="inlineStr">
        <is>
          <t>UPPSALA LÄN</t>
        </is>
      </c>
      <c r="G606" t="inlineStr">
        <is>
          <t>HEBY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2797-2024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45485</v>
      </c>
      <c r="E607" s="1" t="n">
        <v>46292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398-2025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45699</v>
      </c>
      <c r="E608" s="1" t="n">
        <v>46292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23.3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1386-2024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45411</v>
      </c>
      <c r="E609" s="1" t="n">
        <v>46292</v>
      </c>
      <c r="F609" t="inlineStr">
        <is>
          <t>UPPSALA LÄN</t>
        </is>
      </c>
      <c r="G609" t="inlineStr">
        <is>
          <t>HEBY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4464-2022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44788</v>
      </c>
      <c r="E610" s="1" t="n">
        <v>46292</v>
      </c>
      <c r="F610" t="inlineStr">
        <is>
          <t>UPPSALA LÄN</t>
        </is>
      </c>
      <c r="G610" t="inlineStr">
        <is>
          <t>HEBY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3301-2025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45987</v>
      </c>
      <c r="E611" s="1" t="n">
        <v>46292</v>
      </c>
      <c r="F611" t="inlineStr">
        <is>
          <t>UPPSALA LÄN</t>
        </is>
      </c>
      <c r="G611" t="inlineStr">
        <is>
          <t>HEBY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3478-2025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46000</v>
      </c>
      <c r="E612" s="1" t="n">
        <v>46292</v>
      </c>
      <c r="F612" t="inlineStr">
        <is>
          <t>UPPSALA LÄN</t>
        </is>
      </c>
      <c r="G612" t="inlineStr">
        <is>
          <t>HEBY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598-2026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46085</v>
      </c>
      <c r="E613" s="1" t="n">
        <v>46292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43.4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1818-2026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46190</v>
      </c>
      <c r="E614" s="1" t="n">
        <v>46292</v>
      </c>
      <c r="F614" t="inlineStr">
        <is>
          <t>UPPSALA LÄN</t>
        </is>
      </c>
      <c r="G614" t="inlineStr">
        <is>
          <t>HEBY</t>
        </is>
      </c>
      <c r="H614" t="inlineStr">
        <is>
          <t>Kommuner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2346-2026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46273</v>
      </c>
      <c r="E615" s="1" t="n">
        <v>46292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2026-09-27T01:59:33Z</dcterms:created>
  <dcterms:modified xmlns:dcterms="http://purl.org/dc/terms/" xmlns:xsi="http://www.w3.org/2001/XMLSchema-instance" xsi:type="dcterms:W3CDTF">2026-09-27T01:59:34Z</dcterms:modified>
</cp:coreProperties>
</file>
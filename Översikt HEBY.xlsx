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45913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45913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45913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45913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45913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45913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45913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45913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45913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45913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45913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45913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45913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45913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45913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45913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45913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45913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45913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45913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45913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45913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45913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45913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45913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45913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8624-2024</t>
        </is>
      </c>
      <c r="B28" s="1" t="n">
        <v>45355</v>
      </c>
      <c r="C28" s="1" t="n">
        <v>45913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HYPERLINK("https://klasma.github.io/Logging_0331/artfynd/A 8624-2024 artfynd.xlsx", "A 8624-2024")</f>
        <v/>
      </c>
      <c r="T28">
        <f>HYPERLINK("https://klasma.github.io/Logging_0331/kartor/A 8624-2024 karta.png", "A 8624-2024")</f>
        <v/>
      </c>
      <c r="V28">
        <f>HYPERLINK("https://klasma.github.io/Logging_0331/klagomål/A 8624-2024 FSC-klagomål.docx", "A 8624-2024")</f>
        <v/>
      </c>
      <c r="W28">
        <f>HYPERLINK("https://klasma.github.io/Logging_0331/klagomålsmail/A 8624-2024 FSC-klagomål mail.docx", "A 8624-2024")</f>
        <v/>
      </c>
      <c r="X28">
        <f>HYPERLINK("https://klasma.github.io/Logging_0331/tillsyn/A 8624-2024 tillsynsbegäran.docx", "A 8624-2024")</f>
        <v/>
      </c>
      <c r="Y28">
        <f>HYPERLINK("https://klasma.github.io/Logging_0331/tillsynsmail/A 8624-2024 tillsynsbegäran mail.docx", "A 8624-2024")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45913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21203-2025</t>
        </is>
      </c>
      <c r="B30" s="1" t="n">
        <v>45777</v>
      </c>
      <c r="C30" s="1" t="n">
        <v>45913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27.7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HYPERLINK("https://klasma.github.io/Logging_0331/artfynd/A 21203-2025 artfynd.xlsx", "A 21203-2025")</f>
        <v/>
      </c>
      <c r="T30">
        <f>HYPERLINK("https://klasma.github.io/Logging_0331/kartor/A 21203-2025 karta.png", "A 21203-2025")</f>
        <v/>
      </c>
      <c r="V30">
        <f>HYPERLINK("https://klasma.github.io/Logging_0331/klagomål/A 21203-2025 FSC-klagomål.docx", "A 21203-2025")</f>
        <v/>
      </c>
      <c r="W30">
        <f>HYPERLINK("https://klasma.github.io/Logging_0331/klagomålsmail/A 21203-2025 FSC-klagomål mail.docx", "A 21203-2025")</f>
        <v/>
      </c>
      <c r="X30">
        <f>HYPERLINK("https://klasma.github.io/Logging_0331/tillsyn/A 21203-2025 tillsynsbegäran.docx", "A 21203-2025")</f>
        <v/>
      </c>
      <c r="Y30">
        <f>HYPERLINK("https://klasma.github.io/Logging_0331/tillsynsmail/A 21203-2025 tillsynsbegäran mail.docx", "A 21203-2025")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45913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45913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45913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8181-2022</t>
        </is>
      </c>
      <c r="B34" s="1" t="n">
        <v>44609</v>
      </c>
      <c r="C34" s="1" t="n">
        <v>45913</v>
      </c>
      <c r="D34" t="inlineStr">
        <is>
          <t>UPPSALA LÄN</t>
        </is>
      </c>
      <c r="E34" t="inlineStr">
        <is>
          <t>HEBY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HYPERLINK("https://klasma.github.io/Logging_0331/artfynd/A 8181-2022 artfynd.xlsx", "A 8181-2022")</f>
        <v/>
      </c>
      <c r="T34">
        <f>HYPERLINK("https://klasma.github.io/Logging_0331/kartor/A 8181-2022 karta.png", "A 8181-2022")</f>
        <v/>
      </c>
      <c r="V34">
        <f>HYPERLINK("https://klasma.github.io/Logging_0331/klagomål/A 8181-2022 FSC-klagomål.docx", "A 8181-2022")</f>
        <v/>
      </c>
      <c r="W34">
        <f>HYPERLINK("https://klasma.github.io/Logging_0331/klagomålsmail/A 8181-2022 FSC-klagomål mail.docx", "A 8181-2022")</f>
        <v/>
      </c>
      <c r="X34">
        <f>HYPERLINK("https://klasma.github.io/Logging_0331/tillsyn/A 8181-2022 tillsynsbegäran.docx", "A 8181-2022")</f>
        <v/>
      </c>
      <c r="Y34">
        <f>HYPERLINK("https://klasma.github.io/Logging_0331/tillsynsmail/A 8181-2022 tillsynsbegäran mail.docx", "A 8181-2022")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45913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32141-2021</t>
        </is>
      </c>
      <c r="B36" s="1" t="n">
        <v>44370</v>
      </c>
      <c r="C36" s="1" t="n">
        <v>45913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HYPERLINK("https://klasma.github.io/Logging_0331/artfynd/A 32141-2021 artfynd.xlsx", "A 32141-2021")</f>
        <v/>
      </c>
      <c r="T36">
        <f>HYPERLINK("https://klasma.github.io/Logging_0331/kartor/A 32141-2021 karta.png", "A 32141-2021")</f>
        <v/>
      </c>
      <c r="V36">
        <f>HYPERLINK("https://klasma.github.io/Logging_0331/klagomål/A 32141-2021 FSC-klagomål.docx", "A 32141-2021")</f>
        <v/>
      </c>
      <c r="W36">
        <f>HYPERLINK("https://klasma.github.io/Logging_0331/klagomålsmail/A 32141-2021 FSC-klagomål mail.docx", "A 32141-2021")</f>
        <v/>
      </c>
      <c r="X36">
        <f>HYPERLINK("https://klasma.github.io/Logging_0331/tillsyn/A 32141-2021 tillsynsbegäran.docx", "A 32141-2021")</f>
        <v/>
      </c>
      <c r="Y36">
        <f>HYPERLINK("https://klasma.github.io/Logging_0331/tillsynsmail/A 32141-2021 tillsynsbegäran mail.docx", "A 32141-2021")</f>
        <v/>
      </c>
      <c r="Z36">
        <f>HYPERLINK("https://klasma.github.io/Logging_0331/fåglar/A 32141-2021 prioriterade fågelarter.docx", "A 32141-2021")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45913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45913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63982-2023</t>
        </is>
      </c>
      <c r="B39" s="1" t="n">
        <v>45278.72756944445</v>
      </c>
      <c r="C39" s="1" t="n">
        <v>45913</v>
      </c>
      <c r="D39" t="inlineStr">
        <is>
          <t>UPPSALA LÄN</t>
        </is>
      </c>
      <c r="E39" t="inlineStr">
        <is>
          <t>HEBY</t>
        </is>
      </c>
      <c r="F39" t="inlineStr">
        <is>
          <t>Kyrkan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HYPERLINK("https://klasma.github.io/Logging_0331/artfynd/A 63982-2023 artfynd.xlsx", "A 63982-2023")</f>
        <v/>
      </c>
      <c r="T39">
        <f>HYPERLINK("https://klasma.github.io/Logging_0331/kartor/A 63982-2023 karta.png", "A 63982-2023")</f>
        <v/>
      </c>
      <c r="V39">
        <f>HYPERLINK("https://klasma.github.io/Logging_0331/klagomål/A 63982-2023 FSC-klagomål.docx", "A 63982-2023")</f>
        <v/>
      </c>
      <c r="W39">
        <f>HYPERLINK("https://klasma.github.io/Logging_0331/klagomålsmail/A 63982-2023 FSC-klagomål mail.docx", "A 63982-2023")</f>
        <v/>
      </c>
      <c r="X39">
        <f>HYPERLINK("https://klasma.github.io/Logging_0331/tillsyn/A 63982-2023 tillsynsbegäran.docx", "A 63982-2023")</f>
        <v/>
      </c>
      <c r="Y39">
        <f>HYPERLINK("https://klasma.github.io/Logging_0331/tillsynsmail/A 63982-2023 tillsynsbegäran mail.docx", "A 63982-2023")</f>
        <v/>
      </c>
      <c r="Z39">
        <f>HYPERLINK("https://klasma.github.io/Logging_0331/fåglar/A 63982-2023 prioriterade fågelarter.docx", "A 63982-2023")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45913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45913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45913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38417-2025</t>
        </is>
      </c>
      <c r="B43" s="1" t="n">
        <v>45883</v>
      </c>
      <c r="C43" s="1" t="n">
        <v>45913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38417-2025 artfynd.xlsx", "A 38417-2025")</f>
        <v/>
      </c>
      <c r="T43">
        <f>HYPERLINK("https://klasma.github.io/Logging_0331/kartor/A 38417-2025 karta.png", "A 38417-2025")</f>
        <v/>
      </c>
      <c r="U43">
        <f>HYPERLINK("https://klasma.github.io/Logging_0331/knärot/A 38417-2025 karta knärot.png", "A 38417-2025")</f>
        <v/>
      </c>
      <c r="V43">
        <f>HYPERLINK("https://klasma.github.io/Logging_0331/klagomål/A 38417-2025 FSC-klagomål.docx", "A 38417-2025")</f>
        <v/>
      </c>
      <c r="W43">
        <f>HYPERLINK("https://klasma.github.io/Logging_0331/klagomålsmail/A 38417-2025 FSC-klagomål mail.docx", "A 38417-2025")</f>
        <v/>
      </c>
      <c r="X43">
        <f>HYPERLINK("https://klasma.github.io/Logging_0331/tillsyn/A 38417-2025 tillsynsbegäran.docx", "A 38417-2025")</f>
        <v/>
      </c>
      <c r="Y43">
        <f>HYPERLINK("https://klasma.github.io/Logging_0331/tillsynsmail/A 38417-2025 tillsynsbegäran mail.docx", "A 38417-2025")</f>
        <v/>
      </c>
    </row>
    <row r="44" ht="15" customHeight="1">
      <c r="A44" t="inlineStr">
        <is>
          <t>A 62718-2020</t>
        </is>
      </c>
      <c r="B44" s="1" t="n">
        <v>44161</v>
      </c>
      <c r="C44" s="1" t="n">
        <v>45913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62718-2020 artfynd.xlsx", "A 62718-2020")</f>
        <v/>
      </c>
      <c r="T44">
        <f>HYPERLINK("https://klasma.github.io/Logging_0331/kartor/A 62718-2020 karta.png", "A 62718-2020")</f>
        <v/>
      </c>
      <c r="V44">
        <f>HYPERLINK("https://klasma.github.io/Logging_0331/klagomål/A 62718-2020 FSC-klagomål.docx", "A 62718-2020")</f>
        <v/>
      </c>
      <c r="W44">
        <f>HYPERLINK("https://klasma.github.io/Logging_0331/klagomålsmail/A 62718-2020 FSC-klagomål mail.docx", "A 62718-2020")</f>
        <v/>
      </c>
      <c r="X44">
        <f>HYPERLINK("https://klasma.github.io/Logging_0331/tillsyn/A 62718-2020 tillsynsbegäran.docx", "A 62718-2020")</f>
        <v/>
      </c>
      <c r="Y44">
        <f>HYPERLINK("https://klasma.github.io/Logging_0331/tillsynsmail/A 62718-2020 tillsynsbegäran mail.docx", "A 62718-2020")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45913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45913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45913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45913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19139-2024</t>
        </is>
      </c>
      <c r="B49" s="1" t="n">
        <v>45428.42128472222</v>
      </c>
      <c r="C49" s="1" t="n">
        <v>45913</v>
      </c>
      <c r="D49" t="inlineStr">
        <is>
          <t>UPPSALA LÄN</t>
        </is>
      </c>
      <c r="E49" t="inlineStr">
        <is>
          <t>HEBY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HYPERLINK("https://klasma.github.io/Logging_0331/artfynd/A 19139-2024 artfynd.xlsx", "A 19139-2024")</f>
        <v/>
      </c>
      <c r="T49">
        <f>HYPERLINK("https://klasma.github.io/Logging_0331/kartor/A 19139-2024 karta.png", "A 19139-2024")</f>
        <v/>
      </c>
      <c r="V49">
        <f>HYPERLINK("https://klasma.github.io/Logging_0331/klagomål/A 19139-2024 FSC-klagomål.docx", "A 19139-2024")</f>
        <v/>
      </c>
      <c r="W49">
        <f>HYPERLINK("https://klasma.github.io/Logging_0331/klagomålsmail/A 19139-2024 FSC-klagomål mail.docx", "A 19139-2024")</f>
        <v/>
      </c>
      <c r="X49">
        <f>HYPERLINK("https://klasma.github.io/Logging_0331/tillsyn/A 19139-2024 tillsynsbegäran.docx", "A 19139-2024")</f>
        <v/>
      </c>
      <c r="Y49">
        <f>HYPERLINK("https://klasma.github.io/Logging_0331/tillsynsmail/A 19139-2024 tillsynsbegäran mail.docx", "A 19139-2024")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45913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45913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45913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45913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45913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45913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38050-2021</t>
        </is>
      </c>
      <c r="B56" s="1" t="n">
        <v>44404</v>
      </c>
      <c r="C56" s="1" t="n">
        <v>45913</v>
      </c>
      <c r="D56" t="inlineStr">
        <is>
          <t>UPPSALA LÄN</t>
        </is>
      </c>
      <c r="E56" t="inlineStr">
        <is>
          <t>HEBY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38051-2021</t>
        </is>
      </c>
      <c r="B57" s="1" t="n">
        <v>44404</v>
      </c>
      <c r="C57" s="1" t="n">
        <v>45913</v>
      </c>
      <c r="D57" t="inlineStr">
        <is>
          <t>UPPSALA LÄN</t>
        </is>
      </c>
      <c r="E57" t="inlineStr">
        <is>
          <t>HEBY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45913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45913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45913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45913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45913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45913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45913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45913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45913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45913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45913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45913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45913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45913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45913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64413-2021</t>
        </is>
      </c>
      <c r="B73" s="1" t="n">
        <v>44511.45233796296</v>
      </c>
      <c r="C73" s="1" t="n">
        <v>45913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45913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45913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45913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45913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45913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10734-2021</t>
        </is>
      </c>
      <c r="B79" s="1" t="n">
        <v>44259</v>
      </c>
      <c r="C79" s="1" t="n">
        <v>45913</v>
      </c>
      <c r="D79" t="inlineStr">
        <is>
          <t>UPPSALA LÄN</t>
        </is>
      </c>
      <c r="E79" t="inlineStr">
        <is>
          <t>HEBY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45913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45913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45913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46560-2021</t>
        </is>
      </c>
      <c r="B83" s="1" t="n">
        <v>44445</v>
      </c>
      <c r="C83" s="1" t="n">
        <v>45913</v>
      </c>
      <c r="D83" t="inlineStr">
        <is>
          <t>UPPSALA LÄN</t>
        </is>
      </c>
      <c r="E83" t="inlineStr">
        <is>
          <t>HEBY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45913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45913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45913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45913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45913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45913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45913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45913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45913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45913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45913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27650-2021</t>
        </is>
      </c>
      <c r="B95" s="1" t="n">
        <v>44354</v>
      </c>
      <c r="C95" s="1" t="n">
        <v>45913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45913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45913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45913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45913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45913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45913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45913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45913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45913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45913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8762-2022</t>
        </is>
      </c>
      <c r="B106" s="1" t="n">
        <v>44614.36751157408</v>
      </c>
      <c r="C106" s="1" t="n">
        <v>45913</v>
      </c>
      <c r="D106" t="inlineStr">
        <is>
          <t>UPPSALA LÄN</t>
        </is>
      </c>
      <c r="E106" t="inlineStr">
        <is>
          <t>HEBY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46651-2022</t>
        </is>
      </c>
      <c r="B107" s="1" t="n">
        <v>44850.31813657407</v>
      </c>
      <c r="C107" s="1" t="n">
        <v>45913</v>
      </c>
      <c r="D107" t="inlineStr">
        <is>
          <t>UPPSALA LÄN</t>
        </is>
      </c>
      <c r="E107" t="inlineStr">
        <is>
          <t>HEBY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45913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45913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26789-2021</t>
        </is>
      </c>
      <c r="B110" s="1" t="n">
        <v>44349</v>
      </c>
      <c r="C110" s="1" t="n">
        <v>45913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18336-2022</t>
        </is>
      </c>
      <c r="B111" s="1" t="n">
        <v>44685</v>
      </c>
      <c r="C111" s="1" t="n">
        <v>45913</v>
      </c>
      <c r="D111" t="inlineStr">
        <is>
          <t>UPPSALA LÄN</t>
        </is>
      </c>
      <c r="E111" t="inlineStr">
        <is>
          <t>HEBY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31283-2021</t>
        </is>
      </c>
      <c r="B112" s="1" t="n">
        <v>44368</v>
      </c>
      <c r="C112" s="1" t="n">
        <v>45913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31049-2022</t>
        </is>
      </c>
      <c r="B113" s="1" t="n">
        <v>44769</v>
      </c>
      <c r="C113" s="1" t="n">
        <v>45913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59599-2021</t>
        </is>
      </c>
      <c r="B114" s="1" t="n">
        <v>44491.67335648148</v>
      </c>
      <c r="C114" s="1" t="n">
        <v>45913</v>
      </c>
      <c r="D114" t="inlineStr">
        <is>
          <t>UPPSALA LÄN</t>
        </is>
      </c>
      <c r="E114" t="inlineStr">
        <is>
          <t>HEBY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24091-2022</t>
        </is>
      </c>
      <c r="B115" s="1" t="n">
        <v>44725.37670138889</v>
      </c>
      <c r="C115" s="1" t="n">
        <v>45913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45913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30304-2021</t>
        </is>
      </c>
      <c r="B117" s="1" t="n">
        <v>44364.34809027778</v>
      </c>
      <c r="C117" s="1" t="n">
        <v>45913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48181-2020</t>
        </is>
      </c>
      <c r="B118" s="1" t="n">
        <v>44102</v>
      </c>
      <c r="C118" s="1" t="n">
        <v>45913</v>
      </c>
      <c r="D118" t="inlineStr">
        <is>
          <t>UPPSALA LÄN</t>
        </is>
      </c>
      <c r="E118" t="inlineStr">
        <is>
          <t>HEBY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9010-2021</t>
        </is>
      </c>
      <c r="B119" s="1" t="n">
        <v>44249</v>
      </c>
      <c r="C119" s="1" t="n">
        <v>45913</v>
      </c>
      <c r="D119" t="inlineStr">
        <is>
          <t>UPPSALA LÄN</t>
        </is>
      </c>
      <c r="E119" t="inlineStr">
        <is>
          <t>HEBY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50546-2021</t>
        </is>
      </c>
      <c r="B120" s="1" t="n">
        <v>44459</v>
      </c>
      <c r="C120" s="1" t="n">
        <v>45913</v>
      </c>
      <c r="D120" t="inlineStr">
        <is>
          <t>UPPSALA LÄN</t>
        </is>
      </c>
      <c r="E120" t="inlineStr">
        <is>
          <t>HEBY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14008-2022</t>
        </is>
      </c>
      <c r="B121" s="1" t="n">
        <v>44650.66174768518</v>
      </c>
      <c r="C121" s="1" t="n">
        <v>45913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45913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45913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14603-2022</t>
        </is>
      </c>
      <c r="B124" s="1" t="n">
        <v>44655.59482638889</v>
      </c>
      <c r="C124" s="1" t="n">
        <v>45913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45497-2020</t>
        </is>
      </c>
      <c r="B125" s="1" t="n">
        <v>44089</v>
      </c>
      <c r="C125" s="1" t="n">
        <v>45913</v>
      </c>
      <c r="D125" t="inlineStr">
        <is>
          <t>UPPSALA LÄN</t>
        </is>
      </c>
      <c r="E125" t="inlineStr">
        <is>
          <t>HEBY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42855-2022</t>
        </is>
      </c>
      <c r="B126" s="1" t="n">
        <v>44832.68144675926</v>
      </c>
      <c r="C126" s="1" t="n">
        <v>45913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23979-2022</t>
        </is>
      </c>
      <c r="B127" s="1" t="n">
        <v>44722.88414351852</v>
      </c>
      <c r="C127" s="1" t="n">
        <v>45913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20627-2022</t>
        </is>
      </c>
      <c r="B128" s="1" t="n">
        <v>44700.53931712963</v>
      </c>
      <c r="C128" s="1" t="n">
        <v>45913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42859-2022</t>
        </is>
      </c>
      <c r="B129" s="1" t="n">
        <v>44832</v>
      </c>
      <c r="C129" s="1" t="n">
        <v>45913</v>
      </c>
      <c r="D129" t="inlineStr">
        <is>
          <t>UPPSALA LÄN</t>
        </is>
      </c>
      <c r="E129" t="inlineStr">
        <is>
          <t>HEBY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67664-2021</t>
        </is>
      </c>
      <c r="B130" s="1" t="n">
        <v>44524</v>
      </c>
      <c r="C130" s="1" t="n">
        <v>45913</v>
      </c>
      <c r="D130" t="inlineStr">
        <is>
          <t>UPPSALA LÄN</t>
        </is>
      </c>
      <c r="E130" t="inlineStr">
        <is>
          <t>HEBY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69597-2021</t>
        </is>
      </c>
      <c r="B131" s="1" t="n">
        <v>44532</v>
      </c>
      <c r="C131" s="1" t="n">
        <v>45913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63959-2021</t>
        </is>
      </c>
      <c r="B132" s="1" t="n">
        <v>44509</v>
      </c>
      <c r="C132" s="1" t="n">
        <v>45913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45913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45913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45913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45913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26316-2022</t>
        </is>
      </c>
      <c r="B137" s="1" t="n">
        <v>44735</v>
      </c>
      <c r="C137" s="1" t="n">
        <v>45913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50541-2021</t>
        </is>
      </c>
      <c r="B138" s="1" t="n">
        <v>44459</v>
      </c>
      <c r="C138" s="1" t="n">
        <v>45913</v>
      </c>
      <c r="D138" t="inlineStr">
        <is>
          <t>UPPSALA LÄN</t>
        </is>
      </c>
      <c r="E138" t="inlineStr">
        <is>
          <t>HEBY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46223-2020</t>
        </is>
      </c>
      <c r="B139" s="1" t="n">
        <v>44092.47568287037</v>
      </c>
      <c r="C139" s="1" t="n">
        <v>45913</v>
      </c>
      <c r="D139" t="inlineStr">
        <is>
          <t>UPPSALA LÄN</t>
        </is>
      </c>
      <c r="E139" t="inlineStr">
        <is>
          <t>HEBY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11057-2024</t>
        </is>
      </c>
      <c r="B140" s="1" t="n">
        <v>45370.73208333334</v>
      </c>
      <c r="C140" s="1" t="n">
        <v>45913</v>
      </c>
      <c r="D140" t="inlineStr">
        <is>
          <t>UPPSALA LÄN</t>
        </is>
      </c>
      <c r="E140" t="inlineStr">
        <is>
          <t>HEBY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11009-2025</t>
        </is>
      </c>
      <c r="B141" s="1" t="n">
        <v>45723.45451388889</v>
      </c>
      <c r="C141" s="1" t="n">
        <v>45913</v>
      </c>
      <c r="D141" t="inlineStr">
        <is>
          <t>UPPSALA LÄN</t>
        </is>
      </c>
      <c r="E141" t="inlineStr">
        <is>
          <t>HEBY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5875-2021</t>
        </is>
      </c>
      <c r="B142" s="1" t="n">
        <v>44231</v>
      </c>
      <c r="C142" s="1" t="n">
        <v>45913</v>
      </c>
      <c r="D142" t="inlineStr">
        <is>
          <t>UPPSALA LÄN</t>
        </is>
      </c>
      <c r="E142" t="inlineStr">
        <is>
          <t>HEBY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5391-2024</t>
        </is>
      </c>
      <c r="B143" s="1" t="n">
        <v>45331</v>
      </c>
      <c r="C143" s="1" t="n">
        <v>45913</v>
      </c>
      <c r="D143" t="inlineStr">
        <is>
          <t>UPPSALA LÄN</t>
        </is>
      </c>
      <c r="E143" t="inlineStr">
        <is>
          <t>HEBY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27858-2022</t>
        </is>
      </c>
      <c r="B144" s="1" t="n">
        <v>44743.633125</v>
      </c>
      <c r="C144" s="1" t="n">
        <v>45913</v>
      </c>
      <c r="D144" t="inlineStr">
        <is>
          <t>UPPSALA LÄN</t>
        </is>
      </c>
      <c r="E144" t="inlineStr">
        <is>
          <t>HEBY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11059-2025</t>
        </is>
      </c>
      <c r="B145" s="1" t="n">
        <v>45723.5122337963</v>
      </c>
      <c r="C145" s="1" t="n">
        <v>45913</v>
      </c>
      <c r="D145" t="inlineStr">
        <is>
          <t>UPPSALA LÄN</t>
        </is>
      </c>
      <c r="E145" t="inlineStr">
        <is>
          <t>HEBY</t>
        </is>
      </c>
      <c r="F145" t="inlineStr">
        <is>
          <t>Kyrkan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66519-2021</t>
        </is>
      </c>
      <c r="B146" s="1" t="n">
        <v>44519</v>
      </c>
      <c r="C146" s="1" t="n">
        <v>45913</v>
      </c>
      <c r="D146" t="inlineStr">
        <is>
          <t>UPPSALA LÄN</t>
        </is>
      </c>
      <c r="E146" t="inlineStr">
        <is>
          <t>HEBY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6882-2024</t>
        </is>
      </c>
      <c r="B147" s="1" t="n">
        <v>45342.88319444445</v>
      </c>
      <c r="C147" s="1" t="n">
        <v>45913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6885-2024</t>
        </is>
      </c>
      <c r="B148" s="1" t="n">
        <v>45342.88614583333</v>
      </c>
      <c r="C148" s="1" t="n">
        <v>45913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45913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45913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10131-2025</t>
        </is>
      </c>
      <c r="B151" s="1" t="n">
        <v>45719.61053240741</v>
      </c>
      <c r="C151" s="1" t="n">
        <v>45913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54018-2023</t>
        </is>
      </c>
      <c r="B152" s="1" t="n">
        <v>45231.863125</v>
      </c>
      <c r="C152" s="1" t="n">
        <v>45913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24562-2023</t>
        </is>
      </c>
      <c r="B153" s="1" t="n">
        <v>45083</v>
      </c>
      <c r="C153" s="1" t="n">
        <v>45913</v>
      </c>
      <c r="D153" t="inlineStr">
        <is>
          <t>UPPSALA LÄN</t>
        </is>
      </c>
      <c r="E153" t="inlineStr">
        <is>
          <t>HEBY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16043-2021</t>
        </is>
      </c>
      <c r="B154" s="1" t="n">
        <v>44287</v>
      </c>
      <c r="C154" s="1" t="n">
        <v>45913</v>
      </c>
      <c r="D154" t="inlineStr">
        <is>
          <t>UPPSALA LÄN</t>
        </is>
      </c>
      <c r="E154" t="inlineStr">
        <is>
          <t>HEBY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12489-2024</t>
        </is>
      </c>
      <c r="B155" s="1" t="n">
        <v>45379.55935185185</v>
      </c>
      <c r="C155" s="1" t="n">
        <v>45913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13679-2024</t>
        </is>
      </c>
      <c r="B156" s="1" t="n">
        <v>45390.55424768518</v>
      </c>
      <c r="C156" s="1" t="n">
        <v>45913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13688-2024</t>
        </is>
      </c>
      <c r="B157" s="1" t="n">
        <v>45390</v>
      </c>
      <c r="C157" s="1" t="n">
        <v>45913</v>
      </c>
      <c r="D157" t="inlineStr">
        <is>
          <t>UPPSALA LÄN</t>
        </is>
      </c>
      <c r="E157" t="inlineStr">
        <is>
          <t>HEBY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9478-2025</t>
        </is>
      </c>
      <c r="B158" s="1" t="n">
        <v>45715.47774305556</v>
      </c>
      <c r="C158" s="1" t="n">
        <v>45913</v>
      </c>
      <c r="D158" t="inlineStr">
        <is>
          <t>UPPSALA LÄN</t>
        </is>
      </c>
      <c r="E158" t="inlineStr">
        <is>
          <t>HEBY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72180-2021</t>
        </is>
      </c>
      <c r="B159" s="1" t="n">
        <v>44543</v>
      </c>
      <c r="C159" s="1" t="n">
        <v>45913</v>
      </c>
      <c r="D159" t="inlineStr">
        <is>
          <t>UPPSALA LÄN</t>
        </is>
      </c>
      <c r="E159" t="inlineStr">
        <is>
          <t>HEBY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59702-2023</t>
        </is>
      </c>
      <c r="B160" s="1" t="n">
        <v>45256.91207175926</v>
      </c>
      <c r="C160" s="1" t="n">
        <v>45913</v>
      </c>
      <c r="D160" t="inlineStr">
        <is>
          <t>UPPSALA LÄN</t>
        </is>
      </c>
      <c r="E160" t="inlineStr">
        <is>
          <t>HEBY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17747-2021</t>
        </is>
      </c>
      <c r="B161" s="1" t="n">
        <v>44300</v>
      </c>
      <c r="C161" s="1" t="n">
        <v>45913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62145-2022</t>
        </is>
      </c>
      <c r="B162" s="1" t="n">
        <v>44914</v>
      </c>
      <c r="C162" s="1" t="n">
        <v>45913</v>
      </c>
      <c r="D162" t="inlineStr">
        <is>
          <t>UPPSALA LÄN</t>
        </is>
      </c>
      <c r="E162" t="inlineStr">
        <is>
          <t>HEBY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14262-2025</t>
        </is>
      </c>
      <c r="B163" s="1" t="n">
        <v>45740.63020833334</v>
      </c>
      <c r="C163" s="1" t="n">
        <v>45913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23410-2024</t>
        </is>
      </c>
      <c r="B164" s="1" t="n">
        <v>45453</v>
      </c>
      <c r="C164" s="1" t="n">
        <v>45913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41599-2023</t>
        </is>
      </c>
      <c r="B165" s="1" t="n">
        <v>45175.6459375</v>
      </c>
      <c r="C165" s="1" t="n">
        <v>45913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30297-2021</t>
        </is>
      </c>
      <c r="B166" s="1" t="n">
        <v>44364</v>
      </c>
      <c r="C166" s="1" t="n">
        <v>45913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387-2025</t>
        </is>
      </c>
      <c r="B167" s="1" t="n">
        <v>45662.6995949074</v>
      </c>
      <c r="C167" s="1" t="n">
        <v>45913</v>
      </c>
      <c r="D167" t="inlineStr">
        <is>
          <t>UPPSALA LÄN</t>
        </is>
      </c>
      <c r="E167" t="inlineStr">
        <is>
          <t>HEBY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31566-2023</t>
        </is>
      </c>
      <c r="B168" s="1" t="n">
        <v>45117</v>
      </c>
      <c r="C168" s="1" t="n">
        <v>45913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31567-2023</t>
        </is>
      </c>
      <c r="B169" s="1" t="n">
        <v>45117</v>
      </c>
      <c r="C169" s="1" t="n">
        <v>45913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31586-2023</t>
        </is>
      </c>
      <c r="B170" s="1" t="n">
        <v>45117</v>
      </c>
      <c r="C170" s="1" t="n">
        <v>45913</v>
      </c>
      <c r="D170" t="inlineStr">
        <is>
          <t>UPPSALA LÄN</t>
        </is>
      </c>
      <c r="E170" t="inlineStr">
        <is>
          <t>HEBY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58914-2023</t>
        </is>
      </c>
      <c r="B171" s="1" t="n">
        <v>45250</v>
      </c>
      <c r="C171" s="1" t="n">
        <v>45913</v>
      </c>
      <c r="D171" t="inlineStr">
        <is>
          <t>UPPSALA LÄN</t>
        </is>
      </c>
      <c r="E171" t="inlineStr">
        <is>
          <t>HEBY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54594-2024</t>
        </is>
      </c>
      <c r="B172" s="1" t="n">
        <v>45617</v>
      </c>
      <c r="C172" s="1" t="n">
        <v>45913</v>
      </c>
      <c r="D172" t="inlineStr">
        <is>
          <t>UPPSALA LÄN</t>
        </is>
      </c>
      <c r="E172" t="inlineStr">
        <is>
          <t>HEBY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61033-2024</t>
        </is>
      </c>
      <c r="B173" s="1" t="n">
        <v>45645.46418981482</v>
      </c>
      <c r="C173" s="1" t="n">
        <v>45913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3376-2024</t>
        </is>
      </c>
      <c r="B174" s="1" t="n">
        <v>45317</v>
      </c>
      <c r="C174" s="1" t="n">
        <v>45913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3377-2024</t>
        </is>
      </c>
      <c r="B175" s="1" t="n">
        <v>45317</v>
      </c>
      <c r="C175" s="1" t="n">
        <v>45913</v>
      </c>
      <c r="D175" t="inlineStr">
        <is>
          <t>UPPSALA LÄN</t>
        </is>
      </c>
      <c r="E175" t="inlineStr">
        <is>
          <t>HEBY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17697-2024</t>
        </is>
      </c>
      <c r="B176" s="1" t="n">
        <v>45418</v>
      </c>
      <c r="C176" s="1" t="n">
        <v>45913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73622-2021</t>
        </is>
      </c>
      <c r="B177" s="1" t="n">
        <v>44552</v>
      </c>
      <c r="C177" s="1" t="n">
        <v>45913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62083-2023</t>
        </is>
      </c>
      <c r="B178" s="1" t="n">
        <v>45266.80237268518</v>
      </c>
      <c r="C178" s="1" t="n">
        <v>45913</v>
      </c>
      <c r="D178" t="inlineStr">
        <is>
          <t>UPPSALA LÄN</t>
        </is>
      </c>
      <c r="E178" t="inlineStr">
        <is>
          <t>HEBY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2007-2024</t>
        </is>
      </c>
      <c r="B179" s="1" t="n">
        <v>45308.65503472222</v>
      </c>
      <c r="C179" s="1" t="n">
        <v>45913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15424-2025</t>
        </is>
      </c>
      <c r="B180" s="1" t="n">
        <v>45747.46403935185</v>
      </c>
      <c r="C180" s="1" t="n">
        <v>45913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20772-2025</t>
        </is>
      </c>
      <c r="B181" s="1" t="n">
        <v>45776</v>
      </c>
      <c r="C181" s="1" t="n">
        <v>45913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49971-2022</t>
        </is>
      </c>
      <c r="B182" s="1" t="n">
        <v>44865.38575231482</v>
      </c>
      <c r="C182" s="1" t="n">
        <v>45913</v>
      </c>
      <c r="D182" t="inlineStr">
        <is>
          <t>UPPSALA LÄN</t>
        </is>
      </c>
      <c r="E182" t="inlineStr">
        <is>
          <t>HEBY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56398-2023</t>
        </is>
      </c>
      <c r="B183" s="1" t="n">
        <v>45243.42628472222</v>
      </c>
      <c r="C183" s="1" t="n">
        <v>45913</v>
      </c>
      <c r="D183" t="inlineStr">
        <is>
          <t>UPPSALA LÄN</t>
        </is>
      </c>
      <c r="E183" t="inlineStr">
        <is>
          <t>HEBY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45913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40533-2022</t>
        </is>
      </c>
      <c r="B185" s="1" t="n">
        <v>44823</v>
      </c>
      <c r="C185" s="1" t="n">
        <v>45913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38049-2021</t>
        </is>
      </c>
      <c r="B186" s="1" t="n">
        <v>44404</v>
      </c>
      <c r="C186" s="1" t="n">
        <v>45913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20990-2025</t>
        </is>
      </c>
      <c r="B187" s="1" t="n">
        <v>45777</v>
      </c>
      <c r="C187" s="1" t="n">
        <v>45913</v>
      </c>
      <c r="D187" t="inlineStr">
        <is>
          <t>UPPSALA LÄN</t>
        </is>
      </c>
      <c r="E187" t="inlineStr">
        <is>
          <t>HEBY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20995-2025</t>
        </is>
      </c>
      <c r="B188" s="1" t="n">
        <v>45777</v>
      </c>
      <c r="C188" s="1" t="n">
        <v>45913</v>
      </c>
      <c r="D188" t="inlineStr">
        <is>
          <t>UPPSALA LÄN</t>
        </is>
      </c>
      <c r="E188" t="inlineStr">
        <is>
          <t>HEBY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58332-2023</t>
        </is>
      </c>
      <c r="B189" s="1" t="n">
        <v>45250</v>
      </c>
      <c r="C189" s="1" t="n">
        <v>45913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62765-2020</t>
        </is>
      </c>
      <c r="B190" s="1" t="n">
        <v>44161</v>
      </c>
      <c r="C190" s="1" t="n">
        <v>45913</v>
      </c>
      <c r="D190" t="inlineStr">
        <is>
          <t>UPPSALA LÄN</t>
        </is>
      </c>
      <c r="E190" t="inlineStr">
        <is>
          <t>HEBY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13593-2023</t>
        </is>
      </c>
      <c r="B191" s="1" t="n">
        <v>45006.57304398148</v>
      </c>
      <c r="C191" s="1" t="n">
        <v>45913</v>
      </c>
      <c r="D191" t="inlineStr">
        <is>
          <t>UPPSALA LÄN</t>
        </is>
      </c>
      <c r="E191" t="inlineStr">
        <is>
          <t>HEBY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37781-2022</t>
        </is>
      </c>
      <c r="B192" s="1" t="n">
        <v>44810</v>
      </c>
      <c r="C192" s="1" t="n">
        <v>45913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16404-2023</t>
        </is>
      </c>
      <c r="B193" s="1" t="n">
        <v>45029</v>
      </c>
      <c r="C193" s="1" t="n">
        <v>45913</v>
      </c>
      <c r="D193" t="inlineStr">
        <is>
          <t>UPPSALA LÄN</t>
        </is>
      </c>
      <c r="E193" t="inlineStr">
        <is>
          <t>HEBY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22334-2025</t>
        </is>
      </c>
      <c r="B194" s="1" t="n">
        <v>45786.4380787037</v>
      </c>
      <c r="C194" s="1" t="n">
        <v>45913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963-2022</t>
        </is>
      </c>
      <c r="B195" s="1" t="n">
        <v>44568</v>
      </c>
      <c r="C195" s="1" t="n">
        <v>45913</v>
      </c>
      <c r="D195" t="inlineStr">
        <is>
          <t>UPPSALA LÄN</t>
        </is>
      </c>
      <c r="E195" t="inlineStr">
        <is>
          <t>HEBY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14437-2024</t>
        </is>
      </c>
      <c r="B196" s="1" t="n">
        <v>45394</v>
      </c>
      <c r="C196" s="1" t="n">
        <v>45913</v>
      </c>
      <c r="D196" t="inlineStr">
        <is>
          <t>UPPSALA LÄN</t>
        </is>
      </c>
      <c r="E196" t="inlineStr">
        <is>
          <t>HEBY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62084-2023</t>
        </is>
      </c>
      <c r="B197" s="1" t="n">
        <v>45266.82302083333</v>
      </c>
      <c r="C197" s="1" t="n">
        <v>45913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31108-2021</t>
        </is>
      </c>
      <c r="B198" s="1" t="n">
        <v>44368</v>
      </c>
      <c r="C198" s="1" t="n">
        <v>45913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22327-2025</t>
        </is>
      </c>
      <c r="B199" s="1" t="n">
        <v>45786.42326388889</v>
      </c>
      <c r="C199" s="1" t="n">
        <v>45913</v>
      </c>
      <c r="D199" t="inlineStr">
        <is>
          <t>UPPSALA LÄN</t>
        </is>
      </c>
      <c r="E199" t="inlineStr">
        <is>
          <t>HEBY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27879-2023</t>
        </is>
      </c>
      <c r="B200" s="1" t="n">
        <v>45098.59533564815</v>
      </c>
      <c r="C200" s="1" t="n">
        <v>45913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45913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53911-2023</t>
        </is>
      </c>
      <c r="B202" s="1" t="n">
        <v>45231.56061342593</v>
      </c>
      <c r="C202" s="1" t="n">
        <v>45913</v>
      </c>
      <c r="D202" t="inlineStr">
        <is>
          <t>UPPSALA LÄN</t>
        </is>
      </c>
      <c r="E202" t="inlineStr">
        <is>
          <t>HEBY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3355-2024</t>
        </is>
      </c>
      <c r="B203" s="1" t="n">
        <v>45317</v>
      </c>
      <c r="C203" s="1" t="n">
        <v>45913</v>
      </c>
      <c r="D203" t="inlineStr">
        <is>
          <t>UPPSALA LÄN</t>
        </is>
      </c>
      <c r="E203" t="inlineStr">
        <is>
          <t>HEBY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8051-2023</t>
        </is>
      </c>
      <c r="B204" s="1" t="n">
        <v>44974</v>
      </c>
      <c r="C204" s="1" t="n">
        <v>45913</v>
      </c>
      <c r="D204" t="inlineStr">
        <is>
          <t>UPPSALA LÄN</t>
        </is>
      </c>
      <c r="E204" t="inlineStr">
        <is>
          <t>HEBY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42938-2022</t>
        </is>
      </c>
      <c r="B205" s="1" t="n">
        <v>44833</v>
      </c>
      <c r="C205" s="1" t="n">
        <v>45913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35644-2024</t>
        </is>
      </c>
      <c r="B206" s="1" t="n">
        <v>45532</v>
      </c>
      <c r="C206" s="1" t="n">
        <v>45913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11715-2024</t>
        </is>
      </c>
      <c r="B207" s="1" t="n">
        <v>45373.63015046297</v>
      </c>
      <c r="C207" s="1" t="n">
        <v>45913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8699-2024</t>
        </is>
      </c>
      <c r="B208" s="1" t="n">
        <v>45355</v>
      </c>
      <c r="C208" s="1" t="n">
        <v>45913</v>
      </c>
      <c r="D208" t="inlineStr">
        <is>
          <t>UPPSALA LÄN</t>
        </is>
      </c>
      <c r="E208" t="inlineStr">
        <is>
          <t>HEBY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13601-2024</t>
        </is>
      </c>
      <c r="B209" s="1" t="n">
        <v>45390.31896990741</v>
      </c>
      <c r="C209" s="1" t="n">
        <v>45913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11379-2025</t>
        </is>
      </c>
      <c r="B210" s="1" t="n">
        <v>45726.55914351852</v>
      </c>
      <c r="C210" s="1" t="n">
        <v>45913</v>
      </c>
      <c r="D210" t="inlineStr">
        <is>
          <t>UPPSALA LÄN</t>
        </is>
      </c>
      <c r="E210" t="inlineStr">
        <is>
          <t>HEBY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39157-2023</t>
        </is>
      </c>
      <c r="B211" s="1" t="n">
        <v>45166</v>
      </c>
      <c r="C211" s="1" t="n">
        <v>45913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8805-2023</t>
        </is>
      </c>
      <c r="B212" s="1" t="n">
        <v>44978.61866898148</v>
      </c>
      <c r="C212" s="1" t="n">
        <v>45913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11503-2023</t>
        </is>
      </c>
      <c r="B213" s="1" t="n">
        <v>44993</v>
      </c>
      <c r="C213" s="1" t="n">
        <v>45913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32181-2024</t>
        </is>
      </c>
      <c r="B214" s="1" t="n">
        <v>45511</v>
      </c>
      <c r="C214" s="1" t="n">
        <v>45913</v>
      </c>
      <c r="D214" t="inlineStr">
        <is>
          <t>UPPSALA LÄN</t>
        </is>
      </c>
      <c r="E214" t="inlineStr">
        <is>
          <t>HEBY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37073-2024</t>
        </is>
      </c>
      <c r="B215" s="1" t="n">
        <v>45539.47310185185</v>
      </c>
      <c r="C215" s="1" t="n">
        <v>45913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59824-2024</t>
        </is>
      </c>
      <c r="B216" s="1" t="n">
        <v>45639.64104166667</v>
      </c>
      <c r="C216" s="1" t="n">
        <v>45913</v>
      </c>
      <c r="D216" t="inlineStr">
        <is>
          <t>UPPSALA LÄN</t>
        </is>
      </c>
      <c r="E216" t="inlineStr">
        <is>
          <t>HEBY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9761-2023</t>
        </is>
      </c>
      <c r="B217" s="1" t="n">
        <v>44984.57246527778</v>
      </c>
      <c r="C217" s="1" t="n">
        <v>45913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9773-2023</t>
        </is>
      </c>
      <c r="B218" s="1" t="n">
        <v>44984</v>
      </c>
      <c r="C218" s="1" t="n">
        <v>45913</v>
      </c>
      <c r="D218" t="inlineStr">
        <is>
          <t>UPPSALA LÄN</t>
        </is>
      </c>
      <c r="E218" t="inlineStr">
        <is>
          <t>HEBY</t>
        </is>
      </c>
      <c r="F218" t="inlineStr">
        <is>
          <t>Allmännings- och besparingsskogar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13213-2022</t>
        </is>
      </c>
      <c r="B219" s="1" t="n">
        <v>44644</v>
      </c>
      <c r="C219" s="1" t="n">
        <v>45913</v>
      </c>
      <c r="D219" t="inlineStr">
        <is>
          <t>UPPSALA LÄN</t>
        </is>
      </c>
      <c r="E219" t="inlineStr">
        <is>
          <t>HEBY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25203-2021</t>
        </is>
      </c>
      <c r="B220" s="1" t="n">
        <v>44342</v>
      </c>
      <c r="C220" s="1" t="n">
        <v>45913</v>
      </c>
      <c r="D220" t="inlineStr">
        <is>
          <t>UPPSALA LÄN</t>
        </is>
      </c>
      <c r="E220" t="inlineStr">
        <is>
          <t>HEBY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1160-2024</t>
        </is>
      </c>
      <c r="B221" s="1" t="n">
        <v>45302.52365740741</v>
      </c>
      <c r="C221" s="1" t="n">
        <v>45913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64364-2021</t>
        </is>
      </c>
      <c r="B222" s="1" t="n">
        <v>44511</v>
      </c>
      <c r="C222" s="1" t="n">
        <v>45913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56073-2024</t>
        </is>
      </c>
      <c r="B223" s="1" t="n">
        <v>45624</v>
      </c>
      <c r="C223" s="1" t="n">
        <v>45913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62650-2022</t>
        </is>
      </c>
      <c r="B224" s="1" t="n">
        <v>44925.48966435185</v>
      </c>
      <c r="C224" s="1" t="n">
        <v>45913</v>
      </c>
      <c r="D224" t="inlineStr">
        <is>
          <t>UPPSALA LÄN</t>
        </is>
      </c>
      <c r="E224" t="inlineStr">
        <is>
          <t>HEBY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7429-2025</t>
        </is>
      </c>
      <c r="B225" s="1" t="n">
        <v>45705</v>
      </c>
      <c r="C225" s="1" t="n">
        <v>45913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34494-2021</t>
        </is>
      </c>
      <c r="B226" s="1" t="n">
        <v>44382.32331018519</v>
      </c>
      <c r="C226" s="1" t="n">
        <v>45913</v>
      </c>
      <c r="D226" t="inlineStr">
        <is>
          <t>UPPSALA LÄN</t>
        </is>
      </c>
      <c r="E226" t="inlineStr">
        <is>
          <t>HEBY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22460-2025</t>
        </is>
      </c>
      <c r="B227" s="1" t="n">
        <v>45786.60734953704</v>
      </c>
      <c r="C227" s="1" t="n">
        <v>45913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22333-2025</t>
        </is>
      </c>
      <c r="B228" s="1" t="n">
        <v>45786.43655092592</v>
      </c>
      <c r="C228" s="1" t="n">
        <v>45913</v>
      </c>
      <c r="D228" t="inlineStr">
        <is>
          <t>UPPSALA LÄN</t>
        </is>
      </c>
      <c r="E228" t="inlineStr">
        <is>
          <t>HEBY</t>
        </is>
      </c>
      <c r="F228" t="inlineStr">
        <is>
          <t>Kyrkan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31560-2023</t>
        </is>
      </c>
      <c r="B229" s="1" t="n">
        <v>45117</v>
      </c>
      <c r="C229" s="1" t="n">
        <v>45913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31569-2023</t>
        </is>
      </c>
      <c r="B230" s="1" t="n">
        <v>45117</v>
      </c>
      <c r="C230" s="1" t="n">
        <v>45913</v>
      </c>
      <c r="D230" t="inlineStr">
        <is>
          <t>UPPSALA LÄN</t>
        </is>
      </c>
      <c r="E230" t="inlineStr">
        <is>
          <t>HEBY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HYPERLINK("https://klasma.github.io/Logging_0331/knärot/A 31569-2023 karta knärot.png", "A 31569-2023")</f>
        <v/>
      </c>
      <c r="V230">
        <f>HYPERLINK("https://klasma.github.io/Logging_0331/klagomål/A 31569-2023 FSC-klagomål.docx", "A 31569-2023")</f>
        <v/>
      </c>
      <c r="W230">
        <f>HYPERLINK("https://klasma.github.io/Logging_0331/klagomålsmail/A 31569-2023 FSC-klagomål mail.docx", "A 31569-2023")</f>
        <v/>
      </c>
      <c r="X230">
        <f>HYPERLINK("https://klasma.github.io/Logging_0331/tillsyn/A 31569-2023 tillsynsbegäran.docx", "A 31569-2023")</f>
        <v/>
      </c>
      <c r="Y230">
        <f>HYPERLINK("https://klasma.github.io/Logging_0331/tillsynsmail/A 31569-2023 tillsynsbegäran mail.docx", "A 31569-2023")</f>
        <v/>
      </c>
    </row>
    <row r="231" ht="15" customHeight="1">
      <c r="A231" t="inlineStr">
        <is>
          <t>A 55204-2022</t>
        </is>
      </c>
      <c r="B231" s="1" t="n">
        <v>44886</v>
      </c>
      <c r="C231" s="1" t="n">
        <v>45913</v>
      </c>
      <c r="D231" t="inlineStr">
        <is>
          <t>UPPSALA LÄN</t>
        </is>
      </c>
      <c r="E231" t="inlineStr">
        <is>
          <t>HEBY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48029-2024</t>
        </is>
      </c>
      <c r="B232" s="1" t="n">
        <v>45589.48607638889</v>
      </c>
      <c r="C232" s="1" t="n">
        <v>45913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9815-2022</t>
        </is>
      </c>
      <c r="B233" s="1" t="n">
        <v>44620.42810185185</v>
      </c>
      <c r="C233" s="1" t="n">
        <v>45913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4213-2023</t>
        </is>
      </c>
      <c r="B234" s="1" t="n">
        <v>44951</v>
      </c>
      <c r="C234" s="1" t="n">
        <v>45913</v>
      </c>
      <c r="D234" t="inlineStr">
        <is>
          <t>UPPSALA LÄN</t>
        </is>
      </c>
      <c r="E234" t="inlineStr">
        <is>
          <t>HEBY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8660-2022</t>
        </is>
      </c>
      <c r="B235" s="1" t="n">
        <v>44613.66513888889</v>
      </c>
      <c r="C235" s="1" t="n">
        <v>45913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69377-2021</t>
        </is>
      </c>
      <c r="B236" s="1" t="n">
        <v>44531</v>
      </c>
      <c r="C236" s="1" t="n">
        <v>45913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6497-2024</t>
        </is>
      </c>
      <c r="B237" s="1" t="n">
        <v>45339.74579861111</v>
      </c>
      <c r="C237" s="1" t="n">
        <v>45913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31101-2024</t>
        </is>
      </c>
      <c r="B238" s="1" t="n">
        <v>45502</v>
      </c>
      <c r="C238" s="1" t="n">
        <v>45913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5390-2024</t>
        </is>
      </c>
      <c r="B239" s="1" t="n">
        <v>45331</v>
      </c>
      <c r="C239" s="1" t="n">
        <v>45913</v>
      </c>
      <c r="D239" t="inlineStr">
        <is>
          <t>UPPSALA LÄN</t>
        </is>
      </c>
      <c r="E239" t="inlineStr">
        <is>
          <t>HEBY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74215-2021</t>
        </is>
      </c>
      <c r="B240" s="1" t="n">
        <v>44558.56614583333</v>
      </c>
      <c r="C240" s="1" t="n">
        <v>45913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56302-2021</t>
        </is>
      </c>
      <c r="B241" s="1" t="n">
        <v>44477</v>
      </c>
      <c r="C241" s="1" t="n">
        <v>45913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41556-2023</t>
        </is>
      </c>
      <c r="B242" s="1" t="n">
        <v>45175.58421296296</v>
      </c>
      <c r="C242" s="1" t="n">
        <v>45913</v>
      </c>
      <c r="D242" t="inlineStr">
        <is>
          <t>UPPSALA LÄN</t>
        </is>
      </c>
      <c r="E242" t="inlineStr">
        <is>
          <t>HEBY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2309-2025</t>
        </is>
      </c>
      <c r="B243" s="1" t="n">
        <v>45673</v>
      </c>
      <c r="C243" s="1" t="n">
        <v>45913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23890-2025</t>
        </is>
      </c>
      <c r="B244" s="1" t="n">
        <v>45793</v>
      </c>
      <c r="C244" s="1" t="n">
        <v>45913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3234-2023</t>
        </is>
      </c>
      <c r="B245" s="1" t="n">
        <v>44946.81241898148</v>
      </c>
      <c r="C245" s="1" t="n">
        <v>45913</v>
      </c>
      <c r="D245" t="inlineStr">
        <is>
          <t>UPPSALA LÄN</t>
        </is>
      </c>
      <c r="E245" t="inlineStr">
        <is>
          <t>HEBY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40924-2023</t>
        </is>
      </c>
      <c r="B246" s="1" t="n">
        <v>45173.4337962963</v>
      </c>
      <c r="C246" s="1" t="n">
        <v>45913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40926-2023</t>
        </is>
      </c>
      <c r="B247" s="1" t="n">
        <v>45173.43603009259</v>
      </c>
      <c r="C247" s="1" t="n">
        <v>45913</v>
      </c>
      <c r="D247" t="inlineStr">
        <is>
          <t>UPPSALA LÄN</t>
        </is>
      </c>
      <c r="E247" t="inlineStr">
        <is>
          <t>HEBY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13978-2023</t>
        </is>
      </c>
      <c r="B248" s="1" t="n">
        <v>45008</v>
      </c>
      <c r="C248" s="1" t="n">
        <v>45913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45313-2022</t>
        </is>
      </c>
      <c r="B249" s="1" t="n">
        <v>44844.57619212963</v>
      </c>
      <c r="C249" s="1" t="n">
        <v>45913</v>
      </c>
      <c r="D249" t="inlineStr">
        <is>
          <t>UPPSALA LÄN</t>
        </is>
      </c>
      <c r="E249" t="inlineStr">
        <is>
          <t>HEBY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4740-2024</t>
        </is>
      </c>
      <c r="B250" s="1" t="n">
        <v>45328</v>
      </c>
      <c r="C250" s="1" t="n">
        <v>45913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33734-2023</t>
        </is>
      </c>
      <c r="B251" s="1" t="n">
        <v>45133.32862268519</v>
      </c>
      <c r="C251" s="1" t="n">
        <v>45913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38670-2024</t>
        </is>
      </c>
      <c r="B252" s="1" t="n">
        <v>45547.32439814815</v>
      </c>
      <c r="C252" s="1" t="n">
        <v>45913</v>
      </c>
      <c r="D252" t="inlineStr">
        <is>
          <t>UPPSALA LÄN</t>
        </is>
      </c>
      <c r="E252" t="inlineStr">
        <is>
          <t>HEBY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32867-2023</t>
        </is>
      </c>
      <c r="B253" s="1" t="n">
        <v>45112</v>
      </c>
      <c r="C253" s="1" t="n">
        <v>45913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48948-2023</t>
        </is>
      </c>
      <c r="B254" s="1" t="n">
        <v>45209.58063657407</v>
      </c>
      <c r="C254" s="1" t="n">
        <v>45913</v>
      </c>
      <c r="D254" t="inlineStr">
        <is>
          <t>UPPSALA LÄN</t>
        </is>
      </c>
      <c r="E254" t="inlineStr">
        <is>
          <t>HEBY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8783-2023</t>
        </is>
      </c>
      <c r="B255" s="1" t="n">
        <v>44978.58017361111</v>
      </c>
      <c r="C255" s="1" t="n">
        <v>45913</v>
      </c>
      <c r="D255" t="inlineStr">
        <is>
          <t>UPPSALA LÄN</t>
        </is>
      </c>
      <c r="E255" t="inlineStr">
        <is>
          <t>HEBY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52796-2024</t>
        </is>
      </c>
      <c r="B256" s="1" t="n">
        <v>45610.56269675926</v>
      </c>
      <c r="C256" s="1" t="n">
        <v>45913</v>
      </c>
      <c r="D256" t="inlineStr">
        <is>
          <t>UPPSALA LÄN</t>
        </is>
      </c>
      <c r="E256" t="inlineStr">
        <is>
          <t>HEBY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47149-2020</t>
        </is>
      </c>
      <c r="B257" s="1" t="n">
        <v>44097</v>
      </c>
      <c r="C257" s="1" t="n">
        <v>45913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36483-2024</t>
        </is>
      </c>
      <c r="B258" s="1" t="n">
        <v>45537</v>
      </c>
      <c r="C258" s="1" t="n">
        <v>45913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33350-2024</t>
        </is>
      </c>
      <c r="B259" s="1" t="n">
        <v>45519</v>
      </c>
      <c r="C259" s="1" t="n">
        <v>45913</v>
      </c>
      <c r="D259" t="inlineStr">
        <is>
          <t>UPPSALA LÄN</t>
        </is>
      </c>
      <c r="E259" t="inlineStr">
        <is>
          <t>HEBY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24381-2025</t>
        </is>
      </c>
      <c r="B260" s="1" t="n">
        <v>45797</v>
      </c>
      <c r="C260" s="1" t="n">
        <v>45913</v>
      </c>
      <c r="D260" t="inlineStr">
        <is>
          <t>UPPSALA LÄN</t>
        </is>
      </c>
      <c r="E260" t="inlineStr">
        <is>
          <t>HEBY</t>
        </is>
      </c>
      <c r="F260" t="inlineStr">
        <is>
          <t>Kyrkan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51109-2020</t>
        </is>
      </c>
      <c r="B261" s="1" t="n">
        <v>44112</v>
      </c>
      <c r="C261" s="1" t="n">
        <v>45913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6226-2024</t>
        </is>
      </c>
      <c r="B262" s="1" t="n">
        <v>45337</v>
      </c>
      <c r="C262" s="1" t="n">
        <v>45913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42725-2023</t>
        </is>
      </c>
      <c r="B263" s="1" t="n">
        <v>45181.63969907408</v>
      </c>
      <c r="C263" s="1" t="n">
        <v>45913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1755-2022</t>
        </is>
      </c>
      <c r="B264" s="1" t="n">
        <v>44574</v>
      </c>
      <c r="C264" s="1" t="n">
        <v>45913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20935-2024</t>
        </is>
      </c>
      <c r="B265" s="1" t="n">
        <v>45439.5318287037</v>
      </c>
      <c r="C265" s="1" t="n">
        <v>45913</v>
      </c>
      <c r="D265" t="inlineStr">
        <is>
          <t>UPPSALA LÄN</t>
        </is>
      </c>
      <c r="E265" t="inlineStr">
        <is>
          <t>HEBY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73385-2021</t>
        </is>
      </c>
      <c r="B266" s="1" t="n">
        <v>44551</v>
      </c>
      <c r="C266" s="1" t="n">
        <v>45913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50163-2024</t>
        </is>
      </c>
      <c r="B267" s="1" t="n">
        <v>45599</v>
      </c>
      <c r="C267" s="1" t="n">
        <v>45913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26596-2024</t>
        </is>
      </c>
      <c r="B268" s="1" t="n">
        <v>45469</v>
      </c>
      <c r="C268" s="1" t="n">
        <v>45913</v>
      </c>
      <c r="D268" t="inlineStr">
        <is>
          <t>UPPSALA LÄN</t>
        </is>
      </c>
      <c r="E268" t="inlineStr">
        <is>
          <t>HEBY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31139-2023</t>
        </is>
      </c>
      <c r="B269" s="1" t="n">
        <v>45103</v>
      </c>
      <c r="C269" s="1" t="n">
        <v>45913</v>
      </c>
      <c r="D269" t="inlineStr">
        <is>
          <t>UPPSALA LÄN</t>
        </is>
      </c>
      <c r="E269" t="inlineStr">
        <is>
          <t>HEBY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64899-2021</t>
        </is>
      </c>
      <c r="B270" s="1" t="n">
        <v>44512</v>
      </c>
      <c r="C270" s="1" t="n">
        <v>45913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öst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58080-2020</t>
        </is>
      </c>
      <c r="B271" s="1" t="n">
        <v>44144.44521990741</v>
      </c>
      <c r="C271" s="1" t="n">
        <v>45913</v>
      </c>
      <c r="D271" t="inlineStr">
        <is>
          <t>UPPSALA LÄN</t>
        </is>
      </c>
      <c r="E271" t="inlineStr">
        <is>
          <t>HEBY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11573-2025</t>
        </is>
      </c>
      <c r="B272" s="1" t="n">
        <v>45727.38081018518</v>
      </c>
      <c r="C272" s="1" t="n">
        <v>45913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15427-2025</t>
        </is>
      </c>
      <c r="B273" s="1" t="n">
        <v>45747.46694444444</v>
      </c>
      <c r="C273" s="1" t="n">
        <v>45913</v>
      </c>
      <c r="D273" t="inlineStr">
        <is>
          <t>UPPSALA LÄN</t>
        </is>
      </c>
      <c r="E273" t="inlineStr">
        <is>
          <t>HEBY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38831-2024</t>
        </is>
      </c>
      <c r="B274" s="1" t="n">
        <v>45547.57539351852</v>
      </c>
      <c r="C274" s="1" t="n">
        <v>45913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25968-2025</t>
        </is>
      </c>
      <c r="B275" s="1" t="n">
        <v>45804.62293981481</v>
      </c>
      <c r="C275" s="1" t="n">
        <v>45913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25969-2025</t>
        </is>
      </c>
      <c r="B276" s="1" t="n">
        <v>45804.62568287037</v>
      </c>
      <c r="C276" s="1" t="n">
        <v>45913</v>
      </c>
      <c r="D276" t="inlineStr">
        <is>
          <t>UPPSALA LÄN</t>
        </is>
      </c>
      <c r="E276" t="inlineStr">
        <is>
          <t>HEBY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2487-2025</t>
        </is>
      </c>
      <c r="B277" s="1" t="n">
        <v>45674</v>
      </c>
      <c r="C277" s="1" t="n">
        <v>45913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35865-2022</t>
        </is>
      </c>
      <c r="B278" s="1" t="n">
        <v>44802.44090277778</v>
      </c>
      <c r="C278" s="1" t="n">
        <v>45913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35875-2022</t>
        </is>
      </c>
      <c r="B279" s="1" t="n">
        <v>44802</v>
      </c>
      <c r="C279" s="1" t="n">
        <v>45913</v>
      </c>
      <c r="D279" t="inlineStr">
        <is>
          <t>UPPSALA LÄN</t>
        </is>
      </c>
      <c r="E279" t="inlineStr">
        <is>
          <t>HEBY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25675-2025</t>
        </is>
      </c>
      <c r="B280" s="1" t="n">
        <v>45803.63481481482</v>
      </c>
      <c r="C280" s="1" t="n">
        <v>45913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25677-2025</t>
        </is>
      </c>
      <c r="B281" s="1" t="n">
        <v>45803.6384375</v>
      </c>
      <c r="C281" s="1" t="n">
        <v>45913</v>
      </c>
      <c r="D281" t="inlineStr">
        <is>
          <t>UPPSALA LÄN</t>
        </is>
      </c>
      <c r="E281" t="inlineStr">
        <is>
          <t>HEBY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59764-2020</t>
        </is>
      </c>
      <c r="B282" s="1" t="n">
        <v>44151</v>
      </c>
      <c r="C282" s="1" t="n">
        <v>45913</v>
      </c>
      <c r="D282" t="inlineStr">
        <is>
          <t>UPPSALA LÄN</t>
        </is>
      </c>
      <c r="E282" t="inlineStr">
        <is>
          <t>HEBY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60722-2022</t>
        </is>
      </c>
      <c r="B283" s="1" t="n">
        <v>44913</v>
      </c>
      <c r="C283" s="1" t="n">
        <v>45913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7497-2025</t>
        </is>
      </c>
      <c r="B284" s="1" t="n">
        <v>45705</v>
      </c>
      <c r="C284" s="1" t="n">
        <v>45913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23065-2023</t>
        </is>
      </c>
      <c r="B285" s="1" t="n">
        <v>45075</v>
      </c>
      <c r="C285" s="1" t="n">
        <v>45913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39154-2023</t>
        </is>
      </c>
      <c r="B286" s="1" t="n">
        <v>45166</v>
      </c>
      <c r="C286" s="1" t="n">
        <v>45913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26100-2025</t>
        </is>
      </c>
      <c r="B287" s="1" t="n">
        <v>45805.35634259259</v>
      </c>
      <c r="C287" s="1" t="n">
        <v>45913</v>
      </c>
      <c r="D287" t="inlineStr">
        <is>
          <t>UPPSALA LÄN</t>
        </is>
      </c>
      <c r="E287" t="inlineStr">
        <is>
          <t>HEBY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10414-2022</t>
        </is>
      </c>
      <c r="B288" s="1" t="n">
        <v>44623.45859953704</v>
      </c>
      <c r="C288" s="1" t="n">
        <v>45913</v>
      </c>
      <c r="D288" t="inlineStr">
        <is>
          <t>UPPSALA LÄN</t>
        </is>
      </c>
      <c r="E288" t="inlineStr">
        <is>
          <t>HEBY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3641-2022</t>
        </is>
      </c>
      <c r="B289" s="1" t="n">
        <v>44586.45454861111</v>
      </c>
      <c r="C289" s="1" t="n">
        <v>45913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26099-2025</t>
        </is>
      </c>
      <c r="B290" s="1" t="n">
        <v>45805.35449074074</v>
      </c>
      <c r="C290" s="1" t="n">
        <v>45913</v>
      </c>
      <c r="D290" t="inlineStr">
        <is>
          <t>UPPSALA LÄN</t>
        </is>
      </c>
      <c r="E290" t="inlineStr">
        <is>
          <t>HEBY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19718-2023</t>
        </is>
      </c>
      <c r="B291" s="1" t="n">
        <v>45050</v>
      </c>
      <c r="C291" s="1" t="n">
        <v>45913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26849-2025</t>
        </is>
      </c>
      <c r="B292" s="1" t="n">
        <v>45810.66966435185</v>
      </c>
      <c r="C292" s="1" t="n">
        <v>45913</v>
      </c>
      <c r="D292" t="inlineStr">
        <is>
          <t>UPPSALA LÄN</t>
        </is>
      </c>
      <c r="E292" t="inlineStr">
        <is>
          <t>HEBY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6618-2021</t>
        </is>
      </c>
      <c r="B293" s="1" t="n">
        <v>44235</v>
      </c>
      <c r="C293" s="1" t="n">
        <v>45913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42859-2024</t>
        </is>
      </c>
      <c r="B294" s="1" t="n">
        <v>45566.65292824074</v>
      </c>
      <c r="C294" s="1" t="n">
        <v>45913</v>
      </c>
      <c r="D294" t="inlineStr">
        <is>
          <t>UPPSALA LÄN</t>
        </is>
      </c>
      <c r="E294" t="inlineStr">
        <is>
          <t>HEBY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13676-2024</t>
        </is>
      </c>
      <c r="B295" s="1" t="n">
        <v>45390.54846064815</v>
      </c>
      <c r="C295" s="1" t="n">
        <v>45913</v>
      </c>
      <c r="D295" t="inlineStr">
        <is>
          <t>UPPSALA LÄN</t>
        </is>
      </c>
      <c r="E295" t="inlineStr">
        <is>
          <t>HEBY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14884-2024</t>
        </is>
      </c>
      <c r="B296" s="1" t="n">
        <v>45398.54893518519</v>
      </c>
      <c r="C296" s="1" t="n">
        <v>45913</v>
      </c>
      <c r="D296" t="inlineStr">
        <is>
          <t>UPPSALA LÄN</t>
        </is>
      </c>
      <c r="E296" t="inlineStr">
        <is>
          <t>HEBY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59015-2022</t>
        </is>
      </c>
      <c r="B297" s="1" t="n">
        <v>44903</v>
      </c>
      <c r="C297" s="1" t="n">
        <v>45913</v>
      </c>
      <c r="D297" t="inlineStr">
        <is>
          <t>UPPSALA LÄN</t>
        </is>
      </c>
      <c r="E297" t="inlineStr">
        <is>
          <t>HEBY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3466-2025</t>
        </is>
      </c>
      <c r="B298" s="1" t="n">
        <v>45680.50231481482</v>
      </c>
      <c r="C298" s="1" t="n">
        <v>45913</v>
      </c>
      <c r="D298" t="inlineStr">
        <is>
          <t>UPPSALA LÄN</t>
        </is>
      </c>
      <c r="E298" t="inlineStr">
        <is>
          <t>HEBY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9758-2023</t>
        </is>
      </c>
      <c r="B299" s="1" t="n">
        <v>44984.56869212963</v>
      </c>
      <c r="C299" s="1" t="n">
        <v>45913</v>
      </c>
      <c r="D299" t="inlineStr">
        <is>
          <t>UPPSALA LÄN</t>
        </is>
      </c>
      <c r="E299" t="inlineStr">
        <is>
          <t>HEBY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52254-2024</t>
        </is>
      </c>
      <c r="B300" s="1" t="n">
        <v>45608</v>
      </c>
      <c r="C300" s="1" t="n">
        <v>45913</v>
      </c>
      <c r="D300" t="inlineStr">
        <is>
          <t>UPPSALA LÄN</t>
        </is>
      </c>
      <c r="E300" t="inlineStr">
        <is>
          <t>HEBY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1752-2022</t>
        </is>
      </c>
      <c r="B301" s="1" t="n">
        <v>44574</v>
      </c>
      <c r="C301" s="1" t="n">
        <v>45913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33366-2024</t>
        </is>
      </c>
      <c r="B302" s="1" t="n">
        <v>45519.42024305555</v>
      </c>
      <c r="C302" s="1" t="n">
        <v>45913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25525-2023</t>
        </is>
      </c>
      <c r="B303" s="1" t="n">
        <v>45089</v>
      </c>
      <c r="C303" s="1" t="n">
        <v>45913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26830-2025</t>
        </is>
      </c>
      <c r="B304" s="1" t="n">
        <v>45810.65658564815</v>
      </c>
      <c r="C304" s="1" t="n">
        <v>45913</v>
      </c>
      <c r="D304" t="inlineStr">
        <is>
          <t>UPPSALA LÄN</t>
        </is>
      </c>
      <c r="E304" t="inlineStr">
        <is>
          <t>HEBY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45821-2023</t>
        </is>
      </c>
      <c r="B305" s="1" t="n">
        <v>45195.52546296296</v>
      </c>
      <c r="C305" s="1" t="n">
        <v>45913</v>
      </c>
      <c r="D305" t="inlineStr">
        <is>
          <t>UPPSALA LÄN</t>
        </is>
      </c>
      <c r="E305" t="inlineStr">
        <is>
          <t>HEBY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33394-2024</t>
        </is>
      </c>
      <c r="B306" s="1" t="n">
        <v>45519</v>
      </c>
      <c r="C306" s="1" t="n">
        <v>45913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56795-2024</t>
        </is>
      </c>
      <c r="B307" s="1" t="n">
        <v>45628.46144675926</v>
      </c>
      <c r="C307" s="1" t="n">
        <v>45913</v>
      </c>
      <c r="D307" t="inlineStr">
        <is>
          <t>UPPSALA LÄN</t>
        </is>
      </c>
      <c r="E307" t="inlineStr">
        <is>
          <t>HEBY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8199-2025</t>
        </is>
      </c>
      <c r="B308" s="1" t="n">
        <v>45708</v>
      </c>
      <c r="C308" s="1" t="n">
        <v>45913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49536-2024</t>
        </is>
      </c>
      <c r="B309" s="1" t="n">
        <v>45596</v>
      </c>
      <c r="C309" s="1" t="n">
        <v>45913</v>
      </c>
      <c r="D309" t="inlineStr">
        <is>
          <t>UPPSALA LÄN</t>
        </is>
      </c>
      <c r="E309" t="inlineStr">
        <is>
          <t>HEBY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26797-2025</t>
        </is>
      </c>
      <c r="B310" s="1" t="n">
        <v>45810.60292824074</v>
      </c>
      <c r="C310" s="1" t="n">
        <v>45913</v>
      </c>
      <c r="D310" t="inlineStr">
        <is>
          <t>UPPSALA LÄN</t>
        </is>
      </c>
      <c r="E310" t="inlineStr">
        <is>
          <t>HEBY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45917-2023</t>
        </is>
      </c>
      <c r="B311" s="1" t="n">
        <v>45195</v>
      </c>
      <c r="C311" s="1" t="n">
        <v>45913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33729-2023</t>
        </is>
      </c>
      <c r="B312" s="1" t="n">
        <v>45133.31494212963</v>
      </c>
      <c r="C312" s="1" t="n">
        <v>45913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33680-2023</t>
        </is>
      </c>
      <c r="B313" s="1" t="n">
        <v>45119</v>
      </c>
      <c r="C313" s="1" t="n">
        <v>45913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19896-2022</t>
        </is>
      </c>
      <c r="B314" s="1" t="n">
        <v>44697.39297453704</v>
      </c>
      <c r="C314" s="1" t="n">
        <v>45913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45009-2022</t>
        </is>
      </c>
      <c r="B315" s="1" t="n">
        <v>44841.6265625</v>
      </c>
      <c r="C315" s="1" t="n">
        <v>45913</v>
      </c>
      <c r="D315" t="inlineStr">
        <is>
          <t>UPPSALA LÄN</t>
        </is>
      </c>
      <c r="E315" t="inlineStr">
        <is>
          <t>HEBY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34593-2023</t>
        </is>
      </c>
      <c r="B316" s="1" t="n">
        <v>45138</v>
      </c>
      <c r="C316" s="1" t="n">
        <v>45913</v>
      </c>
      <c r="D316" t="inlineStr">
        <is>
          <t>UPPSALA LÄN</t>
        </is>
      </c>
      <c r="E316" t="inlineStr">
        <is>
          <t>HEBY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2860-2023</t>
        </is>
      </c>
      <c r="B317" s="1" t="n">
        <v>44945.40924768519</v>
      </c>
      <c r="C317" s="1" t="n">
        <v>45913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52182-2020</t>
        </is>
      </c>
      <c r="B318" s="1" t="n">
        <v>44117</v>
      </c>
      <c r="C318" s="1" t="n">
        <v>45913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61038-2024</t>
        </is>
      </c>
      <c r="B319" s="1" t="n">
        <v>45645.47047453704</v>
      </c>
      <c r="C319" s="1" t="n">
        <v>45913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28288-2025</t>
        </is>
      </c>
      <c r="B320" s="1" t="n">
        <v>45818.59078703704</v>
      </c>
      <c r="C320" s="1" t="n">
        <v>45913</v>
      </c>
      <c r="D320" t="inlineStr">
        <is>
          <t>UPPSALA LÄN</t>
        </is>
      </c>
      <c r="E320" t="inlineStr">
        <is>
          <t>HEBY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28296-2025</t>
        </is>
      </c>
      <c r="B321" s="1" t="n">
        <v>45818.59925925926</v>
      </c>
      <c r="C321" s="1" t="n">
        <v>45913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28558-2025</t>
        </is>
      </c>
      <c r="B322" s="1" t="n">
        <v>45818</v>
      </c>
      <c r="C322" s="1" t="n">
        <v>45913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19654-2022</t>
        </is>
      </c>
      <c r="B323" s="1" t="n">
        <v>44694</v>
      </c>
      <c r="C323" s="1" t="n">
        <v>45913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28561-2025</t>
        </is>
      </c>
      <c r="B324" s="1" t="n">
        <v>45818</v>
      </c>
      <c r="C324" s="1" t="n">
        <v>45913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28303-2025</t>
        </is>
      </c>
      <c r="B325" s="1" t="n">
        <v>45818.60739583334</v>
      </c>
      <c r="C325" s="1" t="n">
        <v>45913</v>
      </c>
      <c r="D325" t="inlineStr">
        <is>
          <t>UPPSALA LÄN</t>
        </is>
      </c>
      <c r="E325" t="inlineStr">
        <is>
          <t>HEBY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52292-2022</t>
        </is>
      </c>
      <c r="B326" s="1" t="n">
        <v>44873.67304398148</v>
      </c>
      <c r="C326" s="1" t="n">
        <v>45913</v>
      </c>
      <c r="D326" t="inlineStr">
        <is>
          <t>UPPSALA LÄN</t>
        </is>
      </c>
      <c r="E326" t="inlineStr">
        <is>
          <t>HEBY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29777-2021</t>
        </is>
      </c>
      <c r="B327" s="1" t="n">
        <v>44362</v>
      </c>
      <c r="C327" s="1" t="n">
        <v>45913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43089-2024</t>
        </is>
      </c>
      <c r="B328" s="1" t="n">
        <v>45567</v>
      </c>
      <c r="C328" s="1" t="n">
        <v>45913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33379-2022</t>
        </is>
      </c>
      <c r="B329" s="1" t="n">
        <v>44788</v>
      </c>
      <c r="C329" s="1" t="n">
        <v>45913</v>
      </c>
      <c r="D329" t="inlineStr">
        <is>
          <t>UPPSALA LÄN</t>
        </is>
      </c>
      <c r="E329" t="inlineStr">
        <is>
          <t>HEBY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385-2025</t>
        </is>
      </c>
      <c r="B330" s="1" t="n">
        <v>45662.65241898148</v>
      </c>
      <c r="C330" s="1" t="n">
        <v>45913</v>
      </c>
      <c r="D330" t="inlineStr">
        <is>
          <t>UPPSALA LÄN</t>
        </is>
      </c>
      <c r="E330" t="inlineStr">
        <is>
          <t>HEBY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69468-2020</t>
        </is>
      </c>
      <c r="B331" s="1" t="n">
        <v>44193</v>
      </c>
      <c r="C331" s="1" t="n">
        <v>45913</v>
      </c>
      <c r="D331" t="inlineStr">
        <is>
          <t>UPPSALA LÄN</t>
        </is>
      </c>
      <c r="E331" t="inlineStr">
        <is>
          <t>HEBY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28812-2025</t>
        </is>
      </c>
      <c r="B332" s="1" t="n">
        <v>45820</v>
      </c>
      <c r="C332" s="1" t="n">
        <v>45913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6142-2021</t>
        </is>
      </c>
      <c r="B333" s="1" t="n">
        <v>44232</v>
      </c>
      <c r="C333" s="1" t="n">
        <v>45913</v>
      </c>
      <c r="D333" t="inlineStr">
        <is>
          <t>UPPSALA LÄN</t>
        </is>
      </c>
      <c r="E333" t="inlineStr">
        <is>
          <t>HEBY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5340-2024</t>
        </is>
      </c>
      <c r="B334" s="1" t="n">
        <v>45331.44074074074</v>
      </c>
      <c r="C334" s="1" t="n">
        <v>45913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21143-2023</t>
        </is>
      </c>
      <c r="B335" s="1" t="n">
        <v>45062</v>
      </c>
      <c r="C335" s="1" t="n">
        <v>45913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56623-2023</t>
        </is>
      </c>
      <c r="B336" s="1" t="n">
        <v>45243.68689814815</v>
      </c>
      <c r="C336" s="1" t="n">
        <v>45913</v>
      </c>
      <c r="D336" t="inlineStr">
        <is>
          <t>UPPSALA LÄN</t>
        </is>
      </c>
      <c r="E336" t="inlineStr">
        <is>
          <t>HEBY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19764-2023</t>
        </is>
      </c>
      <c r="B337" s="1" t="n">
        <v>45050</v>
      </c>
      <c r="C337" s="1" t="n">
        <v>45913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2553-2023</t>
        </is>
      </c>
      <c r="B338" s="1" t="n">
        <v>44943.67108796296</v>
      </c>
      <c r="C338" s="1" t="n">
        <v>45913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2617-2023</t>
        </is>
      </c>
      <c r="B339" s="1" t="n">
        <v>44944</v>
      </c>
      <c r="C339" s="1" t="n">
        <v>45913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2641-2023</t>
        </is>
      </c>
      <c r="B340" s="1" t="n">
        <v>44944.41800925926</v>
      </c>
      <c r="C340" s="1" t="n">
        <v>45913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47072-2024</t>
        </is>
      </c>
      <c r="B341" s="1" t="n">
        <v>45586</v>
      </c>
      <c r="C341" s="1" t="n">
        <v>45913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58913-2023</t>
        </is>
      </c>
      <c r="B342" s="1" t="n">
        <v>45250</v>
      </c>
      <c r="C342" s="1" t="n">
        <v>45913</v>
      </c>
      <c r="D342" t="inlineStr">
        <is>
          <t>UPPSALA LÄN</t>
        </is>
      </c>
      <c r="E342" t="inlineStr">
        <is>
          <t>HEBY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29340-2022</t>
        </is>
      </c>
      <c r="B343" s="1" t="n">
        <v>44752.8631712963</v>
      </c>
      <c r="C343" s="1" t="n">
        <v>45913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8046-2023</t>
        </is>
      </c>
      <c r="B344" s="1" t="n">
        <v>44974</v>
      </c>
      <c r="C344" s="1" t="n">
        <v>45913</v>
      </c>
      <c r="D344" t="inlineStr">
        <is>
          <t>UPPSALA LÄN</t>
        </is>
      </c>
      <c r="E344" t="inlineStr">
        <is>
          <t>HEBY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29739-2025</t>
        </is>
      </c>
      <c r="B345" s="1" t="n">
        <v>45825.59010416667</v>
      </c>
      <c r="C345" s="1" t="n">
        <v>45913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29968-2025</t>
        </is>
      </c>
      <c r="B346" s="1" t="n">
        <v>45826.48962962963</v>
      </c>
      <c r="C346" s="1" t="n">
        <v>45913</v>
      </c>
      <c r="D346" t="inlineStr">
        <is>
          <t>UPPSALA LÄN</t>
        </is>
      </c>
      <c r="E346" t="inlineStr">
        <is>
          <t>HEBY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29570-2025</t>
        </is>
      </c>
      <c r="B347" s="1" t="n">
        <v>45825</v>
      </c>
      <c r="C347" s="1" t="n">
        <v>45913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41546-2023</t>
        </is>
      </c>
      <c r="B348" s="1" t="n">
        <v>45175.573125</v>
      </c>
      <c r="C348" s="1" t="n">
        <v>45913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34146-2022</t>
        </is>
      </c>
      <c r="B349" s="1" t="n">
        <v>44791</v>
      </c>
      <c r="C349" s="1" t="n">
        <v>45913</v>
      </c>
      <c r="D349" t="inlineStr">
        <is>
          <t>UPPSALA LÄN</t>
        </is>
      </c>
      <c r="E349" t="inlineStr">
        <is>
          <t>HEBY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29671-2025</t>
        </is>
      </c>
      <c r="B350" s="1" t="n">
        <v>45825.49863425926</v>
      </c>
      <c r="C350" s="1" t="n">
        <v>45913</v>
      </c>
      <c r="D350" t="inlineStr">
        <is>
          <t>UPPSALA LÄN</t>
        </is>
      </c>
      <c r="E350" t="inlineStr">
        <is>
          <t>HEBY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29730-2025</t>
        </is>
      </c>
      <c r="B351" s="1" t="n">
        <v>45825.58105324074</v>
      </c>
      <c r="C351" s="1" t="n">
        <v>45913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42731-2023</t>
        </is>
      </c>
      <c r="B352" s="1" t="n">
        <v>45181.64949074074</v>
      </c>
      <c r="C352" s="1" t="n">
        <v>45913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17349-2025</t>
        </is>
      </c>
      <c r="B353" s="1" t="n">
        <v>45756</v>
      </c>
      <c r="C353" s="1" t="n">
        <v>45913</v>
      </c>
      <c r="D353" t="inlineStr">
        <is>
          <t>UPPSALA LÄN</t>
        </is>
      </c>
      <c r="E353" t="inlineStr">
        <is>
          <t>HEBY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2541-2023</t>
        </is>
      </c>
      <c r="B354" s="1" t="n">
        <v>44943.64856481482</v>
      </c>
      <c r="C354" s="1" t="n">
        <v>45913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63940-2023</t>
        </is>
      </c>
      <c r="B355" s="1" t="n">
        <v>45278</v>
      </c>
      <c r="C355" s="1" t="n">
        <v>45913</v>
      </c>
      <c r="D355" t="inlineStr">
        <is>
          <t>UPPSALA LÄN</t>
        </is>
      </c>
      <c r="E355" t="inlineStr">
        <is>
          <t>HEBY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15787-2025</t>
        </is>
      </c>
      <c r="B356" s="1" t="n">
        <v>45748.62291666667</v>
      </c>
      <c r="C356" s="1" t="n">
        <v>45913</v>
      </c>
      <c r="D356" t="inlineStr">
        <is>
          <t>UPPSALA LÄN</t>
        </is>
      </c>
      <c r="E356" t="inlineStr">
        <is>
          <t>HEBY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30418-2025</t>
        </is>
      </c>
      <c r="B357" s="1" t="n">
        <v>45827.60844907408</v>
      </c>
      <c r="C357" s="1" t="n">
        <v>45913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30440-2025</t>
        </is>
      </c>
      <c r="B358" s="1" t="n">
        <v>45827.64317129629</v>
      </c>
      <c r="C358" s="1" t="n">
        <v>45913</v>
      </c>
      <c r="D358" t="inlineStr">
        <is>
          <t>UPPSALA LÄN</t>
        </is>
      </c>
      <c r="E358" t="inlineStr">
        <is>
          <t>HEBY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61453-2022</t>
        </is>
      </c>
      <c r="B359" s="1" t="n">
        <v>44916.41059027778</v>
      </c>
      <c r="C359" s="1" t="n">
        <v>45913</v>
      </c>
      <c r="D359" t="inlineStr">
        <is>
          <t>UPPSALA LÄN</t>
        </is>
      </c>
      <c r="E359" t="inlineStr">
        <is>
          <t>HEBY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31058-2025</t>
        </is>
      </c>
      <c r="B360" s="1" t="n">
        <v>45832.57018518518</v>
      </c>
      <c r="C360" s="1" t="n">
        <v>45913</v>
      </c>
      <c r="D360" t="inlineStr">
        <is>
          <t>UPPSALA LÄN</t>
        </is>
      </c>
      <c r="E360" t="inlineStr">
        <is>
          <t>HEBY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10069-2024</t>
        </is>
      </c>
      <c r="B361" s="1" t="n">
        <v>45364</v>
      </c>
      <c r="C361" s="1" t="n">
        <v>45913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10072-2024</t>
        </is>
      </c>
      <c r="B362" s="1" t="n">
        <v>45364</v>
      </c>
      <c r="C362" s="1" t="n">
        <v>45913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33103-2025</t>
        </is>
      </c>
      <c r="B363" s="1" t="n">
        <v>45832</v>
      </c>
      <c r="C363" s="1" t="n">
        <v>45913</v>
      </c>
      <c r="D363" t="inlineStr">
        <is>
          <t>UPPSALA LÄN</t>
        </is>
      </c>
      <c r="E363" t="inlineStr">
        <is>
          <t>HEBY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25997-2022</t>
        </is>
      </c>
      <c r="B364" s="1" t="n">
        <v>44734.5185300926</v>
      </c>
      <c r="C364" s="1" t="n">
        <v>45913</v>
      </c>
      <c r="D364" t="inlineStr">
        <is>
          <t>UPPSALA LÄN</t>
        </is>
      </c>
      <c r="E364" t="inlineStr">
        <is>
          <t>HEBY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11074-2025</t>
        </is>
      </c>
      <c r="B365" s="1" t="n">
        <v>45723.55184027777</v>
      </c>
      <c r="C365" s="1" t="n">
        <v>45913</v>
      </c>
      <c r="D365" t="inlineStr">
        <is>
          <t>UPPSALA LÄN</t>
        </is>
      </c>
      <c r="E365" t="inlineStr">
        <is>
          <t>HEBY</t>
        </is>
      </c>
      <c r="F365" t="inlineStr">
        <is>
          <t>Kyrkan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14137-2025</t>
        </is>
      </c>
      <c r="B366" s="1" t="n">
        <v>45740.4790625</v>
      </c>
      <c r="C366" s="1" t="n">
        <v>45913</v>
      </c>
      <c r="D366" t="inlineStr">
        <is>
          <t>UPPSALA LÄN</t>
        </is>
      </c>
      <c r="E366" t="inlineStr">
        <is>
          <t>HEBY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33092-2025</t>
        </is>
      </c>
      <c r="B367" s="1" t="n">
        <v>45832</v>
      </c>
      <c r="C367" s="1" t="n">
        <v>45913</v>
      </c>
      <c r="D367" t="inlineStr">
        <is>
          <t>UPPSALA LÄN</t>
        </is>
      </c>
      <c r="E367" t="inlineStr">
        <is>
          <t>HEBY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11011-2025</t>
        </is>
      </c>
      <c r="B368" s="1" t="n">
        <v>45723.45540509259</v>
      </c>
      <c r="C368" s="1" t="n">
        <v>45913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56884-2022</t>
        </is>
      </c>
      <c r="B369" s="1" t="n">
        <v>44888</v>
      </c>
      <c r="C369" s="1" t="n">
        <v>45913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37316-2025</t>
        </is>
      </c>
      <c r="B370" s="1" t="n">
        <v>45876.61597222222</v>
      </c>
      <c r="C370" s="1" t="n">
        <v>45913</v>
      </c>
      <c r="D370" t="inlineStr">
        <is>
          <t>UPPSALA LÄN</t>
        </is>
      </c>
      <c r="E370" t="inlineStr">
        <is>
          <t>HEBY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19132-2025</t>
        </is>
      </c>
      <c r="B371" s="1" t="n">
        <v>45764</v>
      </c>
      <c r="C371" s="1" t="n">
        <v>45913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13603-2023</t>
        </is>
      </c>
      <c r="B372" s="1" t="n">
        <v>45006</v>
      </c>
      <c r="C372" s="1" t="n">
        <v>45913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21293-2023</t>
        </is>
      </c>
      <c r="B373" s="1" t="n">
        <v>45058</v>
      </c>
      <c r="C373" s="1" t="n">
        <v>45913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31330-2025</t>
        </is>
      </c>
      <c r="B374" s="1" t="n">
        <v>45833.41546296296</v>
      </c>
      <c r="C374" s="1" t="n">
        <v>45913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öst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3368-2024</t>
        </is>
      </c>
      <c r="B375" s="1" t="n">
        <v>45317</v>
      </c>
      <c r="C375" s="1" t="n">
        <v>45913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19132-2025</t>
        </is>
      </c>
      <c r="B376" s="1" t="n">
        <v>45764</v>
      </c>
      <c r="C376" s="1" t="n">
        <v>45913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43.4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31795-2025</t>
        </is>
      </c>
      <c r="B377" s="1" t="n">
        <v>45834.54577546296</v>
      </c>
      <c r="C377" s="1" t="n">
        <v>45913</v>
      </c>
      <c r="D377" t="inlineStr">
        <is>
          <t>UPPSALA LÄN</t>
        </is>
      </c>
      <c r="E377" t="inlineStr">
        <is>
          <t>HEBY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26085-2022</t>
        </is>
      </c>
      <c r="B378" s="1" t="n">
        <v>44734.72414351852</v>
      </c>
      <c r="C378" s="1" t="n">
        <v>45913</v>
      </c>
      <c r="D378" t="inlineStr">
        <is>
          <t>UPPSALA LÄN</t>
        </is>
      </c>
      <c r="E378" t="inlineStr">
        <is>
          <t>HEBY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7195-2021</t>
        </is>
      </c>
      <c r="B379" s="1" t="n">
        <v>44238</v>
      </c>
      <c r="C379" s="1" t="n">
        <v>45913</v>
      </c>
      <c r="D379" t="inlineStr">
        <is>
          <t>UPPSALA LÄN</t>
        </is>
      </c>
      <c r="E379" t="inlineStr">
        <is>
          <t>HEBY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21000-2022</t>
        </is>
      </c>
      <c r="B380" s="1" t="n">
        <v>44701</v>
      </c>
      <c r="C380" s="1" t="n">
        <v>45913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31813-2025</t>
        </is>
      </c>
      <c r="B381" s="1" t="n">
        <v>45834.56706018518</v>
      </c>
      <c r="C381" s="1" t="n">
        <v>45913</v>
      </c>
      <c r="D381" t="inlineStr">
        <is>
          <t>UPPSALA LÄN</t>
        </is>
      </c>
      <c r="E381" t="inlineStr">
        <is>
          <t>HEBY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13126-2021</t>
        </is>
      </c>
      <c r="B382" s="1" t="n">
        <v>44272</v>
      </c>
      <c r="C382" s="1" t="n">
        <v>45913</v>
      </c>
      <c r="D382" t="inlineStr">
        <is>
          <t>UPPSALA LÄN</t>
        </is>
      </c>
      <c r="E382" t="inlineStr">
        <is>
          <t>HEBY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6523-2022</t>
        </is>
      </c>
      <c r="B383" s="1" t="n">
        <v>44601</v>
      </c>
      <c r="C383" s="1" t="n">
        <v>45913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18278-2024</t>
        </is>
      </c>
      <c r="B384" s="1" t="n">
        <v>45422.31803240741</v>
      </c>
      <c r="C384" s="1" t="n">
        <v>45913</v>
      </c>
      <c r="D384" t="inlineStr">
        <is>
          <t>UPPSALA LÄN</t>
        </is>
      </c>
      <c r="E384" t="inlineStr">
        <is>
          <t>HEBY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19990-2022</t>
        </is>
      </c>
      <c r="B385" s="1" t="n">
        <v>44697</v>
      </c>
      <c r="C385" s="1" t="n">
        <v>45913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14.3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59486-2021</t>
        </is>
      </c>
      <c r="B386" s="1" t="n">
        <v>44491</v>
      </c>
      <c r="C386" s="1" t="n">
        <v>45913</v>
      </c>
      <c r="D386" t="inlineStr">
        <is>
          <t>UPPSALA LÄN</t>
        </is>
      </c>
      <c r="E386" t="inlineStr">
        <is>
          <t>HEBY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11675-2021</t>
        </is>
      </c>
      <c r="B387" s="1" t="n">
        <v>44264</v>
      </c>
      <c r="C387" s="1" t="n">
        <v>45913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26559-2023</t>
        </is>
      </c>
      <c r="B388" s="1" t="n">
        <v>45092.61706018518</v>
      </c>
      <c r="C388" s="1" t="n">
        <v>45913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29396-2022</t>
        </is>
      </c>
      <c r="B389" s="1" t="n">
        <v>44753.43458333334</v>
      </c>
      <c r="C389" s="1" t="n">
        <v>45913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32435-2025</t>
        </is>
      </c>
      <c r="B390" s="1" t="n">
        <v>45838</v>
      </c>
      <c r="C390" s="1" t="n">
        <v>45913</v>
      </c>
      <c r="D390" t="inlineStr">
        <is>
          <t>UPPSALA LÄN</t>
        </is>
      </c>
      <c r="E390" t="inlineStr">
        <is>
          <t>HEBY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30891-2023</t>
        </is>
      </c>
      <c r="B391" s="1" t="n">
        <v>45113</v>
      </c>
      <c r="C391" s="1" t="n">
        <v>45913</v>
      </c>
      <c r="D391" t="inlineStr">
        <is>
          <t>UPPSALA LÄN</t>
        </is>
      </c>
      <c r="E391" t="inlineStr">
        <is>
          <t>HEBY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32432-2025</t>
        </is>
      </c>
      <c r="B392" s="1" t="n">
        <v>45838.37053240741</v>
      </c>
      <c r="C392" s="1" t="n">
        <v>45913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32545-2025</t>
        </is>
      </c>
      <c r="B393" s="1" t="n">
        <v>45838</v>
      </c>
      <c r="C393" s="1" t="n">
        <v>45913</v>
      </c>
      <c r="D393" t="inlineStr">
        <is>
          <t>UPPSALA LÄN</t>
        </is>
      </c>
      <c r="E393" t="inlineStr">
        <is>
          <t>HEBY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4487-2023</t>
        </is>
      </c>
      <c r="B394" s="1" t="n">
        <v>44956</v>
      </c>
      <c r="C394" s="1" t="n">
        <v>45913</v>
      </c>
      <c r="D394" t="inlineStr">
        <is>
          <t>UPPSALA LÄN</t>
        </is>
      </c>
      <c r="E394" t="inlineStr">
        <is>
          <t>HEBY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55644-2024</t>
        </is>
      </c>
      <c r="B395" s="1" t="n">
        <v>45622.6241087963</v>
      </c>
      <c r="C395" s="1" t="n">
        <v>45913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5570-2023</t>
        </is>
      </c>
      <c r="B396" s="1" t="n">
        <v>44960.48622685186</v>
      </c>
      <c r="C396" s="1" t="n">
        <v>45913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59382-2024</t>
        </is>
      </c>
      <c r="B397" s="1" t="n">
        <v>45638.35512731481</v>
      </c>
      <c r="C397" s="1" t="n">
        <v>45913</v>
      </c>
      <c r="D397" t="inlineStr">
        <is>
          <t>UPPSALA LÄN</t>
        </is>
      </c>
      <c r="E397" t="inlineStr">
        <is>
          <t>HEBY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3371-2024</t>
        </is>
      </c>
      <c r="B398" s="1" t="n">
        <v>45317</v>
      </c>
      <c r="C398" s="1" t="n">
        <v>45913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3374-2024</t>
        </is>
      </c>
      <c r="B399" s="1" t="n">
        <v>45317</v>
      </c>
      <c r="C399" s="1" t="n">
        <v>45913</v>
      </c>
      <c r="D399" t="inlineStr">
        <is>
          <t>UPPSALA LÄN</t>
        </is>
      </c>
      <c r="E399" t="inlineStr">
        <is>
          <t>HEBY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9675-2023</t>
        </is>
      </c>
      <c r="B400" s="1" t="n">
        <v>44984.43454861111</v>
      </c>
      <c r="C400" s="1" t="n">
        <v>45913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70158-2021</t>
        </is>
      </c>
      <c r="B401" s="1" t="n">
        <v>44533</v>
      </c>
      <c r="C401" s="1" t="n">
        <v>45913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13463-2025</t>
        </is>
      </c>
      <c r="B402" s="1" t="n">
        <v>45736.3927662037</v>
      </c>
      <c r="C402" s="1" t="n">
        <v>45913</v>
      </c>
      <c r="D402" t="inlineStr">
        <is>
          <t>UPPSALA LÄN</t>
        </is>
      </c>
      <c r="E402" t="inlineStr">
        <is>
          <t>HEBY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32547-2025</t>
        </is>
      </c>
      <c r="B403" s="1" t="n">
        <v>45838.53759259259</v>
      </c>
      <c r="C403" s="1" t="n">
        <v>45913</v>
      </c>
      <c r="D403" t="inlineStr">
        <is>
          <t>UPPSALA LÄN</t>
        </is>
      </c>
      <c r="E403" t="inlineStr">
        <is>
          <t>HEBY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31903-2023</t>
        </is>
      </c>
      <c r="B404" s="1" t="n">
        <v>45118</v>
      </c>
      <c r="C404" s="1" t="n">
        <v>45913</v>
      </c>
      <c r="D404" t="inlineStr">
        <is>
          <t>UPPSALA LÄN</t>
        </is>
      </c>
      <c r="E404" t="inlineStr">
        <is>
          <t>HEBY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38168-2025</t>
        </is>
      </c>
      <c r="B405" s="1" t="n">
        <v>45882</v>
      </c>
      <c r="C405" s="1" t="n">
        <v>45913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191-2024</t>
        </is>
      </c>
      <c r="B406" s="1" t="n">
        <v>45294</v>
      </c>
      <c r="C406" s="1" t="n">
        <v>45913</v>
      </c>
      <c r="D406" t="inlineStr">
        <is>
          <t>UPPSALA LÄN</t>
        </is>
      </c>
      <c r="E406" t="inlineStr">
        <is>
          <t>HEBY</t>
        </is>
      </c>
      <c r="F406" t="inlineStr">
        <is>
          <t>Kommuner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33025-2025</t>
        </is>
      </c>
      <c r="B407" s="1" t="n">
        <v>45840</v>
      </c>
      <c r="C407" s="1" t="n">
        <v>45913</v>
      </c>
      <c r="D407" t="inlineStr">
        <is>
          <t>UPPSALA LÄN</t>
        </is>
      </c>
      <c r="E407" t="inlineStr">
        <is>
          <t>HEBY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2491-2025</t>
        </is>
      </c>
      <c r="B408" s="1" t="n">
        <v>45674</v>
      </c>
      <c r="C408" s="1" t="n">
        <v>45913</v>
      </c>
      <c r="D408" t="inlineStr">
        <is>
          <t>UPPSALA LÄN</t>
        </is>
      </c>
      <c r="E408" t="inlineStr">
        <is>
          <t>HEBY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43957-2021</t>
        </is>
      </c>
      <c r="B409" s="1" t="n">
        <v>44434.43853009259</v>
      </c>
      <c r="C409" s="1" t="n">
        <v>45913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20230-2021</t>
        </is>
      </c>
      <c r="B410" s="1" t="n">
        <v>44314</v>
      </c>
      <c r="C410" s="1" t="n">
        <v>45913</v>
      </c>
      <c r="D410" t="inlineStr">
        <is>
          <t>UPPSALA LÄN</t>
        </is>
      </c>
      <c r="E410" t="inlineStr">
        <is>
          <t>HEBY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17580-2021</t>
        </is>
      </c>
      <c r="B411" s="1" t="n">
        <v>44299</v>
      </c>
      <c r="C411" s="1" t="n">
        <v>45913</v>
      </c>
      <c r="D411" t="inlineStr">
        <is>
          <t>UPPSALA LÄN</t>
        </is>
      </c>
      <c r="E411" t="inlineStr">
        <is>
          <t>HEBY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35868-2022</t>
        </is>
      </c>
      <c r="B412" s="1" t="n">
        <v>44802.4437962963</v>
      </c>
      <c r="C412" s="1" t="n">
        <v>45913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23836-2024</t>
        </is>
      </c>
      <c r="B413" s="1" t="n">
        <v>45455</v>
      </c>
      <c r="C413" s="1" t="n">
        <v>45913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16083-2025</t>
        </is>
      </c>
      <c r="B414" s="1" t="n">
        <v>45749.80582175926</v>
      </c>
      <c r="C414" s="1" t="n">
        <v>45913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43179-2021</t>
        </is>
      </c>
      <c r="B415" s="1" t="n">
        <v>44431</v>
      </c>
      <c r="C415" s="1" t="n">
        <v>45913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57704-2024</t>
        </is>
      </c>
      <c r="B416" s="1" t="n">
        <v>45630</v>
      </c>
      <c r="C416" s="1" t="n">
        <v>45913</v>
      </c>
      <c r="D416" t="inlineStr">
        <is>
          <t>UPPSALA LÄN</t>
        </is>
      </c>
      <c r="E416" t="inlineStr">
        <is>
          <t>HEBY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17-2024</t>
        </is>
      </c>
      <c r="B417" s="1" t="n">
        <v>45293</v>
      </c>
      <c r="C417" s="1" t="n">
        <v>45913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26421-2023</t>
        </is>
      </c>
      <c r="B418" s="1" t="n">
        <v>45092</v>
      </c>
      <c r="C418" s="1" t="n">
        <v>45913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5633-2025</t>
        </is>
      </c>
      <c r="B419" s="1" t="n">
        <v>45693.66539351852</v>
      </c>
      <c r="C419" s="1" t="n">
        <v>45913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21302-2023</t>
        </is>
      </c>
      <c r="B420" s="1" t="n">
        <v>45058</v>
      </c>
      <c r="C420" s="1" t="n">
        <v>45913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6450-2025</t>
        </is>
      </c>
      <c r="B421" s="1" t="n">
        <v>45699.54886574074</v>
      </c>
      <c r="C421" s="1" t="n">
        <v>45913</v>
      </c>
      <c r="D421" t="inlineStr">
        <is>
          <t>UPPSALA LÄN</t>
        </is>
      </c>
      <c r="E421" t="inlineStr">
        <is>
          <t>HEBY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32245-2022</t>
        </is>
      </c>
      <c r="B422" s="1" t="n">
        <v>44781.48400462963</v>
      </c>
      <c r="C422" s="1" t="n">
        <v>45913</v>
      </c>
      <c r="D422" t="inlineStr">
        <is>
          <t>UPPSALA LÄN</t>
        </is>
      </c>
      <c r="E422" t="inlineStr">
        <is>
          <t>HEBY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719-2025</t>
        </is>
      </c>
      <c r="B423" s="1" t="n">
        <v>45665.37409722222</v>
      </c>
      <c r="C423" s="1" t="n">
        <v>45913</v>
      </c>
      <c r="D423" t="inlineStr">
        <is>
          <t>UPPSALA LÄN</t>
        </is>
      </c>
      <c r="E423" t="inlineStr">
        <is>
          <t>HEBY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13535-2025</t>
        </is>
      </c>
      <c r="B424" s="1" t="n">
        <v>45736.51150462963</v>
      </c>
      <c r="C424" s="1" t="n">
        <v>45913</v>
      </c>
      <c r="D424" t="inlineStr">
        <is>
          <t>UPPSALA LÄN</t>
        </is>
      </c>
      <c r="E424" t="inlineStr">
        <is>
          <t>HEBY</t>
        </is>
      </c>
      <c r="G424" t="n">
        <v>15.5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38371-2025</t>
        </is>
      </c>
      <c r="B425" s="1" t="n">
        <v>45883.56189814815</v>
      </c>
      <c r="C425" s="1" t="n">
        <v>45913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38309-2025</t>
        </is>
      </c>
      <c r="B426" s="1" t="n">
        <v>45883.47369212963</v>
      </c>
      <c r="C426" s="1" t="n">
        <v>45913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16660-2023</t>
        </is>
      </c>
      <c r="B427" s="1" t="n">
        <v>45030.54038194445</v>
      </c>
      <c r="C427" s="1" t="n">
        <v>45913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19751-2023</t>
        </is>
      </c>
      <c r="B428" s="1" t="n">
        <v>45050</v>
      </c>
      <c r="C428" s="1" t="n">
        <v>45913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HYPERLINK("https://klasma.github.io/Logging_0331/knärot/A 19751-2023 karta knärot.png", "A 19751-2023")</f>
        <v/>
      </c>
      <c r="V428">
        <f>HYPERLINK("https://klasma.github.io/Logging_0331/klagomål/A 19751-2023 FSC-klagomål.docx", "A 19751-2023")</f>
        <v/>
      </c>
      <c r="W428">
        <f>HYPERLINK("https://klasma.github.io/Logging_0331/klagomålsmail/A 19751-2023 FSC-klagomål mail.docx", "A 19751-2023")</f>
        <v/>
      </c>
      <c r="X428">
        <f>HYPERLINK("https://klasma.github.io/Logging_0331/tillsyn/A 19751-2023 tillsynsbegäran.docx", "A 19751-2023")</f>
        <v/>
      </c>
      <c r="Y428">
        <f>HYPERLINK("https://klasma.github.io/Logging_0331/tillsynsmail/A 19751-2023 tillsynsbegäran mail.docx", "A 19751-2023")</f>
        <v/>
      </c>
    </row>
    <row r="429" ht="15" customHeight="1">
      <c r="A429" t="inlineStr">
        <is>
          <t>A 33385-2023</t>
        </is>
      </c>
      <c r="B429" s="1" t="n">
        <v>45128.58974537037</v>
      </c>
      <c r="C429" s="1" t="n">
        <v>45913</v>
      </c>
      <c r="D429" t="inlineStr">
        <is>
          <t>UPPSALA LÄN</t>
        </is>
      </c>
      <c r="E429" t="inlineStr">
        <is>
          <t>HEBY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1086-2025</t>
        </is>
      </c>
      <c r="B430" s="1" t="n">
        <v>45666</v>
      </c>
      <c r="C430" s="1" t="n">
        <v>45913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37782-2022</t>
        </is>
      </c>
      <c r="B431" s="1" t="n">
        <v>44810</v>
      </c>
      <c r="C431" s="1" t="n">
        <v>45913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30293-2021</t>
        </is>
      </c>
      <c r="B432" s="1" t="n">
        <v>44364.3353587963</v>
      </c>
      <c r="C432" s="1" t="n">
        <v>45913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9766-2023</t>
        </is>
      </c>
      <c r="B433" s="1" t="n">
        <v>44984.57643518518</v>
      </c>
      <c r="C433" s="1" t="n">
        <v>45913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46430-2023</t>
        </is>
      </c>
      <c r="B434" s="1" t="n">
        <v>45197.5709375</v>
      </c>
      <c r="C434" s="1" t="n">
        <v>45913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31407-2023</t>
        </is>
      </c>
      <c r="B435" s="1" t="n">
        <v>45114</v>
      </c>
      <c r="C435" s="1" t="n">
        <v>45913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29570-2022</t>
        </is>
      </c>
      <c r="B436" s="1" t="n">
        <v>44754</v>
      </c>
      <c r="C436" s="1" t="n">
        <v>45913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33705-2023</t>
        </is>
      </c>
      <c r="B437" s="1" t="n">
        <v>45132.79101851852</v>
      </c>
      <c r="C437" s="1" t="n">
        <v>45913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33706-2023</t>
        </is>
      </c>
      <c r="B438" s="1" t="n">
        <v>45132.80835648148</v>
      </c>
      <c r="C438" s="1" t="n">
        <v>45913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19683-2022</t>
        </is>
      </c>
      <c r="B439" s="1" t="n">
        <v>44694</v>
      </c>
      <c r="C439" s="1" t="n">
        <v>45913</v>
      </c>
      <c r="D439" t="inlineStr">
        <is>
          <t>UPPSALA LÄN</t>
        </is>
      </c>
      <c r="E439" t="inlineStr">
        <is>
          <t>HEBY</t>
        </is>
      </c>
      <c r="G439" t="n">
        <v>22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48165-2022</t>
        </is>
      </c>
      <c r="B440" s="1" t="n">
        <v>44858.36759259259</v>
      </c>
      <c r="C440" s="1" t="n">
        <v>45913</v>
      </c>
      <c r="D440" t="inlineStr">
        <is>
          <t>UPPSALA LÄN</t>
        </is>
      </c>
      <c r="E440" t="inlineStr">
        <is>
          <t>HEBY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33707-2023</t>
        </is>
      </c>
      <c r="B441" s="1" t="n">
        <v>45132.82081018519</v>
      </c>
      <c r="C441" s="1" t="n">
        <v>45913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38380-2025</t>
        </is>
      </c>
      <c r="B442" s="1" t="n">
        <v>45883.5737962963</v>
      </c>
      <c r="C442" s="1" t="n">
        <v>45913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8182-2022</t>
        </is>
      </c>
      <c r="B443" s="1" t="n">
        <v>44609.66260416667</v>
      </c>
      <c r="C443" s="1" t="n">
        <v>45913</v>
      </c>
      <c r="D443" t="inlineStr">
        <is>
          <t>UPPSALA LÄN</t>
        </is>
      </c>
      <c r="E443" t="inlineStr">
        <is>
          <t>HEBY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38392-2025</t>
        </is>
      </c>
      <c r="B444" s="1" t="n">
        <v>45883.57503472222</v>
      </c>
      <c r="C444" s="1" t="n">
        <v>45913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27840-2023</t>
        </is>
      </c>
      <c r="B445" s="1" t="n">
        <v>45098</v>
      </c>
      <c r="C445" s="1" t="n">
        <v>45913</v>
      </c>
      <c r="D445" t="inlineStr">
        <is>
          <t>UPPSALA LÄN</t>
        </is>
      </c>
      <c r="E445" t="inlineStr">
        <is>
          <t>HEBY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49707-2023</t>
        </is>
      </c>
      <c r="B446" s="1" t="n">
        <v>45208</v>
      </c>
      <c r="C446" s="1" t="n">
        <v>45913</v>
      </c>
      <c r="D446" t="inlineStr">
        <is>
          <t>UPPSALA LÄN</t>
        </is>
      </c>
      <c r="E446" t="inlineStr">
        <is>
          <t>HEBY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14916-2025</t>
        </is>
      </c>
      <c r="B447" s="1" t="n">
        <v>45743</v>
      </c>
      <c r="C447" s="1" t="n">
        <v>45913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38432-2025</t>
        </is>
      </c>
      <c r="B448" s="1" t="n">
        <v>45883.63840277777</v>
      </c>
      <c r="C448" s="1" t="n">
        <v>45913</v>
      </c>
      <c r="D448" t="inlineStr">
        <is>
          <t>UPPSALA LÄN</t>
        </is>
      </c>
      <c r="E448" t="inlineStr">
        <is>
          <t>HEBY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44464-2021</t>
        </is>
      </c>
      <c r="B449" s="1" t="n">
        <v>44435</v>
      </c>
      <c r="C449" s="1" t="n">
        <v>45913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8056-2024</t>
        </is>
      </c>
      <c r="B450" s="1" t="n">
        <v>45351</v>
      </c>
      <c r="C450" s="1" t="n">
        <v>45913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51082-2023</t>
        </is>
      </c>
      <c r="B451" s="1" t="n">
        <v>45218</v>
      </c>
      <c r="C451" s="1" t="n">
        <v>45913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51091-2023</t>
        </is>
      </c>
      <c r="B452" s="1" t="n">
        <v>45218</v>
      </c>
      <c r="C452" s="1" t="n">
        <v>45913</v>
      </c>
      <c r="D452" t="inlineStr">
        <is>
          <t>UPPSALA LÄN</t>
        </is>
      </c>
      <c r="E452" t="inlineStr">
        <is>
          <t>HEBY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50281-2023</t>
        </is>
      </c>
      <c r="B453" s="1" t="n">
        <v>45216.45452546296</v>
      </c>
      <c r="C453" s="1" t="n">
        <v>45913</v>
      </c>
      <c r="D453" t="inlineStr">
        <is>
          <t>UPPSALA LÄN</t>
        </is>
      </c>
      <c r="E453" t="inlineStr">
        <is>
          <t>HEBY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25419-2022</t>
        </is>
      </c>
      <c r="B454" s="1" t="n">
        <v>44732</v>
      </c>
      <c r="C454" s="1" t="n">
        <v>45913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38474-2025</t>
        </is>
      </c>
      <c r="B455" s="1" t="n">
        <v>45884.31611111111</v>
      </c>
      <c r="C455" s="1" t="n">
        <v>45913</v>
      </c>
      <c r="D455" t="inlineStr">
        <is>
          <t>UPPSALA LÄN</t>
        </is>
      </c>
      <c r="E455" t="inlineStr">
        <is>
          <t>HEBY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38479-2025</t>
        </is>
      </c>
      <c r="B456" s="1" t="n">
        <v>45884.32216435186</v>
      </c>
      <c r="C456" s="1" t="n">
        <v>45913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13893-2025</t>
        </is>
      </c>
      <c r="B457" s="1" t="n">
        <v>45737.62077546296</v>
      </c>
      <c r="C457" s="1" t="n">
        <v>45913</v>
      </c>
      <c r="D457" t="inlineStr">
        <is>
          <t>UPPSALA LÄN</t>
        </is>
      </c>
      <c r="E457" t="inlineStr">
        <is>
          <t>HEBY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13900-2025</t>
        </is>
      </c>
      <c r="B458" s="1" t="n">
        <v>45737.63353009259</v>
      </c>
      <c r="C458" s="1" t="n">
        <v>45913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44525-2022</t>
        </is>
      </c>
      <c r="B459" s="1" t="n">
        <v>44840.43806712963</v>
      </c>
      <c r="C459" s="1" t="n">
        <v>45913</v>
      </c>
      <c r="D459" t="inlineStr">
        <is>
          <t>UPPSALA LÄN</t>
        </is>
      </c>
      <c r="E459" t="inlineStr">
        <is>
          <t>HEBY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HYPERLINK("https://klasma.github.io/Logging_0331/knärot/A 44525-2022 karta knärot.png", "A 44525-2022")</f>
        <v/>
      </c>
      <c r="V459">
        <f>HYPERLINK("https://klasma.github.io/Logging_0331/klagomål/A 44525-2022 FSC-klagomål.docx", "A 44525-2022")</f>
        <v/>
      </c>
      <c r="W459">
        <f>HYPERLINK("https://klasma.github.io/Logging_0331/klagomålsmail/A 44525-2022 FSC-klagomål mail.docx", "A 44525-2022")</f>
        <v/>
      </c>
      <c r="X459">
        <f>HYPERLINK("https://klasma.github.io/Logging_0331/tillsyn/A 44525-2022 tillsynsbegäran.docx", "A 44525-2022")</f>
        <v/>
      </c>
      <c r="Y459">
        <f>HYPERLINK("https://klasma.github.io/Logging_0331/tillsynsmail/A 44525-2022 tillsynsbegäran mail.docx", "A 44525-2022")</f>
        <v/>
      </c>
    </row>
    <row r="460" ht="15" customHeight="1">
      <c r="A460" t="inlineStr">
        <is>
          <t>A 18144-2022</t>
        </is>
      </c>
      <c r="B460" s="1" t="n">
        <v>44684</v>
      </c>
      <c r="C460" s="1" t="n">
        <v>45913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2039-2023</t>
        </is>
      </c>
      <c r="B461" s="1" t="n">
        <v>44939</v>
      </c>
      <c r="C461" s="1" t="n">
        <v>45913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57897-2024</t>
        </is>
      </c>
      <c r="B462" s="1" t="n">
        <v>45631</v>
      </c>
      <c r="C462" s="1" t="n">
        <v>45913</v>
      </c>
      <c r="D462" t="inlineStr">
        <is>
          <t>UPPSALA LÄN</t>
        </is>
      </c>
      <c r="E462" t="inlineStr">
        <is>
          <t>HEBY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29536-2023</t>
        </is>
      </c>
      <c r="B463" s="1" t="n">
        <v>45106.63622685185</v>
      </c>
      <c r="C463" s="1" t="n">
        <v>45913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70976-2021</t>
        </is>
      </c>
      <c r="B464" s="1" t="n">
        <v>44538</v>
      </c>
      <c r="C464" s="1" t="n">
        <v>45913</v>
      </c>
      <c r="D464" t="inlineStr">
        <is>
          <t>UPPSALA LÄN</t>
        </is>
      </c>
      <c r="E464" t="inlineStr">
        <is>
          <t>HEBY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19555-2025</t>
        </is>
      </c>
      <c r="B465" s="1" t="n">
        <v>45770.51020833333</v>
      </c>
      <c r="C465" s="1" t="n">
        <v>45913</v>
      </c>
      <c r="D465" t="inlineStr">
        <is>
          <t>UPPSALA LÄN</t>
        </is>
      </c>
      <c r="E465" t="inlineStr">
        <is>
          <t>HEBY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7860-2025</t>
        </is>
      </c>
      <c r="B466" s="1" t="n">
        <v>45706</v>
      </c>
      <c r="C466" s="1" t="n">
        <v>45913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46408-2024</t>
        </is>
      </c>
      <c r="B467" s="1" t="n">
        <v>45582.44432870371</v>
      </c>
      <c r="C467" s="1" t="n">
        <v>45913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38521-2025</t>
        </is>
      </c>
      <c r="B468" s="1" t="n">
        <v>45884</v>
      </c>
      <c r="C468" s="1" t="n">
        <v>45913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62132-2022</t>
        </is>
      </c>
      <c r="B469" s="1" t="n">
        <v>44914</v>
      </c>
      <c r="C469" s="1" t="n">
        <v>45913</v>
      </c>
      <c r="D469" t="inlineStr">
        <is>
          <t>UPPSALA LÄN</t>
        </is>
      </c>
      <c r="E469" t="inlineStr">
        <is>
          <t>HEBY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38203-2021</t>
        </is>
      </c>
      <c r="B470" s="1" t="n">
        <v>44405</v>
      </c>
      <c r="C470" s="1" t="n">
        <v>45913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38472-2025</t>
        </is>
      </c>
      <c r="B471" s="1" t="n">
        <v>45884.30456018518</v>
      </c>
      <c r="C471" s="1" t="n">
        <v>45913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28226-2023</t>
        </is>
      </c>
      <c r="B472" s="1" t="n">
        <v>45099.57417824074</v>
      </c>
      <c r="C472" s="1" t="n">
        <v>45913</v>
      </c>
      <c r="D472" t="inlineStr">
        <is>
          <t>UPPSALA LÄN</t>
        </is>
      </c>
      <c r="E472" t="inlineStr">
        <is>
          <t>HEBY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34072-2025</t>
        </is>
      </c>
      <c r="B473" s="1" t="n">
        <v>45845</v>
      </c>
      <c r="C473" s="1" t="n">
        <v>45913</v>
      </c>
      <c r="D473" t="inlineStr">
        <is>
          <t>UPPSALA LÄN</t>
        </is>
      </c>
      <c r="E473" t="inlineStr">
        <is>
          <t>HEBY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1471-2025</t>
        </is>
      </c>
      <c r="B474" s="1" t="n">
        <v>45670</v>
      </c>
      <c r="C474" s="1" t="n">
        <v>45913</v>
      </c>
      <c r="D474" t="inlineStr">
        <is>
          <t>UPPSALA LÄN</t>
        </is>
      </c>
      <c r="E474" t="inlineStr">
        <is>
          <t>HEBY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29747-2025</t>
        </is>
      </c>
      <c r="B475" s="1" t="n">
        <v>45825</v>
      </c>
      <c r="C475" s="1" t="n">
        <v>45913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2611-2023</t>
        </is>
      </c>
      <c r="B476" s="1" t="n">
        <v>44944.34613425926</v>
      </c>
      <c r="C476" s="1" t="n">
        <v>45913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61807-2022</t>
        </is>
      </c>
      <c r="B477" s="1" t="n">
        <v>44917</v>
      </c>
      <c r="C477" s="1" t="n">
        <v>45913</v>
      </c>
      <c r="D477" t="inlineStr">
        <is>
          <t>UPPSALA LÄN</t>
        </is>
      </c>
      <c r="E477" t="inlineStr">
        <is>
          <t>HEBY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50859-2022</t>
        </is>
      </c>
      <c r="B478" s="1" t="n">
        <v>44862</v>
      </c>
      <c r="C478" s="1" t="n">
        <v>45913</v>
      </c>
      <c r="D478" t="inlineStr">
        <is>
          <t>UPPSALA LÄN</t>
        </is>
      </c>
      <c r="E478" t="inlineStr">
        <is>
          <t>HEBY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54698-2020</t>
        </is>
      </c>
      <c r="B479" s="1" t="n">
        <v>44127</v>
      </c>
      <c r="C479" s="1" t="n">
        <v>45913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37111-2024</t>
        </is>
      </c>
      <c r="B480" s="1" t="n">
        <v>45539.51753472222</v>
      </c>
      <c r="C480" s="1" t="n">
        <v>45913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47628-2020</t>
        </is>
      </c>
      <c r="B481" s="1" t="n">
        <v>44098</v>
      </c>
      <c r="C481" s="1" t="n">
        <v>45913</v>
      </c>
      <c r="D481" t="inlineStr">
        <is>
          <t>UPPSALA LÄN</t>
        </is>
      </c>
      <c r="E481" t="inlineStr">
        <is>
          <t>HEBY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64191-2023</t>
        </is>
      </c>
      <c r="B482" s="1" t="n">
        <v>45279</v>
      </c>
      <c r="C482" s="1" t="n">
        <v>45913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946-2023</t>
        </is>
      </c>
      <c r="B483" s="1" t="n">
        <v>44934.47055555556</v>
      </c>
      <c r="C483" s="1" t="n">
        <v>45913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34016-2025</t>
        </is>
      </c>
      <c r="B484" s="1" t="n">
        <v>45845</v>
      </c>
      <c r="C484" s="1" t="n">
        <v>45913</v>
      </c>
      <c r="D484" t="inlineStr">
        <is>
          <t>UPPSALA LÄN</t>
        </is>
      </c>
      <c r="E484" t="inlineStr">
        <is>
          <t>HEBY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3771-2024</t>
        </is>
      </c>
      <c r="B485" s="1" t="n">
        <v>45321</v>
      </c>
      <c r="C485" s="1" t="n">
        <v>45913</v>
      </c>
      <c r="D485" t="inlineStr">
        <is>
          <t>UPPSALA LÄN</t>
        </is>
      </c>
      <c r="E485" t="inlineStr">
        <is>
          <t>HEBY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16167-2024</t>
        </is>
      </c>
      <c r="B486" s="1" t="n">
        <v>45406.61835648148</v>
      </c>
      <c r="C486" s="1" t="n">
        <v>45913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7803-2021</t>
        </is>
      </c>
      <c r="B487" s="1" t="n">
        <v>44242</v>
      </c>
      <c r="C487" s="1" t="n">
        <v>45913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61875-2022</t>
        </is>
      </c>
      <c r="B488" s="1" t="n">
        <v>44917.65171296296</v>
      </c>
      <c r="C488" s="1" t="n">
        <v>45913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25971-2023</t>
        </is>
      </c>
      <c r="B489" s="1" t="n">
        <v>45090.80862268519</v>
      </c>
      <c r="C489" s="1" t="n">
        <v>45913</v>
      </c>
      <c r="D489" t="inlineStr">
        <is>
          <t>UPPSALA LÄN</t>
        </is>
      </c>
      <c r="E489" t="inlineStr">
        <is>
          <t>HEBY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34559-2025</t>
        </is>
      </c>
      <c r="B490" s="1" t="n">
        <v>45847.574375</v>
      </c>
      <c r="C490" s="1" t="n">
        <v>45913</v>
      </c>
      <c r="D490" t="inlineStr">
        <is>
          <t>UPPSALA LÄN</t>
        </is>
      </c>
      <c r="E490" t="inlineStr">
        <is>
          <t>HEBY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34596-2025</t>
        </is>
      </c>
      <c r="B491" s="1" t="n">
        <v>45847.64015046296</v>
      </c>
      <c r="C491" s="1" t="n">
        <v>45913</v>
      </c>
      <c r="D491" t="inlineStr">
        <is>
          <t>UPPSALA LÄN</t>
        </is>
      </c>
      <c r="E491" t="inlineStr">
        <is>
          <t>HEBY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66055-2021</t>
        </is>
      </c>
      <c r="B492" s="1" t="n">
        <v>44517.6352662037</v>
      </c>
      <c r="C492" s="1" t="n">
        <v>45913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60461-2022</t>
        </is>
      </c>
      <c r="B493" s="1" t="n">
        <v>44911</v>
      </c>
      <c r="C493" s="1" t="n">
        <v>45913</v>
      </c>
      <c r="D493" t="inlineStr">
        <is>
          <t>UPPSALA LÄN</t>
        </is>
      </c>
      <c r="E493" t="inlineStr">
        <is>
          <t>HEBY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31143-2023</t>
        </is>
      </c>
      <c r="B494" s="1" t="n">
        <v>45103</v>
      </c>
      <c r="C494" s="1" t="n">
        <v>45913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18056-2025</t>
        </is>
      </c>
      <c r="B495" s="1" t="n">
        <v>45761</v>
      </c>
      <c r="C495" s="1" t="n">
        <v>45913</v>
      </c>
      <c r="D495" t="inlineStr">
        <is>
          <t>UPPSALA LÄN</t>
        </is>
      </c>
      <c r="E495" t="inlineStr">
        <is>
          <t>HEBY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35265-2025</t>
        </is>
      </c>
      <c r="B496" s="1" t="n">
        <v>45852</v>
      </c>
      <c r="C496" s="1" t="n">
        <v>45913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19721-2022</t>
        </is>
      </c>
      <c r="B497" s="1" t="n">
        <v>44694</v>
      </c>
      <c r="C497" s="1" t="n">
        <v>45913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39892-2025</t>
        </is>
      </c>
      <c r="B498" s="1" t="n">
        <v>45891.6290162037</v>
      </c>
      <c r="C498" s="1" t="n">
        <v>45913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35083-2025</t>
        </is>
      </c>
      <c r="B499" s="1" t="n">
        <v>45852.49586805556</v>
      </c>
      <c r="C499" s="1" t="n">
        <v>45913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8790-2023</t>
        </is>
      </c>
      <c r="B500" s="1" t="n">
        <v>44978.58922453703</v>
      </c>
      <c r="C500" s="1" t="n">
        <v>45913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62086-2023</t>
        </is>
      </c>
      <c r="B501" s="1" t="n">
        <v>45266.83394675926</v>
      </c>
      <c r="C501" s="1" t="n">
        <v>45913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35106-2025</t>
        </is>
      </c>
      <c r="B502" s="1" t="n">
        <v>45852</v>
      </c>
      <c r="C502" s="1" t="n">
        <v>45913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35111-2025</t>
        </is>
      </c>
      <c r="B503" s="1" t="n">
        <v>45852.58091435185</v>
      </c>
      <c r="C503" s="1" t="n">
        <v>45913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39831-2025</t>
        </is>
      </c>
      <c r="B504" s="1" t="n">
        <v>45891.55961805556</v>
      </c>
      <c r="C504" s="1" t="n">
        <v>45913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34886-2025</t>
        </is>
      </c>
      <c r="B505" s="1" t="n">
        <v>45849.47375</v>
      </c>
      <c r="C505" s="1" t="n">
        <v>45913</v>
      </c>
      <c r="D505" t="inlineStr">
        <is>
          <t>UPPSALA LÄN</t>
        </is>
      </c>
      <c r="E505" t="inlineStr">
        <is>
          <t>HEBY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60295-2021</t>
        </is>
      </c>
      <c r="B506" s="1" t="n">
        <v>44495</v>
      </c>
      <c r="C506" s="1" t="n">
        <v>45913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35080-2025</t>
        </is>
      </c>
      <c r="B507" s="1" t="n">
        <v>45852.48943287037</v>
      </c>
      <c r="C507" s="1" t="n">
        <v>45913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44093-2024</t>
        </is>
      </c>
      <c r="B508" s="1" t="n">
        <v>45572.6234837963</v>
      </c>
      <c r="C508" s="1" t="n">
        <v>45913</v>
      </c>
      <c r="D508" t="inlineStr">
        <is>
          <t>UPPSALA LÄN</t>
        </is>
      </c>
      <c r="E508" t="inlineStr">
        <is>
          <t>HEBY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64888-2023</t>
        </is>
      </c>
      <c r="B509" s="1" t="n">
        <v>45282</v>
      </c>
      <c r="C509" s="1" t="n">
        <v>45913</v>
      </c>
      <c r="D509" t="inlineStr">
        <is>
          <t>UPPSALA LÄN</t>
        </is>
      </c>
      <c r="E509" t="inlineStr">
        <is>
          <t>HEBY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15326-2022</t>
        </is>
      </c>
      <c r="B510" s="1" t="n">
        <v>44659</v>
      </c>
      <c r="C510" s="1" t="n">
        <v>45913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40455-2025</t>
        </is>
      </c>
      <c r="B511" s="1" t="n">
        <v>45895.63981481481</v>
      </c>
      <c r="C511" s="1" t="n">
        <v>45913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40475-2025</t>
        </is>
      </c>
      <c r="B512" s="1" t="n">
        <v>45895.68223379629</v>
      </c>
      <c r="C512" s="1" t="n">
        <v>45913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35296-2025</t>
        </is>
      </c>
      <c r="B513" s="1" t="n">
        <v>45854.40615740741</v>
      </c>
      <c r="C513" s="1" t="n">
        <v>45913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39409-2025</t>
        </is>
      </c>
      <c r="B514" s="1" t="n">
        <v>45889</v>
      </c>
      <c r="C514" s="1" t="n">
        <v>45913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40435-2025</t>
        </is>
      </c>
      <c r="B515" s="1" t="n">
        <v>45895.61859953704</v>
      </c>
      <c r="C515" s="1" t="n">
        <v>45913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öst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18849-2024</t>
        </is>
      </c>
      <c r="B516" s="1" t="n">
        <v>45426.68497685185</v>
      </c>
      <c r="C516" s="1" t="n">
        <v>45913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40567-2025</t>
        </is>
      </c>
      <c r="B517" s="1" t="n">
        <v>45896.47104166666</v>
      </c>
      <c r="C517" s="1" t="n">
        <v>45913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8856-2022</t>
        </is>
      </c>
      <c r="B518" s="1" t="n">
        <v>44614.54268518519</v>
      </c>
      <c r="C518" s="1" t="n">
        <v>45913</v>
      </c>
      <c r="D518" t="inlineStr">
        <is>
          <t>UPPSALA LÄN</t>
        </is>
      </c>
      <c r="E518" t="inlineStr">
        <is>
          <t>HEBY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23411-2024</t>
        </is>
      </c>
      <c r="B519" s="1" t="n">
        <v>45453</v>
      </c>
      <c r="C519" s="1" t="n">
        <v>45913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35257-2025</t>
        </is>
      </c>
      <c r="B520" s="1" t="n">
        <v>45853.7616087963</v>
      </c>
      <c r="C520" s="1" t="n">
        <v>45913</v>
      </c>
      <c r="D520" t="inlineStr">
        <is>
          <t>UPPSALA LÄN</t>
        </is>
      </c>
      <c r="E520" t="inlineStr">
        <is>
          <t>HEBY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2212-2023</t>
        </is>
      </c>
      <c r="B521" s="1" t="n">
        <v>44942.40657407408</v>
      </c>
      <c r="C521" s="1" t="n">
        <v>45913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37103-2024</t>
        </is>
      </c>
      <c r="B522" s="1" t="n">
        <v>45539.50813657408</v>
      </c>
      <c r="C522" s="1" t="n">
        <v>45913</v>
      </c>
      <c r="D522" t="inlineStr">
        <is>
          <t>UPPSALA LÄN</t>
        </is>
      </c>
      <c r="E522" t="inlineStr">
        <is>
          <t>HEBY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2227-2023</t>
        </is>
      </c>
      <c r="B523" s="1" t="n">
        <v>44942.44016203703</v>
      </c>
      <c r="C523" s="1" t="n">
        <v>45913</v>
      </c>
      <c r="D523" t="inlineStr">
        <is>
          <t>UPPSALA LÄN</t>
        </is>
      </c>
      <c r="E523" t="inlineStr">
        <is>
          <t>HEBY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35517-2025</t>
        </is>
      </c>
      <c r="B524" s="1" t="n">
        <v>45856.40909722223</v>
      </c>
      <c r="C524" s="1" t="n">
        <v>45913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49621-2024</t>
        </is>
      </c>
      <c r="B525" s="1" t="n">
        <v>45596</v>
      </c>
      <c r="C525" s="1" t="n">
        <v>45913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41219-2025</t>
        </is>
      </c>
      <c r="B526" s="1" t="n">
        <v>45898</v>
      </c>
      <c r="C526" s="1" t="n">
        <v>45913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35528-2025</t>
        </is>
      </c>
      <c r="B527" s="1" t="n">
        <v>45856.43204861111</v>
      </c>
      <c r="C527" s="1" t="n">
        <v>45913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41246-2025</t>
        </is>
      </c>
      <c r="B528" s="1" t="n">
        <v>45898.6009375</v>
      </c>
      <c r="C528" s="1" t="n">
        <v>45913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478-2025</t>
        </is>
      </c>
      <c r="B529" s="1" t="n">
        <v>45664.44835648148</v>
      </c>
      <c r="C529" s="1" t="n">
        <v>45913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6866-2022</t>
        </is>
      </c>
      <c r="B530" s="1" t="n">
        <v>44602.72481481481</v>
      </c>
      <c r="C530" s="1" t="n">
        <v>45913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30901-2023</t>
        </is>
      </c>
      <c r="B531" s="1" t="n">
        <v>45113</v>
      </c>
      <c r="C531" s="1" t="n">
        <v>45913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41216-2025</t>
        </is>
      </c>
      <c r="B532" s="1" t="n">
        <v>45898.58221064815</v>
      </c>
      <c r="C532" s="1" t="n">
        <v>45913</v>
      </c>
      <c r="D532" t="inlineStr">
        <is>
          <t>UPPSALA LÄN</t>
        </is>
      </c>
      <c r="E532" t="inlineStr">
        <is>
          <t>HEBY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18148-2022</t>
        </is>
      </c>
      <c r="B533" s="1" t="n">
        <v>44684</v>
      </c>
      <c r="C533" s="1" t="n">
        <v>45913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41.8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66873-2021</t>
        </is>
      </c>
      <c r="B534" s="1" t="n">
        <v>44522</v>
      </c>
      <c r="C534" s="1" t="n">
        <v>45913</v>
      </c>
      <c r="D534" t="inlineStr">
        <is>
          <t>UPPSALA LÄN</t>
        </is>
      </c>
      <c r="E534" t="inlineStr">
        <is>
          <t>HEBY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35519-2025</t>
        </is>
      </c>
      <c r="B535" s="1" t="n">
        <v>45856.41048611111</v>
      </c>
      <c r="C535" s="1" t="n">
        <v>45913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44281-2024</t>
        </is>
      </c>
      <c r="B536" s="1" t="n">
        <v>45573.49663194444</v>
      </c>
      <c r="C536" s="1" t="n">
        <v>45913</v>
      </c>
      <c r="D536" t="inlineStr">
        <is>
          <t>UPPSALA LÄN</t>
        </is>
      </c>
      <c r="E536" t="inlineStr">
        <is>
          <t>HEBY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29387-2022</t>
        </is>
      </c>
      <c r="B537" s="1" t="n">
        <v>44753</v>
      </c>
      <c r="C537" s="1" t="n">
        <v>45913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13634-2023</t>
        </is>
      </c>
      <c r="B538" s="1" t="n">
        <v>45006.6362962963</v>
      </c>
      <c r="C538" s="1" t="n">
        <v>45913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6151-2021</t>
        </is>
      </c>
      <c r="B539" s="1" t="n">
        <v>44232</v>
      </c>
      <c r="C539" s="1" t="n">
        <v>45913</v>
      </c>
      <c r="D539" t="inlineStr">
        <is>
          <t>UPPSALA LÄN</t>
        </is>
      </c>
      <c r="E539" t="inlineStr">
        <is>
          <t>HEBY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6186-2021</t>
        </is>
      </c>
      <c r="B540" s="1" t="n">
        <v>44233</v>
      </c>
      <c r="C540" s="1" t="n">
        <v>45913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36494-2021</t>
        </is>
      </c>
      <c r="B541" s="1" t="n">
        <v>44391</v>
      </c>
      <c r="C541" s="1" t="n">
        <v>45913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25995-2022</t>
        </is>
      </c>
      <c r="B542" s="1" t="n">
        <v>44734.51694444445</v>
      </c>
      <c r="C542" s="1" t="n">
        <v>45913</v>
      </c>
      <c r="D542" t="inlineStr">
        <is>
          <t>UPPSALA LÄN</t>
        </is>
      </c>
      <c r="E542" t="inlineStr">
        <is>
          <t>HEBY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50589-2020</t>
        </is>
      </c>
      <c r="B543" s="1" t="n">
        <v>44110</v>
      </c>
      <c r="C543" s="1" t="n">
        <v>45913</v>
      </c>
      <c r="D543" t="inlineStr">
        <is>
          <t>UPPSALA LÄN</t>
        </is>
      </c>
      <c r="E543" t="inlineStr">
        <is>
          <t>HEBY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24558-2023</t>
        </is>
      </c>
      <c r="B544" s="1" t="n">
        <v>45083</v>
      </c>
      <c r="C544" s="1" t="n">
        <v>45913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6203-2023</t>
        </is>
      </c>
      <c r="B545" s="1" t="n">
        <v>44964.74861111111</v>
      </c>
      <c r="C545" s="1" t="n">
        <v>45913</v>
      </c>
      <c r="D545" t="inlineStr">
        <is>
          <t>UPPSALA LÄN</t>
        </is>
      </c>
      <c r="E545" t="inlineStr">
        <is>
          <t>HEBY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42215-2025</t>
        </is>
      </c>
      <c r="B546" s="1" t="n">
        <v>45904.50881944445</v>
      </c>
      <c r="C546" s="1" t="n">
        <v>45913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öst AB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42216-2025</t>
        </is>
      </c>
      <c r="B547" s="1" t="n">
        <v>45904.51081018519</v>
      </c>
      <c r="C547" s="1" t="n">
        <v>45913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öst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20882-2022</t>
        </is>
      </c>
      <c r="B548" s="1" t="n">
        <v>44701.56520833333</v>
      </c>
      <c r="C548" s="1" t="n">
        <v>45913</v>
      </c>
      <c r="D548" t="inlineStr">
        <is>
          <t>UPPSALA LÄN</t>
        </is>
      </c>
      <c r="E548" t="inlineStr">
        <is>
          <t>HEBY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14585-2023</t>
        </is>
      </c>
      <c r="B549" s="1" t="n">
        <v>45013</v>
      </c>
      <c r="C549" s="1" t="n">
        <v>45913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56352-2021</t>
        </is>
      </c>
      <c r="B550" s="1" t="n">
        <v>44480</v>
      </c>
      <c r="C550" s="1" t="n">
        <v>45913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9767-2023</t>
        </is>
      </c>
      <c r="B551" s="1" t="n">
        <v>44984</v>
      </c>
      <c r="C551" s="1" t="n">
        <v>45913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51521-2023</t>
        </is>
      </c>
      <c r="B552" s="1" t="n">
        <v>45215</v>
      </c>
      <c r="C552" s="1" t="n">
        <v>45913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9769-2023</t>
        </is>
      </c>
      <c r="B553" s="1" t="n">
        <v>44984</v>
      </c>
      <c r="C553" s="1" t="n">
        <v>45913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45964-2021</t>
        </is>
      </c>
      <c r="B554" s="1" t="n">
        <v>44441.68001157408</v>
      </c>
      <c r="C554" s="1" t="n">
        <v>45913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13243-2022</t>
        </is>
      </c>
      <c r="B555" s="1" t="n">
        <v>44644.64444444444</v>
      </c>
      <c r="C555" s="1" t="n">
        <v>45913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17407-2023</t>
        </is>
      </c>
      <c r="B556" s="1" t="n">
        <v>45035.75166666666</v>
      </c>
      <c r="C556" s="1" t="n">
        <v>45913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48039-2024</t>
        </is>
      </c>
      <c r="B557" s="1" t="n">
        <v>45589.4975462963</v>
      </c>
      <c r="C557" s="1" t="n">
        <v>45913</v>
      </c>
      <c r="D557" t="inlineStr">
        <is>
          <t>UPPSALA LÄN</t>
        </is>
      </c>
      <c r="E557" t="inlineStr">
        <is>
          <t>HEBY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36164-2025</t>
        </is>
      </c>
      <c r="B558" s="1" t="n">
        <v>45867.3707175926</v>
      </c>
      <c r="C558" s="1" t="n">
        <v>45913</v>
      </c>
      <c r="D558" t="inlineStr">
        <is>
          <t>UPPSALA LÄN</t>
        </is>
      </c>
      <c r="E558" t="inlineStr">
        <is>
          <t>HEBY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59858-2024</t>
        </is>
      </c>
      <c r="B559" s="1" t="n">
        <v>45639</v>
      </c>
      <c r="C559" s="1" t="n">
        <v>45913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43549-2025</t>
        </is>
      </c>
      <c r="B560" s="1" t="n">
        <v>45911.61762731482</v>
      </c>
      <c r="C560" s="1" t="n">
        <v>45913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9497-2023</t>
        </is>
      </c>
      <c r="B561" s="1" t="n">
        <v>44981</v>
      </c>
      <c r="C561" s="1" t="n">
        <v>45913</v>
      </c>
      <c r="D561" t="inlineStr">
        <is>
          <t>UPPSALA LÄN</t>
        </is>
      </c>
      <c r="E561" t="inlineStr">
        <is>
          <t>HEBY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60788-2022</t>
        </is>
      </c>
      <c r="B562" s="1" t="n">
        <v>44914.41196759259</v>
      </c>
      <c r="C562" s="1" t="n">
        <v>45913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27836-2025</t>
        </is>
      </c>
      <c r="B563" s="1" t="n">
        <v>45817.37181712963</v>
      </c>
      <c r="C563" s="1" t="n">
        <v>45913</v>
      </c>
      <c r="D563" t="inlineStr">
        <is>
          <t>UPPSALA LÄN</t>
        </is>
      </c>
      <c r="E563" t="inlineStr">
        <is>
          <t>HEBY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27842-2025</t>
        </is>
      </c>
      <c r="B564" s="1" t="n">
        <v>45817.38511574074</v>
      </c>
      <c r="C564" s="1" t="n">
        <v>45913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43855-2025</t>
        </is>
      </c>
      <c r="B565" s="1" t="n">
        <v>45912.64322916666</v>
      </c>
      <c r="C565" s="1" t="n">
        <v>45913</v>
      </c>
      <c r="D565" t="inlineStr">
        <is>
          <t>UPPSALA LÄN</t>
        </is>
      </c>
      <c r="E565" t="inlineStr">
        <is>
          <t>HEBY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11873-2025</t>
        </is>
      </c>
      <c r="B566" s="1" t="n">
        <v>45728.43380787037</v>
      </c>
      <c r="C566" s="1" t="n">
        <v>45913</v>
      </c>
      <c r="D566" t="inlineStr">
        <is>
          <t>UPPSALA LÄN</t>
        </is>
      </c>
      <c r="E566" t="inlineStr">
        <is>
          <t>HEBY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11835-2024</t>
        </is>
      </c>
      <c r="B567" s="1" t="n">
        <v>45376.36833333333</v>
      </c>
      <c r="C567" s="1" t="n">
        <v>45913</v>
      </c>
      <c r="D567" t="inlineStr">
        <is>
          <t>UPPSALA LÄN</t>
        </is>
      </c>
      <c r="E567" t="inlineStr">
        <is>
          <t>HEBY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59207-2023</t>
        </is>
      </c>
      <c r="B568" s="1" t="n">
        <v>45252</v>
      </c>
      <c r="C568" s="1" t="n">
        <v>45913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30433-2023</t>
        </is>
      </c>
      <c r="B569" s="1" t="n">
        <v>45111</v>
      </c>
      <c r="C569" s="1" t="n">
        <v>45913</v>
      </c>
      <c r="D569" t="inlineStr">
        <is>
          <t>UPPSALA LÄN</t>
        </is>
      </c>
      <c r="E569" t="inlineStr">
        <is>
          <t>HEBY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10241-2025</t>
        </is>
      </c>
      <c r="B570" s="1" t="n">
        <v>45720.3462037037</v>
      </c>
      <c r="C570" s="1" t="n">
        <v>45913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34140-2023</t>
        </is>
      </c>
      <c r="B571" s="1" t="n">
        <v>45135</v>
      </c>
      <c r="C571" s="1" t="n">
        <v>45913</v>
      </c>
      <c r="D571" t="inlineStr">
        <is>
          <t>UPPSALA LÄN</t>
        </is>
      </c>
      <c r="E571" t="inlineStr">
        <is>
          <t>HEBY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33703-2023</t>
        </is>
      </c>
      <c r="B572" s="1" t="n">
        <v>45132.77611111111</v>
      </c>
      <c r="C572" s="1" t="n">
        <v>45913</v>
      </c>
      <c r="D572" t="inlineStr">
        <is>
          <t>UPPSALA LÄN</t>
        </is>
      </c>
      <c r="E572" t="inlineStr">
        <is>
          <t>HEBY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26449-2023</t>
        </is>
      </c>
      <c r="B573" s="1" t="n">
        <v>45092</v>
      </c>
      <c r="C573" s="1" t="n">
        <v>45913</v>
      </c>
      <c r="D573" t="inlineStr">
        <is>
          <t>UPPSALA LÄN</t>
        </is>
      </c>
      <c r="E573" t="inlineStr">
        <is>
          <t>HEBY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31564-2023</t>
        </is>
      </c>
      <c r="B574" s="1" t="n">
        <v>45117</v>
      </c>
      <c r="C574" s="1" t="n">
        <v>45913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206-2024</t>
        </is>
      </c>
      <c r="B575" s="1" t="n">
        <v>45294.65653935185</v>
      </c>
      <c r="C575" s="1" t="n">
        <v>45913</v>
      </c>
      <c r="D575" t="inlineStr">
        <is>
          <t>UPPSALA LÄN</t>
        </is>
      </c>
      <c r="E575" t="inlineStr">
        <is>
          <t>HEBY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52252-2024</t>
        </is>
      </c>
      <c r="B576" s="1" t="n">
        <v>45607</v>
      </c>
      <c r="C576" s="1" t="n">
        <v>45913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50172-2024</t>
        </is>
      </c>
      <c r="B577" s="1" t="n">
        <v>45599</v>
      </c>
      <c r="C577" s="1" t="n">
        <v>45913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56081-2024</t>
        </is>
      </c>
      <c r="B578" s="1" t="n">
        <v>45624</v>
      </c>
      <c r="C578" s="1" t="n">
        <v>45913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7173-2024</t>
        </is>
      </c>
      <c r="B579" s="1" t="n">
        <v>45344.48746527778</v>
      </c>
      <c r="C579" s="1" t="n">
        <v>45913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4388-2025</t>
        </is>
      </c>
      <c r="B580" s="1" t="n">
        <v>45686.40940972222</v>
      </c>
      <c r="C580" s="1" t="n">
        <v>45913</v>
      </c>
      <c r="D580" t="inlineStr">
        <is>
          <t>UPPSALA LÄN</t>
        </is>
      </c>
      <c r="E580" t="inlineStr">
        <is>
          <t>HEBY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9194-2025</t>
        </is>
      </c>
      <c r="B581" s="1" t="n">
        <v>45714.46084490741</v>
      </c>
      <c r="C581" s="1" t="n">
        <v>45913</v>
      </c>
      <c r="D581" t="inlineStr">
        <is>
          <t>UPPSALA LÄN</t>
        </is>
      </c>
      <c r="E581" t="inlineStr">
        <is>
          <t>HEBY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2303-2025</t>
        </is>
      </c>
      <c r="B582" s="1" t="n">
        <v>45673.5980787037</v>
      </c>
      <c r="C582" s="1" t="n">
        <v>45913</v>
      </c>
      <c r="D582" t="inlineStr">
        <is>
          <t>UPPSALA LÄN</t>
        </is>
      </c>
      <c r="E582" t="inlineStr">
        <is>
          <t>HEBY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60456-2022</t>
        </is>
      </c>
      <c r="B583" s="1" t="n">
        <v>44911.3789699074</v>
      </c>
      <c r="C583" s="1" t="n">
        <v>45913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16847-2024</t>
        </is>
      </c>
      <c r="B584" s="1" t="n">
        <v>45411.49923611111</v>
      </c>
      <c r="C584" s="1" t="n">
        <v>45913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39536-2024</t>
        </is>
      </c>
      <c r="B585" s="1" t="n">
        <v>45551.87931712963</v>
      </c>
      <c r="C585" s="1" t="n">
        <v>45913</v>
      </c>
      <c r="D585" t="inlineStr">
        <is>
          <t>UPPSALA LÄN</t>
        </is>
      </c>
      <c r="E585" t="inlineStr">
        <is>
          <t>HEBY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33376-2024</t>
        </is>
      </c>
      <c r="B586" s="1" t="n">
        <v>45519.44510416667</v>
      </c>
      <c r="C586" s="1" t="n">
        <v>45913</v>
      </c>
      <c r="D586" t="inlineStr">
        <is>
          <t>UPPSALA LÄN</t>
        </is>
      </c>
      <c r="E586" t="inlineStr">
        <is>
          <t>HEBY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33381-2024</t>
        </is>
      </c>
      <c r="B587" s="1" t="n">
        <v>45519</v>
      </c>
      <c r="C587" s="1" t="n">
        <v>45913</v>
      </c>
      <c r="D587" t="inlineStr">
        <is>
          <t>UPPSALA LÄN</t>
        </is>
      </c>
      <c r="E587" t="inlineStr">
        <is>
          <t>HEBY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58124-2022</t>
        </is>
      </c>
      <c r="B588" s="1" t="n">
        <v>44900.66995370371</v>
      </c>
      <c r="C588" s="1" t="n">
        <v>45913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21310-2023</t>
        </is>
      </c>
      <c r="B589" s="1" t="n">
        <v>45058</v>
      </c>
      <c r="C589" s="1" t="n">
        <v>45913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57674-2024</t>
        </is>
      </c>
      <c r="B590" s="1" t="n">
        <v>45630</v>
      </c>
      <c r="C590" s="1" t="n">
        <v>45913</v>
      </c>
      <c r="D590" t="inlineStr">
        <is>
          <t>UPPSALA LÄN</t>
        </is>
      </c>
      <c r="E590" t="inlineStr">
        <is>
          <t>HEBY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48956-2023</t>
        </is>
      </c>
      <c r="B591" s="1" t="n">
        <v>45209.58532407408</v>
      </c>
      <c r="C591" s="1" t="n">
        <v>45913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11060-2025</t>
        </is>
      </c>
      <c r="B592" s="1" t="n">
        <v>45723.51342592593</v>
      </c>
      <c r="C592" s="1" t="n">
        <v>45913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11075-2025</t>
        </is>
      </c>
      <c r="B593" s="1" t="n">
        <v>45723.55233796296</v>
      </c>
      <c r="C593" s="1" t="n">
        <v>45913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9043-2023</t>
        </is>
      </c>
      <c r="B594" s="1" t="n">
        <v>44979.66287037037</v>
      </c>
      <c r="C594" s="1" t="n">
        <v>45913</v>
      </c>
      <c r="D594" t="inlineStr">
        <is>
          <t>UPPSALA LÄN</t>
        </is>
      </c>
      <c r="E594" t="inlineStr">
        <is>
          <t>HEBY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8881-2025</t>
        </is>
      </c>
      <c r="B595" s="1" t="n">
        <v>45713</v>
      </c>
      <c r="C595" s="1" t="n">
        <v>45913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19559-2025</t>
        </is>
      </c>
      <c r="B596" s="1" t="n">
        <v>45770.51476851852</v>
      </c>
      <c r="C596" s="1" t="n">
        <v>45913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3779-2024</t>
        </is>
      </c>
      <c r="B597" s="1" t="n">
        <v>45321.5900462963</v>
      </c>
      <c r="C597" s="1" t="n">
        <v>45913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52955-2022</t>
        </is>
      </c>
      <c r="B598" s="1" t="n">
        <v>44875</v>
      </c>
      <c r="C598" s="1" t="n">
        <v>45913</v>
      </c>
      <c r="D598" t="inlineStr">
        <is>
          <t>UPPSALA LÄN</t>
        </is>
      </c>
      <c r="E598" t="inlineStr">
        <is>
          <t>HEBY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57880-2024</t>
        </is>
      </c>
      <c r="B599" s="1" t="n">
        <v>45631</v>
      </c>
      <c r="C599" s="1" t="n">
        <v>45913</v>
      </c>
      <c r="D599" t="inlineStr">
        <is>
          <t>UPPSALA LÄN</t>
        </is>
      </c>
      <c r="E599" t="inlineStr">
        <is>
          <t>HEBY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31575-2023</t>
        </is>
      </c>
      <c r="B600" s="1" t="n">
        <v>45117</v>
      </c>
      <c r="C600" s="1" t="n">
        <v>45913</v>
      </c>
      <c r="D600" t="inlineStr">
        <is>
          <t>UPPSALA LÄN</t>
        </is>
      </c>
      <c r="E600" t="inlineStr">
        <is>
          <t>HEBY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7468-2025</t>
        </is>
      </c>
      <c r="B601" s="1" t="n">
        <v>45705.45865740741</v>
      </c>
      <c r="C601" s="1" t="n">
        <v>45913</v>
      </c>
      <c r="D601" t="inlineStr">
        <is>
          <t>UPPSALA LÄN</t>
        </is>
      </c>
      <c r="E601" t="inlineStr">
        <is>
          <t>HEBY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724-2025</t>
        </is>
      </c>
      <c r="B602" s="1" t="n">
        <v>45665</v>
      </c>
      <c r="C602" s="1" t="n">
        <v>45913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48430-2024</t>
        </is>
      </c>
      <c r="B603" s="1" t="n">
        <v>45590</v>
      </c>
      <c r="C603" s="1" t="n">
        <v>45913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2025-09-13T08:57:36Z</dcterms:created>
  <dcterms:modified xmlns:dcterms="http://purl.org/dc/terms/" xmlns:xsi="http://www.w3.org/2001/XMLSchema-instance" xsi:type="dcterms:W3CDTF">2025-09-13T08:57:37Z</dcterms:modified>
</cp:coreProperties>
</file>
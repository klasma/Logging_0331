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45714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45714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45714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45714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45714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45714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45714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45714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45714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45714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45714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45714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45714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45714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45714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58656-2021</t>
        </is>
      </c>
      <c r="B17" s="1" t="n">
        <v>44489</v>
      </c>
      <c r="C17" s="1" t="n">
        <v>45714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3.4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Ullticka
Bronshjon
Thomsons trägnagare
Käppkrokmossa
Blåsippa</t>
        </is>
      </c>
      <c r="S17">
        <f>HYPERLINK("https://klasma.github.io/Logging_0331/artfynd/A 58656-2021 artfynd.xlsx", "A 58656-2021")</f>
        <v/>
      </c>
      <c r="T17">
        <f>HYPERLINK("https://klasma.github.io/Logging_0331/kartor/A 58656-2021 karta.png", "A 58656-2021")</f>
        <v/>
      </c>
      <c r="V17">
        <f>HYPERLINK("https://klasma.github.io/Logging_0331/klagomål/A 58656-2021 FSC-klagomål.docx", "A 58656-2021")</f>
        <v/>
      </c>
      <c r="W17">
        <f>HYPERLINK("https://klasma.github.io/Logging_0331/klagomålsmail/A 58656-2021 FSC-klagomål mail.docx", "A 58656-2021")</f>
        <v/>
      </c>
      <c r="X17">
        <f>HYPERLINK("https://klasma.github.io/Logging_0331/tillsyn/A 58656-2021 tillsynsbegäran.docx", "A 58656-2021")</f>
        <v/>
      </c>
      <c r="Y17">
        <f>HYPERLINK("https://klasma.github.io/Logging_0331/tillsynsmail/A 58656-2021 tillsynsbegäran mail.docx", "A 58656-2021")</f>
        <v/>
      </c>
    </row>
    <row r="18" ht="15" customHeight="1">
      <c r="A18" t="inlineStr">
        <is>
          <t>A 61139-2022</t>
        </is>
      </c>
      <c r="B18" s="1" t="n">
        <v>44915</v>
      </c>
      <c r="C18" s="1" t="n">
        <v>45714</v>
      </c>
      <c r="D18" t="inlineStr">
        <is>
          <t>UPPSALA LÄN</t>
        </is>
      </c>
      <c r="E18" t="inlineStr">
        <is>
          <t>HEBY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Grönhjon
Björksplintborre
Jättesvampmal
Noshornsoxe
Blåsippa</t>
        </is>
      </c>
      <c r="S18">
        <f>HYPERLINK("https://klasma.github.io/Logging_0331/artfynd/A 61139-2022 artfynd.xlsx", "A 61139-2022")</f>
        <v/>
      </c>
      <c r="T18">
        <f>HYPERLINK("https://klasma.github.io/Logging_0331/kartor/A 61139-2022 karta.png", "A 61139-2022")</f>
        <v/>
      </c>
      <c r="V18">
        <f>HYPERLINK("https://klasma.github.io/Logging_0331/klagomål/A 61139-2022 FSC-klagomål.docx", "A 61139-2022")</f>
        <v/>
      </c>
      <c r="W18">
        <f>HYPERLINK("https://klasma.github.io/Logging_0331/klagomålsmail/A 61139-2022 FSC-klagomål mail.docx", "A 61139-2022")</f>
        <v/>
      </c>
      <c r="X18">
        <f>HYPERLINK("https://klasma.github.io/Logging_0331/tillsyn/A 61139-2022 tillsynsbegäran.docx", "A 61139-2022")</f>
        <v/>
      </c>
      <c r="Y18">
        <f>HYPERLINK("https://klasma.github.io/Logging_0331/tillsynsmail/A 61139-2022 tillsynsbegäran mail.docx", "A 61139-2022")</f>
        <v/>
      </c>
    </row>
    <row r="19" ht="15" customHeight="1">
      <c r="A19" t="inlineStr">
        <is>
          <t>A 31572-2023</t>
        </is>
      </c>
      <c r="B19" s="1" t="n">
        <v>45117</v>
      </c>
      <c r="C19" s="1" t="n">
        <v>45714</v>
      </c>
      <c r="D19" t="inlineStr">
        <is>
          <t>UPPSALA LÄN</t>
        </is>
      </c>
      <c r="E19" t="inlineStr">
        <is>
          <t>HEBY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Grönpyrola
Norrlandslav
Vedticka
Fläcknycklar</t>
        </is>
      </c>
      <c r="S19">
        <f>HYPERLINK("https://klasma.github.io/Logging_0331/artfynd/A 31572-2023 artfynd.xlsx", "A 31572-2023")</f>
        <v/>
      </c>
      <c r="T19">
        <f>HYPERLINK("https://klasma.github.io/Logging_0331/kartor/A 31572-2023 karta.png", "A 31572-2023")</f>
        <v/>
      </c>
      <c r="U19">
        <f>HYPERLINK("https://klasma.github.io/Logging_0331/knärot/A 31572-2023 karta knärot.png", "A 31572-2023")</f>
        <v/>
      </c>
      <c r="V19">
        <f>HYPERLINK("https://klasma.github.io/Logging_0331/klagomål/A 31572-2023 FSC-klagomål.docx", "A 31572-2023")</f>
        <v/>
      </c>
      <c r="W19">
        <f>HYPERLINK("https://klasma.github.io/Logging_0331/klagomålsmail/A 31572-2023 FSC-klagomål mail.docx", "A 31572-2023")</f>
        <v/>
      </c>
      <c r="X19">
        <f>HYPERLINK("https://klasma.github.io/Logging_0331/tillsyn/A 31572-2023 tillsynsbegäran.docx", "A 31572-2023")</f>
        <v/>
      </c>
      <c r="Y19">
        <f>HYPERLINK("https://klasma.github.io/Logging_0331/tillsynsmail/A 31572-2023 tillsynsbegäran mail.docx", "A 31572-2023")</f>
        <v/>
      </c>
    </row>
    <row r="20" ht="15" customHeight="1">
      <c r="A20" t="inlineStr">
        <is>
          <t>A 56075-2023</t>
        </is>
      </c>
      <c r="B20" s="1" t="n">
        <v>45240</v>
      </c>
      <c r="C20" s="1" t="n">
        <v>45714</v>
      </c>
      <c r="D20" t="inlineStr">
        <is>
          <t>UPPSALA LÄN</t>
        </is>
      </c>
      <c r="E20" t="inlineStr">
        <is>
          <t>HEBY</t>
        </is>
      </c>
      <c r="G20" t="n">
        <v>3.8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Ullticka
Vedtrappmossa
Jättesvampmal
Rostfläck
Blåsippa</t>
        </is>
      </c>
      <c r="S20">
        <f>HYPERLINK("https://klasma.github.io/Logging_0331/artfynd/A 56075-2023 artfynd.xlsx", "A 56075-2023")</f>
        <v/>
      </c>
      <c r="T20">
        <f>HYPERLINK("https://klasma.github.io/Logging_0331/kartor/A 56075-2023 karta.png", "A 56075-2023")</f>
        <v/>
      </c>
      <c r="V20">
        <f>HYPERLINK("https://klasma.github.io/Logging_0331/klagomål/A 56075-2023 FSC-klagomål.docx", "A 56075-2023")</f>
        <v/>
      </c>
      <c r="W20">
        <f>HYPERLINK("https://klasma.github.io/Logging_0331/klagomålsmail/A 56075-2023 FSC-klagomål mail.docx", "A 56075-2023")</f>
        <v/>
      </c>
      <c r="X20">
        <f>HYPERLINK("https://klasma.github.io/Logging_0331/tillsyn/A 56075-2023 tillsynsbegäran.docx", "A 56075-2023")</f>
        <v/>
      </c>
      <c r="Y20">
        <f>HYPERLINK("https://klasma.github.io/Logging_0331/tillsynsmail/A 56075-2023 tillsynsbegäran mail.docx", "A 56075-2023")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45714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45714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45714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45714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45714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45714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45714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45714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45714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45714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45714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45714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45714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45714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45714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45714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45714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45714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45714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45714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45714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45714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45714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45714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45714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45714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45714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45714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45714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45714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45714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45714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45714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45714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45714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45714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45714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45714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45714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45714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45714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45714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45714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45714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45714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45714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45714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45714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45714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45714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45714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45714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45714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45714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45714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45714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45714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45714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45714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45714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45714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45714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45714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45714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45714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45714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45714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45714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45714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45714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45714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45714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45714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45714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45714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45714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45714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45714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45714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45714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45714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45714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45714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45714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45714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45714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45714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45714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45714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45714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45714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45714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45714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45714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45714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45714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45714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45714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45714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45714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45714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45714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45714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45714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45714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45714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45714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45714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45714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45714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45714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45714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45714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45714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45714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45714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45714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45714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45714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45714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45714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45714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45714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45714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45714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45714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45714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45714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45714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45714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45714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45714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45714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45714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45714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45714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45714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45714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45714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45714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45714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45714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45714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45714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45714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45714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45714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45714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45714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45714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45714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45714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45714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45714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45714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45714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45714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45714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45714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45714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45714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45714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45714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45714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45714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45714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45714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45714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45714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45714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45714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45714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45714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45714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45714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45714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45714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45714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45714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45714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45714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45714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45714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45714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45714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45714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45714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45714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45714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45714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45714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45714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45714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45714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45714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45714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45714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45714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45714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45714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45714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45714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45714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45714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45714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45714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45714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45714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45714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45714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45714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45714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45714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45714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45714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45714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45714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45714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45714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45714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45714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45714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45714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45714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45714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45714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45714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45714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45714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45714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45714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45714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45714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45714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45714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45714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45714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45714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45714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45714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45714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45714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45714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45714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45714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45714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45714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45714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45714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45714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45714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45714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45714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45714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45714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45714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45714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45714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45714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45714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45714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45714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45714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45714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45714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45714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45714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45714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45714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45714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45714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45714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45714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45714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45714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45714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45714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45714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45714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45714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45714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45714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45714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45714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45714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45714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45714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45714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45714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45714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45714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45714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45714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45714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45714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45714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45714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45714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45714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45714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45714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45714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45714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45714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45714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45714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45714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45714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45714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45714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45714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45714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45714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45714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45714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45714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45714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45714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45714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45714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45714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45714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45714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45714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45714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45714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45714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45714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45714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45714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45714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45714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45714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45714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45714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45714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45714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45714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45714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45714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45714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45714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45714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45714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45714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45714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45714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45714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45714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45714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45714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45714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45714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45714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45714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45714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45714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45714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45714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45714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45714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45714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45714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45714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45714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45714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45714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45714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45714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45714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45714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45714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45714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45714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45714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45714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45714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45714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45714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45714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45714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45714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45714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45714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45714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45714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45714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45714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45714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45714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45714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45714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45714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45714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45714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45714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45714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45714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45714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45714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45714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45714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45714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45714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45714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45714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45714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45714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45714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45714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45714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45714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45714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45714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45714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45714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45714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45714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45714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45714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45714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45714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45714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45714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45714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45714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45714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45714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45714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45714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45714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45714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45714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45714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45714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45714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45714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45714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45714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45714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45714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45714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45714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45714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45714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45714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45714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45714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45714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45714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45714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45714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45714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45714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45714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45714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45714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45714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45714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45714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45714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45714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45714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45714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45714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45714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45714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45714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45714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45714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45714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45714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45714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45714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45714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45714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45714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45714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45714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45714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45714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45714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45714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45714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45714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45714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45714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45714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45714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45714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45714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45714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45714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45714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45714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45714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45714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45714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45714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45714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45714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45714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45714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45714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45714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45714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45714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45714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45714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45714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45714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45714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45714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45714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45714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45714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45714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45714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45714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45714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45714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45714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45714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45714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45714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45714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45714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45714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45714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45714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45714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45714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45714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45714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45714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45714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45714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45714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45714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45714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45714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45714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45714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45714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45714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45714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45714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45714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45714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45714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45714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45714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45714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45714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45714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45714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45714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45714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45714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45714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45714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45714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45714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45714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45714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45714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45714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45714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45714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45714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45714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45714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45714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45714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45714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45714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45714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45714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45714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45714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45714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45714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45714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45714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45714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45714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45714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45714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45714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45714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45714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45714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45714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45714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45714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45714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45714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45714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45714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45714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45714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45714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45714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45714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45714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45714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45714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45714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45714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45714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45714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45714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45714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45714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45714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45714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45714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45714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45714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45714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45714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45714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45714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45714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45714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45714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45714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45714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45714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45714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45714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45714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45714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45714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45714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45714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45714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45714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45714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45714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45714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45714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45714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45714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45714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45714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45714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45714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45714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45714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45714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45714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45714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45714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45714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45714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45714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45714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45714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45714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45714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45714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45714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45714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45714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45714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45714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45714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45714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45714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45714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45714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45714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45714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45714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45714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45714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45714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45714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45714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45714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45714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45714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45714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45714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45714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45714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45714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45714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45714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45714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45714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45714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45714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45714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45714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45714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45714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45714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45714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45714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45714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45714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45714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45714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45714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45714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45714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45714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45714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45714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45714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45714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45714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45714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45714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45714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45714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45714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45714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45714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45714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45714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45714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45714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45714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45714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45714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45714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45714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45714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45714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45714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45714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45714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45714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45714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45714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45714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45714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45714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45714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45714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45714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45714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45714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45714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45714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45714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45714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45714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45714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45714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45714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45714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45714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45714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45714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45714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45714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45714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45714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45714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45714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45714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45714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45714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45714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45714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45714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45714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45714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45714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45714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45714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45714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45714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45714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45714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45714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45714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45714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45714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45714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45714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45714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45714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45714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45714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45714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45714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45714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45714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45714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45714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45714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45714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45714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45714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45714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45714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45714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45714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45714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45714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45714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45714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45714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45714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45714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45714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45714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45714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45714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45714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45714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45714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45714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45714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45714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45714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45714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45714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45714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45714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45714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45714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45714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45714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45714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45714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45714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45714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45714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45714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45714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45714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45714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45714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45714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45714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45714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45714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45714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45714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45714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45714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45714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45714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45714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45714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45714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45714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45714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45714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45714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45714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45714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45714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45714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45714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45714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45714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45714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45714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45714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45714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45714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45714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45714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45714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45714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45714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45714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45714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45714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45714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45714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45714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45714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45714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45714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45714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45714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45714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45714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45714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45714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45714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45714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45714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45714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45714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45714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45714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45714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45714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45714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45714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45714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45714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45714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45714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45714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45714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45714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45714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45714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45714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45714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45714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45714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45714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45714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45714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45714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45714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45714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45714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45714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45714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45714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45714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45714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45714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45714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45714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45714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45714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45714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45714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45714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45714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45714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45714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45714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45714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45714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45714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45714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45714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45714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45714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45714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45714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45714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45714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45714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45714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45714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45714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45714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45714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45714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45714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45714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45714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45714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45714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45714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45714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45714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45714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45714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45714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45714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45714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45714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45714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45714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45714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45714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45714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45714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45714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45714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45714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45714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45714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45714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45714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45714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45714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45714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45714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45714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45714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45714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45714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45714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45714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45714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45714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45714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45714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45714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45714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45714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45714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45714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45714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45714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45714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45714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45714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45714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45714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45714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45714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45714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45714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45714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45714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45714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45714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45714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45714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45714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45714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45714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45714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45714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45714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45714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45714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45714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45714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45714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45714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45714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45714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45714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45714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45714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45714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45714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45714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45714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45714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45714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45714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45714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45714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45714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45714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45714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45714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45714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45714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45714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45714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45714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45714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45714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45714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45714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45714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45714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45714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45714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45714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45714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45714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45714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45714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45714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45714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45714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45714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3527-2025</t>
        </is>
      </c>
      <c r="B1090" s="1" t="n">
        <v>45680</v>
      </c>
      <c r="C1090" s="1" t="n">
        <v>45714</v>
      </c>
      <c r="D1090" t="inlineStr">
        <is>
          <t>UPPSALA LÄN</t>
        </is>
      </c>
      <c r="E1090" t="inlineStr">
        <is>
          <t>HEBY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3466-2025</t>
        </is>
      </c>
      <c r="B1091" s="1" t="n">
        <v>45680</v>
      </c>
      <c r="C1091" s="1" t="n">
        <v>45714</v>
      </c>
      <c r="D1091" t="inlineStr">
        <is>
          <t>UPPSALA LÄN</t>
        </is>
      </c>
      <c r="E1091" t="inlineStr">
        <is>
          <t>HEBY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45714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45714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4735-2025</t>
        </is>
      </c>
      <c r="B1094" s="1" t="n">
        <v>45688</v>
      </c>
      <c r="C1094" s="1" t="n">
        <v>45714</v>
      </c>
      <c r="D1094" t="inlineStr">
        <is>
          <t>UPPSALA LÄN</t>
        </is>
      </c>
      <c r="E1094" t="inlineStr">
        <is>
          <t>HEBY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45714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45714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45714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45714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7502-2025</t>
        </is>
      </c>
      <c r="B1099" s="1" t="n">
        <v>45705</v>
      </c>
      <c r="C1099" s="1" t="n">
        <v>45714</v>
      </c>
      <c r="D1099" t="inlineStr">
        <is>
          <t>UPPSALA LÄN</t>
        </is>
      </c>
      <c r="E1099" t="inlineStr">
        <is>
          <t>HEBY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7429-2025</t>
        </is>
      </c>
      <c r="B1100" s="1" t="n">
        <v>45705</v>
      </c>
      <c r="C1100" s="1" t="n">
        <v>45714</v>
      </c>
      <c r="D1100" t="inlineStr">
        <is>
          <t>UPPSALA LÄN</t>
        </is>
      </c>
      <c r="E1100" t="inlineStr">
        <is>
          <t>HEBY</t>
        </is>
      </c>
      <c r="F1100" t="inlineStr">
        <is>
          <t>Kyrkan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7500-2025</t>
        </is>
      </c>
      <c r="B1101" s="1" t="n">
        <v>45705</v>
      </c>
      <c r="C1101" s="1" t="n">
        <v>45714</v>
      </c>
      <c r="D1101" t="inlineStr">
        <is>
          <t>UPPSALA LÄN</t>
        </is>
      </c>
      <c r="E1101" t="inlineStr">
        <is>
          <t>HEBY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7504-2025</t>
        </is>
      </c>
      <c r="B1102" s="1" t="n">
        <v>45705</v>
      </c>
      <c r="C1102" s="1" t="n">
        <v>45714</v>
      </c>
      <c r="D1102" t="inlineStr">
        <is>
          <t>UPPSALA LÄN</t>
        </is>
      </c>
      <c r="E1102" t="inlineStr">
        <is>
          <t>HEBY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7468-2025</t>
        </is>
      </c>
      <c r="B1103" s="1" t="n">
        <v>45705</v>
      </c>
      <c r="C1103" s="1" t="n">
        <v>45714</v>
      </c>
      <c r="D1103" t="inlineStr">
        <is>
          <t>UPPSALA LÄN</t>
        </is>
      </c>
      <c r="E1103" t="inlineStr">
        <is>
          <t>HEBY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45714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45714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7860-2025</t>
        </is>
      </c>
      <c r="B1106" s="1" t="n">
        <v>45706</v>
      </c>
      <c r="C1106" s="1" t="n">
        <v>45714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8199-2025</t>
        </is>
      </c>
      <c r="B1107" s="1" t="n">
        <v>45708</v>
      </c>
      <c r="C1107" s="1" t="n">
        <v>45714</v>
      </c>
      <c r="D1107" t="inlineStr">
        <is>
          <t>UPPSALA LÄN</t>
        </is>
      </c>
      <c r="E1107" t="inlineStr">
        <is>
          <t>HEBY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8884-2025</t>
        </is>
      </c>
      <c r="B1108" s="1" t="n">
        <v>45713</v>
      </c>
      <c r="C1108" s="1" t="n">
        <v>45714</v>
      </c>
      <c r="D1108" t="inlineStr">
        <is>
          <t>UPPSALA LÄN</t>
        </is>
      </c>
      <c r="E1108" t="inlineStr">
        <is>
          <t>HEBY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8881-2025</t>
        </is>
      </c>
      <c r="B1109" s="1" t="n">
        <v>45713</v>
      </c>
      <c r="C1109" s="1" t="n">
        <v>45714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8871-2025</t>
        </is>
      </c>
      <c r="B1110" s="1" t="n">
        <v>45713</v>
      </c>
      <c r="C1110" s="1" t="n">
        <v>45714</v>
      </c>
      <c r="D1110" t="inlineStr">
        <is>
          <t>UPPSALA LÄN</t>
        </is>
      </c>
      <c r="E1110" t="inlineStr">
        <is>
          <t>HEBY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2025-02-26T16:13:11Z</dcterms:created>
  <dcterms:modified xmlns:dcterms="http://purl.org/dc/terms/" xmlns:xsi="http://www.w3.org/2001/XMLSchema-instance" xsi:type="dcterms:W3CDTF">2025-02-26T16:13:12Z</dcterms:modified>
</cp:coreProperties>
</file>
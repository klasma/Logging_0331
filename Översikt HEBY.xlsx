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46241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46241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46241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46241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46241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46241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46241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46241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46241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46241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46241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46241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46241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46241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46241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46241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46241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46241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46241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46241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46241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46241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46241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46241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46241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46241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46241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46241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46241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46241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46241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46241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46241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46241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46241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t="n">
        <v>22</v>
      </c>
      <c r="V37" s="2" t="inlineStr">
        <is>
          <t>Knärot
Gropticka
Spillkråka</t>
        </is>
      </c>
      <c r="W37">
        <f>HYPERLINK("https://klasma.github.io/Logging_0331/artfynd/A 54350-2025 artfynd.xlsx", "A 54350-2025")</f>
        <v/>
      </c>
      <c r="X37">
        <f>HYPERLINK("https://klasma.github.io/Logging_0331/kartor/A 54350-2025 karta.png", "A 54350-2025")</f>
        <v/>
      </c>
      <c r="Y37">
        <f>HYPERLINK("https://klasma.github.io/Logging_0331/kartor_geotiff/A 54350-2025 georefererad karta.tif", "A 54350-2025")</f>
        <v/>
      </c>
      <c r="Z37">
        <f>HYPERLINK("https://klasma.github.io/Logging_0331/knärot/A 54350-2025 karta knärot.png", "A 54350-2025")</f>
        <v/>
      </c>
      <c r="AA37">
        <f>HYPERLINK("https://klasma.github.io/Logging_0331/klagomål/A 54350-2025 FSC-klagomål.docx", "A 54350-2025")</f>
        <v/>
      </c>
      <c r="AB37">
        <f>HYPERLINK("https://klasma.github.io/Logging_0331/klagomålsmail/A 54350-2025 FSC-klagomål mail.docx", "A 54350-2025")</f>
        <v/>
      </c>
      <c r="AC37">
        <f>HYPERLINK("https://klasma.github.io/Logging_0331/tillsyn/A 54350-2025 tillsynsbegäran.docx", "A 54350-2025")</f>
        <v/>
      </c>
      <c r="AD37">
        <f>HYPERLINK("https://klasma.github.io/Logging_0331/tillsynsmail/A 54350-2025 tillsynsbegäran mail.docx", "A 54350-2025")</f>
        <v/>
      </c>
      <c r="AE37">
        <f>HYPERLINK("https://klasma.github.io/Logging_0331/fåglar/A 54350-2025 prioriterade fågelarter.docx", "A 54350-2025")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46241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46241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46241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46241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46241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46241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46241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46241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46241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46241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46241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46241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46241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46241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46241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46241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46241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46241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46241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46241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46241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46241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11011-2025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45723</v>
      </c>
      <c r="E60" s="1" t="n">
        <v>46241</v>
      </c>
      <c r="F60" t="inlineStr">
        <is>
          <t>UPPSALA LÄN</t>
        </is>
      </c>
      <c r="G60" t="inlineStr">
        <is>
          <t>HEBY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HYPERLINK("https://klasma.github.io/Logging_0331/artfynd/A 11011-2025 artfynd.xlsx", "A 11011-2025")</f>
        <v/>
      </c>
      <c r="X60">
        <f>HYPERLINK("https://klasma.github.io/Logging_0331/kartor/A 11011-2025 karta.png", "A 11011-2025")</f>
        <v/>
      </c>
      <c r="Y60">
        <f>HYPERLINK("https://klasma.github.io/Logging_0331/kartor_geotiff/A 11011-2025 georefererad karta.tif", "A 11011-2025")</f>
        <v/>
      </c>
      <c r="AA60">
        <f>HYPERLINK("https://klasma.github.io/Logging_0331/klagomål/A 11011-2025 FSC-klagomål.docx", "A 11011-2025")</f>
        <v/>
      </c>
      <c r="AB60">
        <f>HYPERLINK("https://klasma.github.io/Logging_0331/klagomålsmail/A 11011-2025 FSC-klagomål mail.docx", "A 11011-2025")</f>
        <v/>
      </c>
      <c r="AC60">
        <f>HYPERLINK("https://klasma.github.io/Logging_0331/tillsyn/A 11011-2025 tillsynsbegäran.docx", "A 11011-2025")</f>
        <v/>
      </c>
      <c r="AD60">
        <f>HYPERLINK("https://klasma.github.io/Logging_0331/tillsynsmail/A 11011-2025 tillsynsbegäran mail.docx", "A 11011-2025")</f>
        <v/>
      </c>
    </row>
    <row r="61" ht="15" customHeight="1">
      <c r="A61" t="inlineStr">
        <is>
          <t>A 27871-2023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46241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HYPERLINK("https://klasma.github.io/Logging_0331/artfynd/A 27871-2023 artfynd.xlsx", "A 27871-2023")</f>
        <v/>
      </c>
      <c r="X61">
        <f>HYPERLINK("https://klasma.github.io/Logging_0331/kartor/A 27871-2023 karta.png", "A 27871-2023")</f>
        <v/>
      </c>
      <c r="Y61">
        <f>HYPERLINK("https://klasma.github.io/Logging_0331/kartor_geotiff/A 27871-2023 georefererad karta.tif", "A 27871-2023")</f>
        <v/>
      </c>
      <c r="AA61">
        <f>HYPERLINK("https://klasma.github.io/Logging_0331/klagomål/A 27871-2023 FSC-klagomål.docx", "A 27871-2023")</f>
        <v/>
      </c>
      <c r="AB61">
        <f>HYPERLINK("https://klasma.github.io/Logging_0331/klagomålsmail/A 27871-2023 FSC-klagomål mail.docx", "A 27871-2023")</f>
        <v/>
      </c>
      <c r="AC61">
        <f>HYPERLINK("https://klasma.github.io/Logging_0331/tillsyn/A 27871-2023 tillsynsbegäran.docx", "A 27871-2023")</f>
        <v/>
      </c>
      <c r="AD61">
        <f>HYPERLINK("https://klasma.github.io/Logging_0331/tillsynsmail/A 27871-2023 tillsynsbegäran mail.docx", "A 27871-2023")</f>
        <v/>
      </c>
    </row>
    <row r="62" ht="15" customHeight="1">
      <c r="A62" t="inlineStr">
        <is>
          <t>A 20530-2026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46241</v>
      </c>
      <c r="F62" t="inlineStr">
        <is>
          <t>UPPSALA LÄN</t>
        </is>
      </c>
      <c r="G62" t="inlineStr">
        <is>
          <t>HEBY</t>
        </is>
      </c>
      <c r="I62" t="n">
        <v>5.3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Björksplintborre</t>
        </is>
      </c>
      <c r="W62">
        <f>HYPERLINK("https://klasma.github.io/Logging_0331/artfynd/A 20530-2026 artfynd.xlsx", "A 20530-2026")</f>
        <v/>
      </c>
      <c r="X62">
        <f>HYPERLINK("https://klasma.github.io/Logging_0331/kartor/A 20530-2026 karta.png", "A 20530-2026")</f>
        <v/>
      </c>
      <c r="Y62">
        <f>HYPERLINK("https://klasma.github.io/Logging_0331/kartor_geotiff/A 20530-2026 georefererad karta.tif", "A 20530-2026")</f>
        <v/>
      </c>
      <c r="AA62">
        <f>HYPERLINK("https://klasma.github.io/Logging_0331/klagomål/A 20530-2026 FSC-klagomål.docx", "A 20530-2026")</f>
        <v/>
      </c>
      <c r="AB62">
        <f>HYPERLINK("https://klasma.github.io/Logging_0331/klagomålsmail/A 20530-2026 FSC-klagomål mail.docx", "A 20530-2026")</f>
        <v/>
      </c>
      <c r="AC62">
        <f>HYPERLINK("https://klasma.github.io/Logging_0331/tillsyn/A 20530-2026 tillsynsbegäran.docx", "A 20530-2026")</f>
        <v/>
      </c>
      <c r="AD62">
        <f>HYPERLINK("https://klasma.github.io/Logging_0331/tillsynsmail/A 20530-2026 tillsynsbegäran mail.docx", "A 20530-2026")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46241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46241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46241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46241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46241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46241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9358-2026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46241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9358-2026 artfynd.xlsx", "A 9358-2026")</f>
        <v/>
      </c>
      <c r="X69">
        <f>HYPERLINK("https://klasma.github.io/Logging_0331/kartor/A 9358-2026 karta.png", "A 9358-2026")</f>
        <v/>
      </c>
      <c r="Y69">
        <f>HYPERLINK("https://klasma.github.io/Logging_0331/kartor_geotiff/A 9358-2026 georefererad karta.tif", "A 9358-2026")</f>
        <v/>
      </c>
      <c r="AA69">
        <f>HYPERLINK("https://klasma.github.io/Logging_0331/klagomål/A 9358-2026 FSC-klagomål.docx", "A 9358-2026")</f>
        <v/>
      </c>
      <c r="AB69">
        <f>HYPERLINK("https://klasma.github.io/Logging_0331/klagomålsmail/A 9358-2026 FSC-klagomål mail.docx", "A 9358-2026")</f>
        <v/>
      </c>
      <c r="AC69">
        <f>HYPERLINK("https://klasma.github.io/Logging_0331/tillsyn/A 9358-2026 tillsynsbegäran.docx", "A 9358-2026")</f>
        <v/>
      </c>
      <c r="AD69">
        <f>HYPERLINK("https://klasma.github.io/Logging_0331/tillsynsmail/A 9358-2026 tillsynsbegäran mail.docx", "A 9358-2026")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46241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11560-2026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46084</v>
      </c>
      <c r="E71" s="1" t="n">
        <v>46241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11560-2026 artfynd.xlsx", "A 11560-2026")</f>
        <v/>
      </c>
      <c r="X71">
        <f>HYPERLINK("https://klasma.github.io/Logging_0331/kartor/A 11560-2026 karta.png", "A 11560-2026")</f>
        <v/>
      </c>
      <c r="Y71">
        <f>HYPERLINK("https://klasma.github.io/Logging_0331/kartor_geotiff/A 11560-2026 georefererad karta.tif", "A 11560-2026")</f>
        <v/>
      </c>
      <c r="AA71">
        <f>HYPERLINK("https://klasma.github.io/Logging_0331/klagomål/A 11560-2026 FSC-klagomål.docx", "A 11560-2026")</f>
        <v/>
      </c>
      <c r="AB71">
        <f>HYPERLINK("https://klasma.github.io/Logging_0331/klagomålsmail/A 11560-2026 FSC-klagomål mail.docx", "A 11560-2026")</f>
        <v/>
      </c>
      <c r="AC71">
        <f>HYPERLINK("https://klasma.github.io/Logging_0331/tillsyn/A 11560-2026 tillsynsbegäran.docx", "A 11560-2026")</f>
        <v/>
      </c>
      <c r="AD71">
        <f>HYPERLINK("https://klasma.github.io/Logging_0331/tillsynsmail/A 11560-2026 tillsynsbegäran mail.docx", "A 11560-2026")</f>
        <v/>
      </c>
    </row>
    <row r="72" ht="15" customHeight="1">
      <c r="A72" t="inlineStr">
        <is>
          <t>A 11841-2026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46241</v>
      </c>
      <c r="F72" t="inlineStr">
        <is>
          <t>UPPSALA LÄN</t>
        </is>
      </c>
      <c r="G72" t="inlineStr">
        <is>
          <t>HEBY</t>
        </is>
      </c>
      <c r="I72" t="n">
        <v>1.1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Stor aspticka</t>
        </is>
      </c>
      <c r="W72">
        <f>HYPERLINK("https://klasma.github.io/Logging_0331/artfynd/A 11841-2026 artfynd.xlsx", "A 11841-2026")</f>
        <v/>
      </c>
      <c r="X72">
        <f>HYPERLINK("https://klasma.github.io/Logging_0331/kartor/A 11841-2026 karta.png", "A 11841-2026")</f>
        <v/>
      </c>
      <c r="Y72">
        <f>HYPERLINK("https://klasma.github.io/Logging_0331/kartor_geotiff/A 11841-2026 georefererad karta.tif", "A 11841-2026")</f>
        <v/>
      </c>
      <c r="AA72">
        <f>HYPERLINK("https://klasma.github.io/Logging_0331/klagomål/A 11841-2026 FSC-klagomål.docx", "A 11841-2026")</f>
        <v/>
      </c>
      <c r="AB72">
        <f>HYPERLINK("https://klasma.github.io/Logging_0331/klagomålsmail/A 11841-2026 FSC-klagomål mail.docx", "A 11841-2026")</f>
        <v/>
      </c>
      <c r="AC72">
        <f>HYPERLINK("https://klasma.github.io/Logging_0331/tillsyn/A 11841-2026 tillsynsbegäran.docx", "A 11841-2026")</f>
        <v/>
      </c>
      <c r="AD72">
        <f>HYPERLINK("https://klasma.github.io/Logging_0331/tillsynsmail/A 11841-2026 tillsynsbegäran mail.docx", "A 11841-2026")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46241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19751-2023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46241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Blåsippa</t>
        </is>
      </c>
      <c r="W74">
        <f>HYPERLINK("https://klasma.github.io/Logging_0331/artfynd/A 19751-2023 artfynd.xlsx", "A 19751-2023")</f>
        <v/>
      </c>
      <c r="X74">
        <f>HYPERLINK("https://klasma.github.io/Logging_0331/kartor/A 19751-2023 karta.png", "A 19751-2023")</f>
        <v/>
      </c>
      <c r="Y74">
        <f>HYPERLINK("https://klasma.github.io/Logging_0331/kartor_geotiff/A 19751-2023 georefererad karta.tif", "A 19751-2023")</f>
        <v/>
      </c>
      <c r="Z74">
        <f>HYPERLINK("https://klasma.github.io/Logging_0331/knärot/A 19751-2023 karta knärot.png", "A 19751-2023")</f>
        <v/>
      </c>
      <c r="AA74">
        <f>HYPERLINK("https://klasma.github.io/Logging_0331/klagomål/A 19751-2023 FSC-klagomål.docx", "A 19751-2023")</f>
        <v/>
      </c>
      <c r="AB74">
        <f>HYPERLINK("https://klasma.github.io/Logging_0331/klagomålsmail/A 19751-2023 FSC-klagomål mail.docx", "A 19751-2023")</f>
        <v/>
      </c>
      <c r="AC74">
        <f>HYPERLINK("https://klasma.github.io/Logging_0331/tillsyn/A 19751-2023 tillsynsbegäran.docx", "A 19751-2023")</f>
        <v/>
      </c>
      <c r="AD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46241</v>
      </c>
      <c r="F75" t="inlineStr">
        <is>
          <t>UPPSALA LÄN</t>
        </is>
      </c>
      <c r="G75" t="inlineStr">
        <is>
          <t>HEBY</t>
        </is>
      </c>
      <c r="H75" t="inlineStr">
        <is>
          <t>Allmännings- och besparingsskogar</t>
        </is>
      </c>
      <c r="I75" t="n">
        <v>13.9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Talltita</t>
        </is>
      </c>
      <c r="W75">
        <f>HYPERLINK("https://klasma.github.io/Logging_0331/artfynd/A 54368-2024 artfynd.xlsx", "A 54368-2024")</f>
        <v/>
      </c>
      <c r="X75">
        <f>HYPERLINK("https://klasma.github.io/Logging_0331/kartor/A 54368-2024 karta.png", "A 54368-2024")</f>
        <v/>
      </c>
      <c r="Y75">
        <f>HYPERLINK("https://klasma.github.io/Logging_0331/kartor_geotiff/A 54368-2024 georefererad karta.tif", "A 54368-2024")</f>
        <v/>
      </c>
      <c r="AA75">
        <f>HYPERLINK("https://klasma.github.io/Logging_0331/klagomål/A 54368-2024 FSC-klagomål.docx", "A 54368-2024")</f>
        <v/>
      </c>
      <c r="AB75">
        <f>HYPERLINK("https://klasma.github.io/Logging_0331/klagomålsmail/A 54368-2024 FSC-klagomål mail.docx", "A 54368-2024")</f>
        <v/>
      </c>
      <c r="AC75">
        <f>HYPERLINK("https://klasma.github.io/Logging_0331/tillsyn/A 54368-2024 tillsynsbegäran.docx", "A 54368-2024")</f>
        <v/>
      </c>
      <c r="AD75">
        <f>HYPERLINK("https://klasma.github.io/Logging_0331/tillsynsmail/A 54368-2024 tillsynsbegäran mail.docx", "A 54368-2024")</f>
        <v/>
      </c>
      <c r="AE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46241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46241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46241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46241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46241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9618-2026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46241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HYPERLINK("https://klasma.github.io/Logging_0331/artfynd/A 9618-2026 artfynd.xlsx", "A 9618-2026")</f>
        <v/>
      </c>
      <c r="X81">
        <f>HYPERLINK("https://klasma.github.io/Logging_0331/kartor/A 9618-2026 karta.png", "A 9618-2026")</f>
        <v/>
      </c>
      <c r="Y81">
        <f>HYPERLINK("https://klasma.github.io/Logging_0331/kartor_geotiff/A 9618-2026 georefererad karta.tif", "A 9618-2026")</f>
        <v/>
      </c>
      <c r="AA81">
        <f>HYPERLINK("https://klasma.github.io/Logging_0331/klagomål/A 9618-2026 FSC-klagomål.docx", "A 9618-2026")</f>
        <v/>
      </c>
      <c r="AB81">
        <f>HYPERLINK("https://klasma.github.io/Logging_0331/klagomålsmail/A 9618-2026 FSC-klagomål mail.docx", "A 9618-2026")</f>
        <v/>
      </c>
      <c r="AC81">
        <f>HYPERLINK("https://klasma.github.io/Logging_0331/tillsyn/A 9618-2026 tillsynsbegäran.docx", "A 9618-2026")</f>
        <v/>
      </c>
      <c r="AD81">
        <f>HYPERLINK("https://klasma.github.io/Logging_0331/tillsynsmail/A 9618-2026 tillsynsbegäran mail.docx", "A 9618-2026")</f>
        <v/>
      </c>
    </row>
    <row r="82" ht="15" customHeight="1">
      <c r="A82" t="inlineStr">
        <is>
          <t>A 17697-2024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46241</v>
      </c>
      <c r="F82" t="inlineStr">
        <is>
          <t>UPPSALA LÄN</t>
        </is>
      </c>
      <c r="G82" t="inlineStr">
        <is>
          <t>HEBY</t>
        </is>
      </c>
      <c r="I82" t="n">
        <v>0.6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Mindre bastardsvärmare</t>
        </is>
      </c>
      <c r="W82">
        <f>HYPERLINK("https://klasma.github.io/Logging_0331/artfynd/A 17697-2024 artfynd.xlsx", "A 17697-2024")</f>
        <v/>
      </c>
      <c r="X82">
        <f>HYPERLINK("https://klasma.github.io/Logging_0331/kartor/A 17697-2024 karta.png", "A 17697-2024")</f>
        <v/>
      </c>
      <c r="Y82">
        <f>HYPERLINK("https://klasma.github.io/Logging_0331/kartor_geotiff/A 17697-2024 georefererad karta.tif", "A 17697-2024")</f>
        <v/>
      </c>
      <c r="AA82">
        <f>HYPERLINK("https://klasma.github.io/Logging_0331/klagomål/A 17697-2024 FSC-klagomål.docx", "A 17697-2024")</f>
        <v/>
      </c>
      <c r="AB82">
        <f>HYPERLINK("https://klasma.github.io/Logging_0331/klagomålsmail/A 17697-2024 FSC-klagomål mail.docx", "A 17697-2024")</f>
        <v/>
      </c>
      <c r="AC82">
        <f>HYPERLINK("https://klasma.github.io/Logging_0331/tillsyn/A 17697-2024 tillsynsbegäran.docx", "A 17697-2024")</f>
        <v/>
      </c>
      <c r="AD82">
        <f>HYPERLINK("https://klasma.github.io/Logging_0331/tillsynsmail/A 17697-2024 tillsynsbegäran mail.docx", "A 17697-2024")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46241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46241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46241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46241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46241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46241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46241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46241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46241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46241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46241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46241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46241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46241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46241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46241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46241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46241</v>
      </c>
      <c r="F100" t="inlineStr">
        <is>
          <t>UPPSALA LÄN</t>
        </is>
      </c>
      <c r="G100" t="inlineStr">
        <is>
          <t>HEBY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46241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46241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46241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46241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46241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46241</v>
      </c>
      <c r="F106" t="inlineStr">
        <is>
          <t>UPPSALA LÄN</t>
        </is>
      </c>
      <c r="G106" t="inlineStr">
        <is>
          <t>HEBY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46241</v>
      </c>
      <c r="F107" t="inlineStr">
        <is>
          <t>UPPSALA LÄN</t>
        </is>
      </c>
      <c r="G107" t="inlineStr">
        <is>
          <t>HEBY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46241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46241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46241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46241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46241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46241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46241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46241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46241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46241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46241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46241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46241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46241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46241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44850</v>
      </c>
      <c r="E123" s="1" t="n">
        <v>46241</v>
      </c>
      <c r="F123" t="inlineStr">
        <is>
          <t>UPPSALA LÄN</t>
        </is>
      </c>
      <c r="G123" t="inlineStr">
        <is>
          <t>HEBY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46241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46241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46241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46241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46241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46241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46241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46241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46241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46241</v>
      </c>
      <c r="F133" t="inlineStr">
        <is>
          <t>UPPSALA LÄN</t>
        </is>
      </c>
      <c r="G133" t="inlineStr">
        <is>
          <t>HEBY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46241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46241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46241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46241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46241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46241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44573</v>
      </c>
      <c r="E140" s="1" t="n">
        <v>46241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46241</v>
      </c>
      <c r="F141" t="inlineStr">
        <is>
          <t>UPPSALA LÄN</t>
        </is>
      </c>
      <c r="G141" t="inlineStr">
        <is>
          <t>HEBY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46241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46241</v>
      </c>
      <c r="F143" t="inlineStr">
        <is>
          <t>UPPSALA LÄN</t>
        </is>
      </c>
      <c r="G143" t="inlineStr">
        <is>
          <t>HEBY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46241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46241</v>
      </c>
      <c r="F145" t="inlineStr">
        <is>
          <t>UPPSALA LÄN</t>
        </is>
      </c>
      <c r="G145" t="inlineStr">
        <is>
          <t>HEBY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45370</v>
      </c>
      <c r="E146" s="1" t="n">
        <v>46241</v>
      </c>
      <c r="F146" t="inlineStr">
        <is>
          <t>UPPSALA LÄN</t>
        </is>
      </c>
      <c r="G146" t="inlineStr">
        <is>
          <t>HEBY</t>
        </is>
      </c>
      <c r="H146" t="inlineStr">
        <is>
          <t>Övriga Aktiebolag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46241</v>
      </c>
      <c r="F147" t="inlineStr">
        <is>
          <t>UPPSALA LÄN</t>
        </is>
      </c>
      <c r="G147" t="inlineStr">
        <is>
          <t>HEBY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46241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46241</v>
      </c>
      <c r="F149" t="inlineStr">
        <is>
          <t>UPPSALA LÄN</t>
        </is>
      </c>
      <c r="G149" t="inlineStr">
        <is>
          <t>HEBY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46241</v>
      </c>
      <c r="F150" t="inlineStr">
        <is>
          <t>UPPSALA LÄN</t>
        </is>
      </c>
      <c r="G150" t="inlineStr">
        <is>
          <t>HEBY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46241</v>
      </c>
      <c r="F151" t="inlineStr">
        <is>
          <t>UPPSALA LÄN</t>
        </is>
      </c>
      <c r="G151" t="inlineStr">
        <is>
          <t>HEBY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45331</v>
      </c>
      <c r="E152" s="1" t="n">
        <v>46241</v>
      </c>
      <c r="F152" t="inlineStr">
        <is>
          <t>UPPSALA LÄN</t>
        </is>
      </c>
      <c r="G152" t="inlineStr">
        <is>
          <t>HEBY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46241</v>
      </c>
      <c r="F153" t="inlineStr">
        <is>
          <t>UPPSALA LÄN</t>
        </is>
      </c>
      <c r="G153" t="inlineStr">
        <is>
          <t>HEBY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46241</v>
      </c>
      <c r="F154" t="inlineStr">
        <is>
          <t>UPPSALA LÄN</t>
        </is>
      </c>
      <c r="G154" t="inlineStr">
        <is>
          <t>HEBY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44849</v>
      </c>
      <c r="E155" s="1" t="n">
        <v>46241</v>
      </c>
      <c r="F155" t="inlineStr">
        <is>
          <t>UPPSALA LÄN</t>
        </is>
      </c>
      <c r="G155" t="inlineStr">
        <is>
          <t>HEBY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44823</v>
      </c>
      <c r="E156" s="1" t="n">
        <v>46241</v>
      </c>
      <c r="F156" t="inlineStr">
        <is>
          <t>UPPSALA LÄN</t>
        </is>
      </c>
      <c r="G156" t="inlineStr">
        <is>
          <t>HEBY</t>
        </is>
      </c>
      <c r="H156" t="inlineStr">
        <is>
          <t>Övriga Aktiebolag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45250</v>
      </c>
      <c r="E157" s="1" t="n">
        <v>46241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46241</v>
      </c>
      <c r="F158" t="inlineStr">
        <is>
          <t>UPPSALA LÄN</t>
        </is>
      </c>
      <c r="G158" t="inlineStr">
        <is>
          <t>HEBY</t>
        </is>
      </c>
      <c r="I158" t="n">
        <v>10.3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44833</v>
      </c>
      <c r="E159" s="1" t="n">
        <v>46241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46241</v>
      </c>
      <c r="F160" t="inlineStr">
        <is>
          <t>UPPSALA LÄN</t>
        </is>
      </c>
      <c r="G160" t="inlineStr">
        <is>
          <t>HEBY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46241</v>
      </c>
      <c r="F161" t="inlineStr">
        <is>
          <t>UPPSALA LÄN</t>
        </is>
      </c>
      <c r="G161" t="inlineStr">
        <is>
          <t>HEBY</t>
        </is>
      </c>
      <c r="H161" t="inlineStr">
        <is>
          <t>Allmännings- och besparingsskogar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44925</v>
      </c>
      <c r="E162" s="1" t="n">
        <v>46241</v>
      </c>
      <c r="F162" t="inlineStr">
        <is>
          <t>UPPSALA LÄN</t>
        </is>
      </c>
      <c r="G162" t="inlineStr">
        <is>
          <t>HEBY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46241</v>
      </c>
      <c r="F163" t="inlineStr">
        <is>
          <t>UPPSALA LÄN</t>
        </is>
      </c>
      <c r="G163" t="inlineStr">
        <is>
          <t>HEBY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46241</v>
      </c>
      <c r="F164" t="inlineStr">
        <is>
          <t>UPPSALA LÄN</t>
        </is>
      </c>
      <c r="G164" t="inlineStr">
        <is>
          <t>HEBY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69377-2021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46241</v>
      </c>
      <c r="F165" t="inlineStr">
        <is>
          <t>UPPSALA LÄN</t>
        </is>
      </c>
      <c r="G165" t="inlineStr">
        <is>
          <t>HEBY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45339</v>
      </c>
      <c r="E166" s="1" t="n">
        <v>46241</v>
      </c>
      <c r="F166" t="inlineStr">
        <is>
          <t>UPPSALA LÄN</t>
        </is>
      </c>
      <c r="G166" t="inlineStr">
        <is>
          <t>HEBY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45502</v>
      </c>
      <c r="E167" s="1" t="n">
        <v>46241</v>
      </c>
      <c r="F167" t="inlineStr">
        <is>
          <t>UPPSALA LÄN</t>
        </is>
      </c>
      <c r="G167" t="inlineStr">
        <is>
          <t>HEBY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46241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44844</v>
      </c>
      <c r="E169" s="1" t="n">
        <v>46241</v>
      </c>
      <c r="F169" t="inlineStr">
        <is>
          <t>UPPSALA LÄN</t>
        </is>
      </c>
      <c r="G169" t="inlineStr">
        <is>
          <t>HEBY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46241</v>
      </c>
      <c r="F170" t="inlineStr">
        <is>
          <t>UPPSALA LÄN</t>
        </is>
      </c>
      <c r="G170" t="inlineStr">
        <is>
          <t>HEBY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44574</v>
      </c>
      <c r="E171" s="1" t="n">
        <v>46241</v>
      </c>
      <c r="F171" t="inlineStr">
        <is>
          <t>UPPSALA LÄN</t>
        </is>
      </c>
      <c r="G171" t="inlineStr">
        <is>
          <t>HEBY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45439</v>
      </c>
      <c r="E172" s="1" t="n">
        <v>46241</v>
      </c>
      <c r="F172" t="inlineStr">
        <is>
          <t>UPPSALA LÄN</t>
        </is>
      </c>
      <c r="G172" t="inlineStr">
        <is>
          <t>HEBY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46241</v>
      </c>
      <c r="F173" t="inlineStr">
        <is>
          <t>UPPSALA LÄN</t>
        </is>
      </c>
      <c r="G173" t="inlineStr">
        <is>
          <t>HEBY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60722-2022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44913</v>
      </c>
      <c r="E174" s="1" t="n">
        <v>46241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64899-2021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44512</v>
      </c>
      <c r="E175" s="1" t="n">
        <v>46241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öst AB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44586</v>
      </c>
      <c r="E176" s="1" t="n">
        <v>46241</v>
      </c>
      <c r="F176" t="inlineStr">
        <is>
          <t>UPPSALA LÄN</t>
        </is>
      </c>
      <c r="G176" t="inlineStr">
        <is>
          <t>HEBY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46241</v>
      </c>
      <c r="F177" t="inlineStr">
        <is>
          <t>UPPSALA LÄN</t>
        </is>
      </c>
      <c r="G177" t="inlineStr">
        <is>
          <t>HEBY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46241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46241</v>
      </c>
      <c r="F179" t="inlineStr">
        <is>
          <t>UPPSALA LÄN</t>
        </is>
      </c>
      <c r="G179" t="inlineStr">
        <is>
          <t>HEBY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46241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66.90000000000001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46241</v>
      </c>
      <c r="F181" t="inlineStr">
        <is>
          <t>UPPSALA LÄN</t>
        </is>
      </c>
      <c r="G181" t="inlineStr">
        <is>
          <t>HEBY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44873</v>
      </c>
      <c r="E182" s="1" t="n">
        <v>46241</v>
      </c>
      <c r="F182" t="inlineStr">
        <is>
          <t>UPPSALA LÄN</t>
        </is>
      </c>
      <c r="G182" t="inlineStr">
        <is>
          <t>HEBY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46241</v>
      </c>
      <c r="F183" t="inlineStr">
        <is>
          <t>UPPSALA LÄN</t>
        </is>
      </c>
      <c r="G183" t="inlineStr">
        <is>
          <t>HEBY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46241</v>
      </c>
      <c r="F184" t="inlineStr">
        <is>
          <t>UPPSALA LÄN</t>
        </is>
      </c>
      <c r="G184" t="inlineStr">
        <is>
          <t>HEBY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45567</v>
      </c>
      <c r="E185" s="1" t="n">
        <v>46241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45050</v>
      </c>
      <c r="E186" s="1" t="n">
        <v>46241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44943</v>
      </c>
      <c r="E187" s="1" t="n">
        <v>46241</v>
      </c>
      <c r="F187" t="inlineStr">
        <is>
          <t>UPPSALA LÄN</t>
        </is>
      </c>
      <c r="G187" t="inlineStr">
        <is>
          <t>HEBY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46241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46241</v>
      </c>
      <c r="F189" t="inlineStr">
        <is>
          <t>UPPSALA LÄN</t>
        </is>
      </c>
      <c r="G189" t="inlineStr">
        <is>
          <t>HEBY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46241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8046-2023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46241</v>
      </c>
      <c r="F191" t="inlineStr">
        <is>
          <t>UPPSALA LÄN</t>
        </is>
      </c>
      <c r="G191" t="inlineStr">
        <is>
          <t>HEBY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46241</v>
      </c>
      <c r="F192" t="inlineStr">
        <is>
          <t>UPPSALA LÄN</t>
        </is>
      </c>
      <c r="G192" t="inlineStr">
        <is>
          <t>HEBY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44574</v>
      </c>
      <c r="E193" s="1" t="n">
        <v>46241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61453-2022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46241</v>
      </c>
      <c r="F194" t="inlineStr">
        <is>
          <t>UPPSALA LÄN</t>
        </is>
      </c>
      <c r="G194" t="inlineStr">
        <is>
          <t>HEBY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45364</v>
      </c>
      <c r="E195" s="1" t="n">
        <v>46241</v>
      </c>
      <c r="F195" t="inlineStr">
        <is>
          <t>UPPSALA LÄN</t>
        </is>
      </c>
      <c r="G195" t="inlineStr">
        <is>
          <t>HEBY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45364</v>
      </c>
      <c r="E196" s="1" t="n">
        <v>46241</v>
      </c>
      <c r="F196" t="inlineStr">
        <is>
          <t>UPPSALA LÄN</t>
        </is>
      </c>
      <c r="G196" t="inlineStr">
        <is>
          <t>HEBY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44888</v>
      </c>
      <c r="E197" s="1" t="n">
        <v>46241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16506-2026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46112</v>
      </c>
      <c r="E198" s="1" t="n">
        <v>46241</v>
      </c>
      <c r="F198" t="inlineStr">
        <is>
          <t>UPPSALA LÄN</t>
        </is>
      </c>
      <c r="G198" t="inlineStr">
        <is>
          <t>HEBY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46241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46241</v>
      </c>
      <c r="F200" t="inlineStr">
        <is>
          <t>UPPSALA LÄN</t>
        </is>
      </c>
      <c r="G200" t="inlineStr">
        <is>
          <t>HEBY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46241</v>
      </c>
      <c r="F201" t="inlineStr">
        <is>
          <t>UPPSALA LÄN</t>
        </is>
      </c>
      <c r="G201" t="inlineStr">
        <is>
          <t>HEBY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46241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46241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44701</v>
      </c>
      <c r="E204" s="1" t="n">
        <v>46241</v>
      </c>
      <c r="F204" t="inlineStr">
        <is>
          <t>UPPSALA LÄN</t>
        </is>
      </c>
      <c r="G204" t="inlineStr">
        <is>
          <t>HEBY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46112</v>
      </c>
      <c r="E205" s="1" t="n">
        <v>46241</v>
      </c>
      <c r="F205" t="inlineStr">
        <is>
          <t>UPPSALA LÄN</t>
        </is>
      </c>
      <c r="G205" t="inlineStr">
        <is>
          <t>HEBY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46241</v>
      </c>
      <c r="F206" t="inlineStr">
        <is>
          <t>UPPSALA LÄN</t>
        </is>
      </c>
      <c r="G206" t="inlineStr">
        <is>
          <t>HEBY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46241</v>
      </c>
      <c r="F207" t="inlineStr">
        <is>
          <t>UPPSALA LÄN</t>
        </is>
      </c>
      <c r="G207" t="inlineStr">
        <is>
          <t>HEBY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46241</v>
      </c>
      <c r="F208" t="inlineStr">
        <is>
          <t>UPPSALA LÄN</t>
        </is>
      </c>
      <c r="G208" t="inlineStr">
        <is>
          <t>HEBY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45422</v>
      </c>
      <c r="E209" s="1" t="n">
        <v>46241</v>
      </c>
      <c r="F209" t="inlineStr">
        <is>
          <t>UPPSALA LÄN</t>
        </is>
      </c>
      <c r="G209" t="inlineStr">
        <is>
          <t>HEBY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46241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väst AB</t>
        </is>
      </c>
      <c r="I210" t="n">
        <v>14.3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46241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46241</v>
      </c>
      <c r="F212" t="inlineStr">
        <is>
          <t>UPPSALA LÄN</t>
        </is>
      </c>
      <c r="G212" t="inlineStr">
        <is>
          <t>HEBY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46241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59486-2021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44491</v>
      </c>
      <c r="E214" s="1" t="n">
        <v>46241</v>
      </c>
      <c r="F214" t="inlineStr">
        <is>
          <t>UPPSALA LÄN</t>
        </is>
      </c>
      <c r="G214" t="inlineStr">
        <is>
          <t>HEBY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46241</v>
      </c>
      <c r="F215" t="inlineStr">
        <is>
          <t>UPPSALA LÄN</t>
        </is>
      </c>
      <c r="G215" t="inlineStr">
        <is>
          <t>HEBY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46241</v>
      </c>
      <c r="F216" t="inlineStr">
        <is>
          <t>UPPSALA LÄN</t>
        </is>
      </c>
      <c r="G216" t="inlineStr">
        <is>
          <t>HEBY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46241</v>
      </c>
      <c r="F217" t="inlineStr">
        <is>
          <t>UPPSALA LÄN</t>
        </is>
      </c>
      <c r="G217" t="inlineStr">
        <is>
          <t>HEBY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46241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46241</v>
      </c>
      <c r="F219" t="inlineStr">
        <is>
          <t>UPPSALA LÄN</t>
        </is>
      </c>
      <c r="G219" t="inlineStr">
        <is>
          <t>HEBY</t>
        </is>
      </c>
      <c r="H219" t="inlineStr">
        <is>
          <t>Kyrkan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46241</v>
      </c>
      <c r="F220" t="inlineStr">
        <is>
          <t>UPPSALA LÄN</t>
        </is>
      </c>
      <c r="G220" t="inlineStr">
        <is>
          <t>HEBY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46241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46241</v>
      </c>
      <c r="F222" t="inlineStr">
        <is>
          <t>UPPSALA LÄN</t>
        </is>
      </c>
      <c r="G222" t="inlineStr">
        <is>
          <t>HEBY</t>
        </is>
      </c>
      <c r="I222" t="n">
        <v>14.8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46241</v>
      </c>
      <c r="F223" t="inlineStr">
        <is>
          <t>UPPSALA LÄN</t>
        </is>
      </c>
      <c r="G223" t="inlineStr">
        <is>
          <t>HEBY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46241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70158-2021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46241</v>
      </c>
      <c r="F225" t="inlineStr">
        <is>
          <t>UPPSALA LÄN</t>
        </is>
      </c>
      <c r="G225" t="inlineStr">
        <is>
          <t>HEBY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46241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45294</v>
      </c>
      <c r="E227" s="1" t="n">
        <v>46241</v>
      </c>
      <c r="F227" t="inlineStr">
        <is>
          <t>UPPSALA LÄN</t>
        </is>
      </c>
      <c r="G227" t="inlineStr">
        <is>
          <t>HEBY</t>
        </is>
      </c>
      <c r="H227" t="inlineStr">
        <is>
          <t>Kommuner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46241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46241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43957-2021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44434</v>
      </c>
      <c r="E230" s="1" t="n">
        <v>46241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44802</v>
      </c>
      <c r="E231" s="1" t="n">
        <v>46241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46241</v>
      </c>
      <c r="F232" t="inlineStr">
        <is>
          <t>UPPSALA LÄN</t>
        </is>
      </c>
      <c r="G232" t="inlineStr">
        <is>
          <t>HEBY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46241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46241</v>
      </c>
      <c r="F234" t="inlineStr">
        <is>
          <t>UPPSALA LÄN</t>
        </is>
      </c>
      <c r="G234" t="inlineStr">
        <is>
          <t>HEBY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46241</v>
      </c>
      <c r="F235" t="inlineStr">
        <is>
          <t>UPPSALA LÄN</t>
        </is>
      </c>
      <c r="G235" t="inlineStr">
        <is>
          <t>HEBY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46241</v>
      </c>
      <c r="F236" t="inlineStr">
        <is>
          <t>UPPSALA LÄN</t>
        </is>
      </c>
      <c r="G236" t="inlineStr">
        <is>
          <t>HEBY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46241</v>
      </c>
      <c r="F237" t="inlineStr">
        <is>
          <t>UPPSALA LÄN</t>
        </is>
      </c>
      <c r="G237" t="inlineStr">
        <is>
          <t>HEBY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44431</v>
      </c>
      <c r="E238" s="1" t="n">
        <v>46241</v>
      </c>
      <c r="F238" t="inlineStr">
        <is>
          <t>UPPSALA LÄN</t>
        </is>
      </c>
      <c r="G238" t="inlineStr">
        <is>
          <t>HEBY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46241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46241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väst AB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46241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46241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46241</v>
      </c>
      <c r="F243" t="inlineStr">
        <is>
          <t>UPPSALA LÄN</t>
        </is>
      </c>
      <c r="G243" t="inlineStr">
        <is>
          <t>HEBY</t>
        </is>
      </c>
      <c r="H243" t="inlineStr">
        <is>
          <t>Kyrkan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45030</v>
      </c>
      <c r="E244" s="1" t="n">
        <v>46241</v>
      </c>
      <c r="F244" t="inlineStr">
        <is>
          <t>UPPSALA LÄN</t>
        </is>
      </c>
      <c r="G244" t="inlineStr">
        <is>
          <t>HEBY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44810</v>
      </c>
      <c r="E245" s="1" t="n">
        <v>46241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46241</v>
      </c>
      <c r="F246" t="inlineStr">
        <is>
          <t>UPPSALA LÄN</t>
        </is>
      </c>
      <c r="G246" t="inlineStr">
        <is>
          <t>HEBY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46241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44754</v>
      </c>
      <c r="E248" s="1" t="n">
        <v>46241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öst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45132</v>
      </c>
      <c r="E249" s="1" t="n">
        <v>46241</v>
      </c>
      <c r="F249" t="inlineStr">
        <is>
          <t>UPPSALA LÄN</t>
        </is>
      </c>
      <c r="G249" t="inlineStr">
        <is>
          <t>HEBY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45132</v>
      </c>
      <c r="E250" s="1" t="n">
        <v>46241</v>
      </c>
      <c r="F250" t="inlineStr">
        <is>
          <t>UPPSALA LÄN</t>
        </is>
      </c>
      <c r="G250" t="inlineStr">
        <is>
          <t>HEBY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44694</v>
      </c>
      <c r="E251" s="1" t="n">
        <v>46241</v>
      </c>
      <c r="F251" t="inlineStr">
        <is>
          <t>UPPSALA LÄN</t>
        </is>
      </c>
      <c r="G251" t="inlineStr">
        <is>
          <t>HEBY</t>
        </is>
      </c>
      <c r="I251" t="n">
        <v>22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46241</v>
      </c>
      <c r="F252" t="inlineStr">
        <is>
          <t>UPPSALA LÄN</t>
        </is>
      </c>
      <c r="G252" t="inlineStr">
        <is>
          <t>HEBY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45132</v>
      </c>
      <c r="E253" s="1" t="n">
        <v>46241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46241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45932</v>
      </c>
      <c r="E255" s="1" t="n">
        <v>46241</v>
      </c>
      <c r="F255" t="inlineStr">
        <is>
          <t>UPPSALA LÄN</t>
        </is>
      </c>
      <c r="G255" t="inlineStr">
        <is>
          <t>HEBY</t>
        </is>
      </c>
      <c r="H255" t="inlineStr">
        <is>
          <t>Allmännings- och besparingsskogar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8182-2022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44609</v>
      </c>
      <c r="E256" s="1" t="n">
        <v>46241</v>
      </c>
      <c r="F256" t="inlineStr">
        <is>
          <t>UPPSALA LÄN</t>
        </is>
      </c>
      <c r="G256" t="inlineStr">
        <is>
          <t>HEBY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46241</v>
      </c>
      <c r="F257" t="inlineStr">
        <is>
          <t>UPPSALA LÄN</t>
        </is>
      </c>
      <c r="G257" t="inlineStr">
        <is>
          <t>HEBY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46241</v>
      </c>
      <c r="F258" t="inlineStr">
        <is>
          <t>UPPSALA LÄN</t>
        </is>
      </c>
      <c r="G258" t="inlineStr">
        <is>
          <t>HEBY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46241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öst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44464-2021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44435</v>
      </c>
      <c r="E260" s="1" t="n">
        <v>46241</v>
      </c>
      <c r="F260" t="inlineStr">
        <is>
          <t>UPPSALA LÄN</t>
        </is>
      </c>
      <c r="G260" t="inlineStr">
        <is>
          <t>HEBY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46241</v>
      </c>
      <c r="F261" t="inlineStr">
        <is>
          <t>UPPSALA LÄN</t>
        </is>
      </c>
      <c r="G261" t="inlineStr">
        <is>
          <t>HEBY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45351</v>
      </c>
      <c r="E262" s="1" t="n">
        <v>46241</v>
      </c>
      <c r="F262" t="inlineStr">
        <is>
          <t>UPPSALA LÄN</t>
        </is>
      </c>
      <c r="G262" t="inlineStr">
        <is>
          <t>HEBY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46241</v>
      </c>
      <c r="F263" t="inlineStr">
        <is>
          <t>UPPSALA LÄN</t>
        </is>
      </c>
      <c r="G263" t="inlineStr">
        <is>
          <t>HEBY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51091-2023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45218</v>
      </c>
      <c r="E264" s="1" t="n">
        <v>46241</v>
      </c>
      <c r="F264" t="inlineStr">
        <is>
          <t>UPPSALA LÄN</t>
        </is>
      </c>
      <c r="G264" t="inlineStr">
        <is>
          <t>HEBY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46241</v>
      </c>
      <c r="F265" t="inlineStr">
        <is>
          <t>UPPSALA LÄN</t>
        </is>
      </c>
      <c r="G265" t="inlineStr">
        <is>
          <t>HEBY</t>
        </is>
      </c>
      <c r="I265" t="n">
        <v>10.9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46241</v>
      </c>
      <c r="F266" t="inlineStr">
        <is>
          <t>UPPSALA LÄN</t>
        </is>
      </c>
      <c r="G266" t="inlineStr">
        <is>
          <t>HEBY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46241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46241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46241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45317</v>
      </c>
      <c r="E270" s="1" t="n">
        <v>46241</v>
      </c>
      <c r="F270" t="inlineStr">
        <is>
          <t>UPPSALA LÄN</t>
        </is>
      </c>
      <c r="G270" t="inlineStr">
        <is>
          <t>HEBY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46241</v>
      </c>
      <c r="F271" t="inlineStr">
        <is>
          <t>UPPSALA LÄN</t>
        </is>
      </c>
      <c r="G271" t="inlineStr">
        <is>
          <t>HEBY</t>
        </is>
      </c>
      <c r="H271" t="inlineStr">
        <is>
          <t>Allmännings- och besparingsskogar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46241</v>
      </c>
      <c r="F272" t="inlineStr">
        <is>
          <t>UPPSALA LÄN</t>
        </is>
      </c>
      <c r="G272" t="inlineStr">
        <is>
          <t>HEBY</t>
        </is>
      </c>
      <c r="H272" t="inlineStr">
        <is>
          <t>Övriga Aktiebolag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46241</v>
      </c>
      <c r="F273" t="inlineStr">
        <is>
          <t>UPPSALA LÄN</t>
        </is>
      </c>
      <c r="G273" t="inlineStr">
        <is>
          <t>HEBY</t>
        </is>
      </c>
      <c r="H273" t="inlineStr">
        <is>
          <t>Övriga Aktiebolag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46241</v>
      </c>
      <c r="F274" t="inlineStr">
        <is>
          <t>UPPSALA LÄN</t>
        </is>
      </c>
      <c r="G274" t="inlineStr">
        <is>
          <t>HEBY</t>
        </is>
      </c>
      <c r="H274" t="inlineStr">
        <is>
          <t>Kyrkan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44684</v>
      </c>
      <c r="E275" s="1" t="n">
        <v>46241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46241</v>
      </c>
      <c r="F276" t="inlineStr">
        <is>
          <t>UPPSALA LÄN</t>
        </is>
      </c>
      <c r="G276" t="inlineStr">
        <is>
          <t>HEBY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46241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46241</v>
      </c>
      <c r="F278" t="inlineStr">
        <is>
          <t>UPPSALA LÄN</t>
        </is>
      </c>
      <c r="G278" t="inlineStr">
        <is>
          <t>HEBY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46241</v>
      </c>
      <c r="F279" t="inlineStr">
        <is>
          <t>UPPSALA LÄN</t>
        </is>
      </c>
      <c r="G279" t="inlineStr">
        <is>
          <t>HEBY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45411</v>
      </c>
      <c r="E280" s="1" t="n">
        <v>46241</v>
      </c>
      <c r="F280" t="inlineStr">
        <is>
          <t>UPPSALA LÄN</t>
        </is>
      </c>
      <c r="G280" t="inlineStr">
        <is>
          <t>HEBY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46241</v>
      </c>
      <c r="F281" t="inlineStr">
        <is>
          <t>UPPSALA LÄN</t>
        </is>
      </c>
      <c r="G281" t="inlineStr">
        <is>
          <t>HEBY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46241</v>
      </c>
      <c r="F282" t="inlineStr">
        <is>
          <t>UPPSALA LÄN</t>
        </is>
      </c>
      <c r="G282" t="inlineStr">
        <is>
          <t>HEBY</t>
        </is>
      </c>
      <c r="H282" t="inlineStr">
        <is>
          <t>Kyrkan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46241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46241</v>
      </c>
      <c r="F284" t="inlineStr">
        <is>
          <t>UPPSALA LÄN</t>
        </is>
      </c>
      <c r="G284" t="inlineStr">
        <is>
          <t>HEBY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46241</v>
      </c>
      <c r="F285" t="inlineStr">
        <is>
          <t>UPPSALA LÄN</t>
        </is>
      </c>
      <c r="G285" t="inlineStr">
        <is>
          <t>HEBY</t>
        </is>
      </c>
      <c r="H285" t="inlineStr">
        <is>
          <t>Övriga Aktiebolag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52861-2025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46241</v>
      </c>
      <c r="F286" t="inlineStr">
        <is>
          <t>UPPSALA LÄN</t>
        </is>
      </c>
      <c r="G286" t="inlineStr">
        <is>
          <t>HEBY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46241</v>
      </c>
      <c r="F287" t="inlineStr">
        <is>
          <t>UPPSALA LÄN</t>
        </is>
      </c>
      <c r="G287" t="inlineStr">
        <is>
          <t>HEBY</t>
        </is>
      </c>
      <c r="H287" t="inlineStr">
        <is>
          <t>Allmännings- och besparingsskogar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46241</v>
      </c>
      <c r="F288" t="inlineStr">
        <is>
          <t>UPPSALA LÄN</t>
        </is>
      </c>
      <c r="G288" t="inlineStr">
        <is>
          <t>HEBY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70976-2021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46241</v>
      </c>
      <c r="F289" t="inlineStr">
        <is>
          <t>UPPSALA LÄN</t>
        </is>
      </c>
      <c r="G289" t="inlineStr">
        <is>
          <t>HEBY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46241</v>
      </c>
      <c r="F290" t="inlineStr">
        <is>
          <t>UPPSALA LÄN</t>
        </is>
      </c>
      <c r="G290" t="inlineStr">
        <is>
          <t>HEBY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45884</v>
      </c>
      <c r="E291" s="1" t="n">
        <v>46241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46241</v>
      </c>
      <c r="F292" t="inlineStr">
        <is>
          <t>UPPSALA LÄN</t>
        </is>
      </c>
      <c r="G292" t="inlineStr">
        <is>
          <t>HEBY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46241</v>
      </c>
      <c r="F293" t="inlineStr">
        <is>
          <t>UPPSALA LÄN</t>
        </is>
      </c>
      <c r="G293" t="inlineStr">
        <is>
          <t>HEBY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44944</v>
      </c>
      <c r="E294" s="1" t="n">
        <v>46241</v>
      </c>
      <c r="F294" t="inlineStr">
        <is>
          <t>UPPSALA LÄN</t>
        </is>
      </c>
      <c r="G294" t="inlineStr">
        <is>
          <t>HEBY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46241</v>
      </c>
      <c r="F295" t="inlineStr">
        <is>
          <t>UPPSALA LÄN</t>
        </is>
      </c>
      <c r="G295" t="inlineStr">
        <is>
          <t>HEBY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50859-2022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44862</v>
      </c>
      <c r="E296" s="1" t="n">
        <v>46241</v>
      </c>
      <c r="F296" t="inlineStr">
        <is>
          <t>UPPSALA LÄN</t>
        </is>
      </c>
      <c r="G296" t="inlineStr">
        <is>
          <t>HEBY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46241</v>
      </c>
      <c r="F297" t="inlineStr">
        <is>
          <t>UPPSALA LÄN</t>
        </is>
      </c>
      <c r="G297" t="inlineStr">
        <is>
          <t>HEBY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46241</v>
      </c>
      <c r="F298" t="inlineStr">
        <is>
          <t>UPPSALA LÄN</t>
        </is>
      </c>
      <c r="G298" t="inlineStr">
        <is>
          <t>HEBY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46241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46241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46241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45891</v>
      </c>
      <c r="E302" s="1" t="n">
        <v>46241</v>
      </c>
      <c r="F302" t="inlineStr">
        <is>
          <t>UPPSALA LÄN</t>
        </is>
      </c>
      <c r="G302" t="inlineStr">
        <is>
          <t>HEBY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55488-2025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45971</v>
      </c>
      <c r="E303" s="1" t="n">
        <v>46241</v>
      </c>
      <c r="F303" t="inlineStr">
        <is>
          <t>UPPSALA LÄN</t>
        </is>
      </c>
      <c r="G303" t="inlineStr">
        <is>
          <t>HEBY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55496-2025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45971</v>
      </c>
      <c r="E304" s="1" t="n">
        <v>46241</v>
      </c>
      <c r="F304" t="inlineStr">
        <is>
          <t>UPPSALA LÄN</t>
        </is>
      </c>
      <c r="G304" t="inlineStr">
        <is>
          <t>HEBY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46241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46241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46241</v>
      </c>
      <c r="F307" t="inlineStr">
        <is>
          <t>UPPSALA LÄN</t>
        </is>
      </c>
      <c r="G307" t="inlineStr">
        <is>
          <t>HEBY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46241</v>
      </c>
      <c r="F308" t="inlineStr">
        <is>
          <t>UPPSALA LÄN</t>
        </is>
      </c>
      <c r="G308" t="inlineStr">
        <is>
          <t>HEBY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46241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66055-2021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44517</v>
      </c>
      <c r="E310" s="1" t="n">
        <v>46241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46241</v>
      </c>
      <c r="F311" t="inlineStr">
        <is>
          <t>UPPSALA LÄN</t>
        </is>
      </c>
      <c r="G311" t="inlineStr">
        <is>
          <t>HEBY</t>
        </is>
      </c>
      <c r="H311" t="inlineStr">
        <is>
          <t>Övriga Aktiebolag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46241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45761</v>
      </c>
      <c r="E313" s="1" t="n">
        <v>46241</v>
      </c>
      <c r="F313" t="inlineStr">
        <is>
          <t>UPPSALA LÄN</t>
        </is>
      </c>
      <c r="G313" t="inlineStr">
        <is>
          <t>HEBY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72180-2021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44543</v>
      </c>
      <c r="E314" s="1" t="n">
        <v>46241</v>
      </c>
      <c r="F314" t="inlineStr">
        <is>
          <t>UPPSALA LÄN</t>
        </is>
      </c>
      <c r="G314" t="inlineStr">
        <is>
          <t>HEBY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46241</v>
      </c>
      <c r="F315" t="inlineStr">
        <is>
          <t>UPPSALA LÄN</t>
        </is>
      </c>
      <c r="G315" t="inlineStr">
        <is>
          <t>HEBY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44914</v>
      </c>
      <c r="E316" s="1" t="n">
        <v>46241</v>
      </c>
      <c r="F316" t="inlineStr">
        <is>
          <t>UPPSALA LÄN</t>
        </is>
      </c>
      <c r="G316" t="inlineStr">
        <is>
          <t>HEBY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57377-2025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46241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46241</v>
      </c>
      <c r="F318" t="inlineStr">
        <is>
          <t>UPPSALA LÄN</t>
        </is>
      </c>
      <c r="G318" t="inlineStr">
        <is>
          <t>HEBY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46241</v>
      </c>
      <c r="F319" t="inlineStr">
        <is>
          <t>UPPSALA LÄN</t>
        </is>
      </c>
      <c r="G319" t="inlineStr">
        <is>
          <t>HEBY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45117</v>
      </c>
      <c r="E320" s="1" t="n">
        <v>46241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45117</v>
      </c>
      <c r="E321" s="1" t="n">
        <v>46241</v>
      </c>
      <c r="F321" t="inlineStr">
        <is>
          <t>UPPSALA LÄN</t>
        </is>
      </c>
      <c r="G321" t="inlineStr">
        <is>
          <t>HEBY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45117</v>
      </c>
      <c r="E322" s="1" t="n">
        <v>46241</v>
      </c>
      <c r="F322" t="inlineStr">
        <is>
          <t>UPPSALA LÄN</t>
        </is>
      </c>
      <c r="G322" t="inlineStr">
        <is>
          <t>HEBY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46241</v>
      </c>
      <c r="F323" t="inlineStr">
        <is>
          <t>UPPSALA LÄN</t>
        </is>
      </c>
      <c r="G323" t="inlineStr">
        <is>
          <t>HEBY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46241</v>
      </c>
      <c r="F324" t="inlineStr">
        <is>
          <t>UPPSALA LÄN</t>
        </is>
      </c>
      <c r="G324" t="inlineStr">
        <is>
          <t>HEBY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73622-2021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46241</v>
      </c>
      <c r="F325" t="inlineStr">
        <is>
          <t>UPPSALA LÄN</t>
        </is>
      </c>
      <c r="G325" t="inlineStr">
        <is>
          <t>HEBY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46241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46241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öst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46241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45006</v>
      </c>
      <c r="E329" s="1" t="n">
        <v>46241</v>
      </c>
      <c r="F329" t="inlineStr">
        <is>
          <t>UPPSALA LÄN</t>
        </is>
      </c>
      <c r="G329" t="inlineStr">
        <is>
          <t>HEBY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46241</v>
      </c>
      <c r="F330" t="inlineStr">
        <is>
          <t>UPPSALA LÄN</t>
        </is>
      </c>
      <c r="G330" t="inlineStr">
        <is>
          <t>HEBY</t>
        </is>
      </c>
      <c r="H330" t="inlineStr">
        <is>
          <t>Allmännings- och besparingsskogar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46241</v>
      </c>
      <c r="F331" t="inlineStr">
        <is>
          <t>UPPSALA LÄN</t>
        </is>
      </c>
      <c r="G331" t="inlineStr">
        <is>
          <t>HEBY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46241</v>
      </c>
      <c r="F332" t="inlineStr">
        <is>
          <t>UPPSALA LÄN</t>
        </is>
      </c>
      <c r="G332" t="inlineStr">
        <is>
          <t>HEBY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45805</v>
      </c>
      <c r="E333" s="1" t="n">
        <v>46241</v>
      </c>
      <c r="F333" t="inlineStr">
        <is>
          <t>UPPSALA LÄN</t>
        </is>
      </c>
      <c r="G333" t="inlineStr">
        <is>
          <t>HEBY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45098</v>
      </c>
      <c r="E334" s="1" t="n">
        <v>46241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46241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44974</v>
      </c>
      <c r="E336" s="1" t="n">
        <v>46241</v>
      </c>
      <c r="F336" t="inlineStr">
        <is>
          <t>UPPSALA LÄN</t>
        </is>
      </c>
      <c r="G336" t="inlineStr">
        <is>
          <t>HEBY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46241</v>
      </c>
      <c r="F337" t="inlineStr">
        <is>
          <t>UPPSALA LÄN</t>
        </is>
      </c>
      <c r="G337" t="inlineStr">
        <is>
          <t>HEBY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46241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46241</v>
      </c>
      <c r="F339" t="inlineStr">
        <is>
          <t>UPPSALA LÄN</t>
        </is>
      </c>
      <c r="G339" t="inlineStr">
        <is>
          <t>HEBY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46241</v>
      </c>
      <c r="F340" t="inlineStr">
        <is>
          <t>UPPSALA LÄN</t>
        </is>
      </c>
      <c r="G340" t="inlineStr">
        <is>
          <t>HEBY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46003</v>
      </c>
      <c r="E341" s="1" t="n">
        <v>46241</v>
      </c>
      <c r="F341" t="inlineStr">
        <is>
          <t>UPPSALA LÄN</t>
        </is>
      </c>
      <c r="G341" t="inlineStr">
        <is>
          <t>HEBY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46241</v>
      </c>
      <c r="F342" t="inlineStr">
        <is>
          <t>UPPSALA LÄN</t>
        </is>
      </c>
      <c r="G342" t="inlineStr">
        <is>
          <t>HEBY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11503-2023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44993</v>
      </c>
      <c r="E343" s="1" t="n">
        <v>46241</v>
      </c>
      <c r="F343" t="inlineStr">
        <is>
          <t>UPPSALA LÄN</t>
        </is>
      </c>
      <c r="G343" t="inlineStr">
        <is>
          <t>HEBY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62042-2025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46005</v>
      </c>
      <c r="E344" s="1" t="n">
        <v>46241</v>
      </c>
      <c r="F344" t="inlineStr">
        <is>
          <t>UPPSALA LÄN</t>
        </is>
      </c>
      <c r="G344" t="inlineStr">
        <is>
          <t>HEBY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45511</v>
      </c>
      <c r="E345" s="1" t="n">
        <v>46241</v>
      </c>
      <c r="F345" t="inlineStr">
        <is>
          <t>UPPSALA LÄN</t>
        </is>
      </c>
      <c r="G345" t="inlineStr">
        <is>
          <t>HEBY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46241</v>
      </c>
      <c r="F346" t="inlineStr">
        <is>
          <t>UPPSALA LÄN</t>
        </is>
      </c>
      <c r="G346" t="inlineStr">
        <is>
          <t>HEBY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64364-2021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44511</v>
      </c>
      <c r="E347" s="1" t="n">
        <v>46241</v>
      </c>
      <c r="F347" t="inlineStr">
        <is>
          <t>UPPSALA LÄN</t>
        </is>
      </c>
      <c r="G347" t="inlineStr">
        <is>
          <t>HEBY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46241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46241</v>
      </c>
      <c r="F349" t="inlineStr">
        <is>
          <t>UPPSALA LÄN</t>
        </is>
      </c>
      <c r="G349" t="inlineStr">
        <is>
          <t>HEBY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22865-2026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46241</v>
      </c>
      <c r="F350" t="inlineStr">
        <is>
          <t>UPPSALA LÄN</t>
        </is>
      </c>
      <c r="G350" t="inlineStr">
        <is>
          <t>HEBY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46241</v>
      </c>
      <c r="F351" t="inlineStr">
        <is>
          <t>UPPSALA LÄN</t>
        </is>
      </c>
      <c r="G351" t="inlineStr">
        <is>
          <t>HEBY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9815-2022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44620</v>
      </c>
      <c r="E352" s="1" t="n">
        <v>46241</v>
      </c>
      <c r="F352" t="inlineStr">
        <is>
          <t>UPPSALA LÄN</t>
        </is>
      </c>
      <c r="G352" t="inlineStr">
        <is>
          <t>HEBY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44951</v>
      </c>
      <c r="E353" s="1" t="n">
        <v>46241</v>
      </c>
      <c r="F353" t="inlineStr">
        <is>
          <t>UPPSALA LÄN</t>
        </is>
      </c>
      <c r="G353" t="inlineStr">
        <is>
          <t>HEBY</t>
        </is>
      </c>
      <c r="I353" t="n">
        <v>11.2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46241</v>
      </c>
      <c r="F354" t="inlineStr">
        <is>
          <t>UPPSALA LÄN</t>
        </is>
      </c>
      <c r="G354" t="inlineStr">
        <is>
          <t>HEBY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46023</v>
      </c>
      <c r="E355" s="1" t="n">
        <v>46241</v>
      </c>
      <c r="F355" t="inlineStr">
        <is>
          <t>UPPSALA LÄN</t>
        </is>
      </c>
      <c r="G355" t="inlineStr">
        <is>
          <t>HEBY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45331</v>
      </c>
      <c r="E356" s="1" t="n">
        <v>46241</v>
      </c>
      <c r="F356" t="inlineStr">
        <is>
          <t>UPPSALA LÄN</t>
        </is>
      </c>
      <c r="G356" t="inlineStr">
        <is>
          <t>HEBY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74215-2021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44558</v>
      </c>
      <c r="E357" s="1" t="n">
        <v>46241</v>
      </c>
      <c r="F357" t="inlineStr">
        <is>
          <t>UPPSALA LÄN</t>
        </is>
      </c>
      <c r="G357" t="inlineStr">
        <is>
          <t>HEBY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46241</v>
      </c>
      <c r="F358" t="inlineStr">
        <is>
          <t>UPPSALA LÄN</t>
        </is>
      </c>
      <c r="G358" t="inlineStr">
        <is>
          <t>HEBY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40926-2023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46241</v>
      </c>
      <c r="F359" t="inlineStr">
        <is>
          <t>UPPSALA LÄN</t>
        </is>
      </c>
      <c r="G359" t="inlineStr">
        <is>
          <t>HEBY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45008</v>
      </c>
      <c r="E360" s="1" t="n">
        <v>46241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38670-2024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45547</v>
      </c>
      <c r="E361" s="1" t="n">
        <v>46241</v>
      </c>
      <c r="F361" t="inlineStr">
        <is>
          <t>UPPSALA LÄN</t>
        </is>
      </c>
      <c r="G361" t="inlineStr">
        <is>
          <t>HEBY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46241</v>
      </c>
      <c r="F362" t="inlineStr">
        <is>
          <t>UPPSALA LÄN</t>
        </is>
      </c>
      <c r="G362" t="inlineStr">
        <is>
          <t>HEBY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46241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45599</v>
      </c>
      <c r="E364" s="1" t="n">
        <v>46241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46205</v>
      </c>
      <c r="E365" s="1" t="n">
        <v>46241</v>
      </c>
      <c r="F365" t="inlineStr">
        <is>
          <t>UPPSALA LÄN</t>
        </is>
      </c>
      <c r="G365" t="inlineStr">
        <is>
          <t>HEBY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46241</v>
      </c>
      <c r="F366" t="inlineStr">
        <is>
          <t>UPPSALA LÄN</t>
        </is>
      </c>
      <c r="G366" t="inlineStr">
        <is>
          <t>HEBY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46241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46241</v>
      </c>
      <c r="F368" t="inlineStr">
        <is>
          <t>UPPSALA LÄN</t>
        </is>
      </c>
      <c r="G368" t="inlineStr">
        <is>
          <t>HEBY</t>
        </is>
      </c>
      <c r="H368" t="inlineStr">
        <is>
          <t>Kyrkan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46241</v>
      </c>
      <c r="F369" t="inlineStr">
        <is>
          <t>UPPSALA LÄN</t>
        </is>
      </c>
      <c r="G369" t="inlineStr">
        <is>
          <t>HEBY</t>
        </is>
      </c>
      <c r="H369" t="inlineStr">
        <is>
          <t>Kyrkan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46241</v>
      </c>
      <c r="F370" t="inlineStr">
        <is>
          <t>UPPSALA LÄN</t>
        </is>
      </c>
      <c r="G370" t="inlineStr">
        <is>
          <t>HEBY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46241</v>
      </c>
      <c r="F371" t="inlineStr">
        <is>
          <t>UPPSALA LÄN</t>
        </is>
      </c>
      <c r="G371" t="inlineStr">
        <is>
          <t>HEBY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46241</v>
      </c>
      <c r="F372" t="inlineStr">
        <is>
          <t>UPPSALA LÄN</t>
        </is>
      </c>
      <c r="G372" t="inlineStr">
        <is>
          <t>HEBY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46241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35.2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46241</v>
      </c>
      <c r="F374" t="inlineStr">
        <is>
          <t>UPPSALA LÄN</t>
        </is>
      </c>
      <c r="G374" t="inlineStr">
        <is>
          <t>HEBY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45674</v>
      </c>
      <c r="E375" s="1" t="n">
        <v>46241</v>
      </c>
      <c r="F375" t="inlineStr">
        <is>
          <t>UPPSALA LÄN</t>
        </is>
      </c>
      <c r="G375" t="inlineStr">
        <is>
          <t>HEBY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35865-2022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44802</v>
      </c>
      <c r="E376" s="1" t="n">
        <v>46241</v>
      </c>
      <c r="F376" t="inlineStr">
        <is>
          <t>UPPSALA LÄN</t>
        </is>
      </c>
      <c r="G376" t="inlineStr">
        <is>
          <t>HEBY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44802</v>
      </c>
      <c r="E377" s="1" t="n">
        <v>46241</v>
      </c>
      <c r="F377" t="inlineStr">
        <is>
          <t>UPPSALA LÄN</t>
        </is>
      </c>
      <c r="G377" t="inlineStr">
        <is>
          <t>HEBY</t>
        </is>
      </c>
      <c r="I377" t="n">
        <v>12.1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46241</v>
      </c>
      <c r="F378" t="inlineStr">
        <is>
          <t>UPPSALA LÄN</t>
        </is>
      </c>
      <c r="G378" t="inlineStr">
        <is>
          <t>HEBY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46241</v>
      </c>
      <c r="F379" t="inlineStr">
        <is>
          <t>UPPSALA LÄN</t>
        </is>
      </c>
      <c r="G379" t="inlineStr">
        <is>
          <t>HEBY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46241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46241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46241</v>
      </c>
      <c r="F382" t="inlineStr">
        <is>
          <t>UPPSALA LÄN</t>
        </is>
      </c>
      <c r="G382" t="inlineStr">
        <is>
          <t>HEBY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46241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10414-2022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44623</v>
      </c>
      <c r="E384" s="1" t="n">
        <v>46241</v>
      </c>
      <c r="F384" t="inlineStr">
        <is>
          <t>UPPSALA LÄN</t>
        </is>
      </c>
      <c r="G384" t="inlineStr">
        <is>
          <t>HEBY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11555-2026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46084</v>
      </c>
      <c r="E385" s="1" t="n">
        <v>46241</v>
      </c>
      <c r="F385" t="inlineStr">
        <is>
          <t>UPPSALA LÄN</t>
        </is>
      </c>
      <c r="G385" t="inlineStr">
        <is>
          <t>HEBY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46241</v>
      </c>
      <c r="F386" t="inlineStr">
        <is>
          <t>UPPSALA LÄN</t>
        </is>
      </c>
      <c r="G386" t="inlineStr">
        <is>
          <t>HEBY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46241</v>
      </c>
      <c r="F387" t="inlineStr">
        <is>
          <t>UPPSALA LÄN</t>
        </is>
      </c>
      <c r="G387" t="inlineStr">
        <is>
          <t>HEBY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46241</v>
      </c>
      <c r="F388" t="inlineStr">
        <is>
          <t>UPPSALA LÄN</t>
        </is>
      </c>
      <c r="G388" t="inlineStr">
        <is>
          <t>HEBY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46241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46241</v>
      </c>
      <c r="F390" t="inlineStr">
        <is>
          <t>UPPSALA LÄN</t>
        </is>
      </c>
      <c r="G390" t="inlineStr">
        <is>
          <t>HEBY</t>
        </is>
      </c>
      <c r="H390" t="inlineStr">
        <is>
          <t>Kommuner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19718-2023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45050</v>
      </c>
      <c r="E391" s="1" t="n">
        <v>46241</v>
      </c>
      <c r="F391" t="inlineStr">
        <is>
          <t>UPPSALA LÄN</t>
        </is>
      </c>
      <c r="G391" t="inlineStr">
        <is>
          <t>HEBY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8181-2022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44609</v>
      </c>
      <c r="E392" s="1" t="n">
        <v>46241</v>
      </c>
      <c r="F392" t="inlineStr">
        <is>
          <t>UPPSALA LÄN</t>
        </is>
      </c>
      <c r="G392" t="inlineStr">
        <is>
          <t>HEBY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46241</v>
      </c>
      <c r="F393" t="inlineStr">
        <is>
          <t>UPPSALA LÄN</t>
        </is>
      </c>
      <c r="G393" t="inlineStr">
        <is>
          <t>HEBY</t>
        </is>
      </c>
      <c r="H393" t="inlineStr">
        <is>
          <t>Kommuner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46241</v>
      </c>
      <c r="F394" t="inlineStr">
        <is>
          <t>UPPSALA LÄN</t>
        </is>
      </c>
      <c r="G394" t="inlineStr">
        <is>
          <t>HEBY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46241</v>
      </c>
      <c r="F395" t="inlineStr">
        <is>
          <t>UPPSALA LÄN</t>
        </is>
      </c>
      <c r="G395" t="inlineStr">
        <is>
          <t>HEBY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46241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46241</v>
      </c>
      <c r="F397" t="inlineStr">
        <is>
          <t>UPPSALA LÄN</t>
        </is>
      </c>
      <c r="G397" t="inlineStr">
        <is>
          <t>HEBY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7986-2026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46241</v>
      </c>
      <c r="F398" t="inlineStr">
        <is>
          <t>UPPSALA LÄN</t>
        </is>
      </c>
      <c r="G398" t="inlineStr">
        <is>
          <t>HEBY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46241</v>
      </c>
      <c r="F399" t="inlineStr">
        <is>
          <t>UPPSALA LÄN</t>
        </is>
      </c>
      <c r="G399" t="inlineStr">
        <is>
          <t>HEBY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45195</v>
      </c>
      <c r="E400" s="1" t="n">
        <v>46241</v>
      </c>
      <c r="F400" t="inlineStr">
        <is>
          <t>UPPSALA LÄN</t>
        </is>
      </c>
      <c r="G400" t="inlineStr">
        <is>
          <t>HEBY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33729-2023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45133</v>
      </c>
      <c r="E401" s="1" t="n">
        <v>46241</v>
      </c>
      <c r="F401" t="inlineStr">
        <is>
          <t>UPPSALA LÄN</t>
        </is>
      </c>
      <c r="G401" t="inlineStr">
        <is>
          <t>HEBY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46241</v>
      </c>
      <c r="F402" t="inlineStr">
        <is>
          <t>UPPSALA LÄN</t>
        </is>
      </c>
      <c r="G402" t="inlineStr">
        <is>
          <t>HEBY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44697</v>
      </c>
      <c r="E403" s="1" t="n">
        <v>46241</v>
      </c>
      <c r="F403" t="inlineStr">
        <is>
          <t>UPPSALA LÄN</t>
        </is>
      </c>
      <c r="G403" t="inlineStr">
        <is>
          <t>HEBY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46241</v>
      </c>
      <c r="F404" t="inlineStr">
        <is>
          <t>UPPSALA LÄN</t>
        </is>
      </c>
      <c r="G404" t="inlineStr">
        <is>
          <t>HEBY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46241</v>
      </c>
      <c r="F405" t="inlineStr">
        <is>
          <t>UPPSALA LÄN</t>
        </is>
      </c>
      <c r="G405" t="inlineStr">
        <is>
          <t>HEBY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34593-2023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45138</v>
      </c>
      <c r="E406" s="1" t="n">
        <v>46241</v>
      </c>
      <c r="F406" t="inlineStr">
        <is>
          <t>UPPSALA LÄN</t>
        </is>
      </c>
      <c r="G406" t="inlineStr">
        <is>
          <t>HEBY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46241</v>
      </c>
      <c r="F407" t="inlineStr">
        <is>
          <t>UPPSALA LÄN</t>
        </is>
      </c>
      <c r="G407" t="inlineStr">
        <is>
          <t>HEBY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46241</v>
      </c>
      <c r="F408" t="inlineStr">
        <is>
          <t>UPPSALA LÄN</t>
        </is>
      </c>
      <c r="G408" t="inlineStr">
        <is>
          <t>HEBY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46241</v>
      </c>
      <c r="F409" t="inlineStr">
        <is>
          <t>UPPSALA LÄN</t>
        </is>
      </c>
      <c r="G409" t="inlineStr">
        <is>
          <t>HEBY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46241</v>
      </c>
      <c r="F410" t="inlineStr">
        <is>
          <t>UPPSALA LÄN</t>
        </is>
      </c>
      <c r="G410" t="inlineStr">
        <is>
          <t>HEBY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46241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46241</v>
      </c>
      <c r="F412" t="inlineStr">
        <is>
          <t>UPPSALA LÄN</t>
        </is>
      </c>
      <c r="G412" t="inlineStr">
        <is>
          <t>HEBY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19654-2022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44694</v>
      </c>
      <c r="E413" s="1" t="n">
        <v>46241</v>
      </c>
      <c r="F413" t="inlineStr">
        <is>
          <t>UPPSALA LÄN</t>
        </is>
      </c>
      <c r="G413" t="inlineStr">
        <is>
          <t>HEBY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46241</v>
      </c>
      <c r="F414" t="inlineStr">
        <is>
          <t>UPPSALA LÄN</t>
        </is>
      </c>
      <c r="G414" t="inlineStr">
        <is>
          <t>HEBY</t>
        </is>
      </c>
      <c r="I414" t="n">
        <v>11.5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46241</v>
      </c>
      <c r="F415" t="inlineStr">
        <is>
          <t>UPPSALA LÄN</t>
        </is>
      </c>
      <c r="G415" t="inlineStr">
        <is>
          <t>HEBY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33379-2022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44788</v>
      </c>
      <c r="E416" s="1" t="n">
        <v>46241</v>
      </c>
      <c r="F416" t="inlineStr">
        <is>
          <t>UPPSALA LÄN</t>
        </is>
      </c>
      <c r="G416" t="inlineStr">
        <is>
          <t>HEBY</t>
        </is>
      </c>
      <c r="I416" t="n">
        <v>18.8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46241</v>
      </c>
      <c r="F417" t="inlineStr">
        <is>
          <t>UPPSALA LÄN</t>
        </is>
      </c>
      <c r="G417" t="inlineStr">
        <is>
          <t>HEBY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46241</v>
      </c>
      <c r="F418" t="inlineStr">
        <is>
          <t>UPPSALA LÄN</t>
        </is>
      </c>
      <c r="G418" t="inlineStr">
        <is>
          <t>HEBY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46241</v>
      </c>
      <c r="F419" t="inlineStr">
        <is>
          <t>UPPSALA LÄN</t>
        </is>
      </c>
      <c r="G419" t="inlineStr">
        <is>
          <t>HEBY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29340-2022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44752</v>
      </c>
      <c r="E420" s="1" t="n">
        <v>46241</v>
      </c>
      <c r="F420" t="inlineStr">
        <is>
          <t>UPPSALA LÄN</t>
        </is>
      </c>
      <c r="G420" t="inlineStr">
        <is>
          <t>HEBY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46241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44791</v>
      </c>
      <c r="E422" s="1" t="n">
        <v>46241</v>
      </c>
      <c r="F422" t="inlineStr">
        <is>
          <t>UPPSALA LÄN</t>
        </is>
      </c>
      <c r="G422" t="inlineStr">
        <is>
          <t>HEBY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46241</v>
      </c>
      <c r="F423" t="inlineStr">
        <is>
          <t>UPPSALA LÄN</t>
        </is>
      </c>
      <c r="G423" t="inlineStr">
        <is>
          <t>HEBY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45181</v>
      </c>
      <c r="E424" s="1" t="n">
        <v>46241</v>
      </c>
      <c r="F424" t="inlineStr">
        <is>
          <t>UPPSALA LÄN</t>
        </is>
      </c>
      <c r="G424" t="inlineStr">
        <is>
          <t>HEBY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46241</v>
      </c>
      <c r="F425" t="inlineStr">
        <is>
          <t>UPPSALA LÄN</t>
        </is>
      </c>
      <c r="G425" t="inlineStr">
        <is>
          <t>HEBY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46241</v>
      </c>
      <c r="F426" t="inlineStr">
        <is>
          <t>UPPSALA LÄN</t>
        </is>
      </c>
      <c r="G426" t="inlineStr">
        <is>
          <t>HEBY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46241</v>
      </c>
      <c r="F427" t="inlineStr">
        <is>
          <t>UPPSALA LÄN</t>
        </is>
      </c>
      <c r="G427" t="inlineStr">
        <is>
          <t>HEBY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46241</v>
      </c>
      <c r="F428" t="inlineStr">
        <is>
          <t>UPPSALA LÄN</t>
        </is>
      </c>
      <c r="G428" t="inlineStr">
        <is>
          <t>HEBY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44734</v>
      </c>
      <c r="E429" s="1" t="n">
        <v>46241</v>
      </c>
      <c r="F429" t="inlineStr">
        <is>
          <t>UPPSALA LÄN</t>
        </is>
      </c>
      <c r="G429" t="inlineStr">
        <is>
          <t>HEBY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46241</v>
      </c>
      <c r="F430" t="inlineStr">
        <is>
          <t>UPPSALA LÄN</t>
        </is>
      </c>
      <c r="G430" t="inlineStr">
        <is>
          <t>HEBY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46241</v>
      </c>
      <c r="F431" t="inlineStr">
        <is>
          <t>UPPSALA LÄN</t>
        </is>
      </c>
      <c r="G431" t="inlineStr">
        <is>
          <t>HEBY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45317</v>
      </c>
      <c r="E432" s="1" t="n">
        <v>46241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46223</v>
      </c>
      <c r="E433" s="1" t="n">
        <v>46241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44734</v>
      </c>
      <c r="E434" s="1" t="n">
        <v>46241</v>
      </c>
      <c r="F434" t="inlineStr">
        <is>
          <t>UPPSALA LÄN</t>
        </is>
      </c>
      <c r="G434" t="inlineStr">
        <is>
          <t>HEBY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46223</v>
      </c>
      <c r="E435" s="1" t="n">
        <v>46241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46241</v>
      </c>
      <c r="F436" t="inlineStr">
        <is>
          <t>UPPSALA LÄN</t>
        </is>
      </c>
      <c r="G436" t="inlineStr">
        <is>
          <t>HEBY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46241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46241</v>
      </c>
      <c r="F438" t="inlineStr">
        <is>
          <t>UPPSALA LÄN</t>
        </is>
      </c>
      <c r="G438" t="inlineStr">
        <is>
          <t>HEBY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46110</v>
      </c>
      <c r="E439" s="1" t="n">
        <v>46241</v>
      </c>
      <c r="F439" t="inlineStr">
        <is>
          <t>UPPSALA LÄN</t>
        </is>
      </c>
      <c r="G439" t="inlineStr">
        <is>
          <t>HEBY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46241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45293</v>
      </c>
      <c r="E441" s="1" t="n">
        <v>46241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5633-2025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45693</v>
      </c>
      <c r="E442" s="1" t="n">
        <v>46241</v>
      </c>
      <c r="F442" t="inlineStr">
        <is>
          <t>UPPSALA LÄN</t>
        </is>
      </c>
      <c r="G442" t="inlineStr">
        <is>
          <t>HEBY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46224</v>
      </c>
      <c r="E443" s="1" t="n">
        <v>46241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44781</v>
      </c>
      <c r="E444" s="1" t="n">
        <v>46241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45128</v>
      </c>
      <c r="E445" s="1" t="n">
        <v>46241</v>
      </c>
      <c r="F445" t="inlineStr">
        <is>
          <t>UPPSALA LÄN</t>
        </is>
      </c>
      <c r="G445" t="inlineStr">
        <is>
          <t>HEBY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45197</v>
      </c>
      <c r="E446" s="1" t="n">
        <v>46241</v>
      </c>
      <c r="F446" t="inlineStr">
        <is>
          <t>UPPSALA LÄN</t>
        </is>
      </c>
      <c r="G446" t="inlineStr">
        <is>
          <t>HEBY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46241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31890-2026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46231</v>
      </c>
      <c r="E448" s="1" t="n">
        <v>46241</v>
      </c>
      <c r="F448" t="inlineStr">
        <is>
          <t>UPPSALA LÄN</t>
        </is>
      </c>
      <c r="G448" t="inlineStr">
        <is>
          <t>HEBY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46241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44914</v>
      </c>
      <c r="E450" s="1" t="n">
        <v>46241</v>
      </c>
      <c r="F450" t="inlineStr">
        <is>
          <t>UPPSALA LÄN</t>
        </is>
      </c>
      <c r="G450" t="inlineStr">
        <is>
          <t>HEBY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31888-2026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46231</v>
      </c>
      <c r="E451" s="1" t="n">
        <v>46241</v>
      </c>
      <c r="F451" t="inlineStr">
        <is>
          <t>UPPSALA LÄN</t>
        </is>
      </c>
      <c r="G451" t="inlineStr">
        <is>
          <t>HEBY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16167-2024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45406</v>
      </c>
      <c r="E452" s="1" t="n">
        <v>46241</v>
      </c>
      <c r="F452" t="inlineStr">
        <is>
          <t>UPPSALA LÄN</t>
        </is>
      </c>
      <c r="G452" t="inlineStr">
        <is>
          <t>HEBY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60461-2022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44911</v>
      </c>
      <c r="E453" s="1" t="n">
        <v>46241</v>
      </c>
      <c r="F453" t="inlineStr">
        <is>
          <t>UPPSALA LÄN</t>
        </is>
      </c>
      <c r="G453" t="inlineStr">
        <is>
          <t>HEBY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44694</v>
      </c>
      <c r="E454" s="1" t="n">
        <v>46241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44978</v>
      </c>
      <c r="E455" s="1" t="n">
        <v>46241</v>
      </c>
      <c r="F455" t="inlineStr">
        <is>
          <t>UPPSALA LÄN</t>
        </is>
      </c>
      <c r="G455" t="inlineStr">
        <is>
          <t>HEBY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46238</v>
      </c>
      <c r="E456" s="1" t="n">
        <v>46241</v>
      </c>
      <c r="F456" t="inlineStr">
        <is>
          <t>UPPSALA LÄN</t>
        </is>
      </c>
      <c r="G456" t="inlineStr">
        <is>
          <t>HEBY</t>
        </is>
      </c>
      <c r="H456" t="inlineStr">
        <is>
          <t>Kyrkan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60295-2021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44495</v>
      </c>
      <c r="E457" s="1" t="n">
        <v>46241</v>
      </c>
      <c r="F457" t="inlineStr">
        <is>
          <t>UPPSALA LÄN</t>
        </is>
      </c>
      <c r="G457" t="inlineStr">
        <is>
          <t>HEBY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46241</v>
      </c>
      <c r="F458" t="inlineStr">
        <is>
          <t>UPPSALA LÄN</t>
        </is>
      </c>
      <c r="G458" t="inlineStr">
        <is>
          <t>HEBY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46241</v>
      </c>
      <c r="F459" t="inlineStr">
        <is>
          <t>UPPSALA LÄN</t>
        </is>
      </c>
      <c r="G459" t="inlineStr">
        <is>
          <t>HEBY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32290-2026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46241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44659</v>
      </c>
      <c r="E461" s="1" t="n">
        <v>46241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46241</v>
      </c>
      <c r="F462" t="inlineStr">
        <is>
          <t>UPPSALA LÄN</t>
        </is>
      </c>
      <c r="G462" t="inlineStr">
        <is>
          <t>HEBY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46241</v>
      </c>
      <c r="F463" t="inlineStr">
        <is>
          <t>UPPSALA LÄN</t>
        </is>
      </c>
      <c r="G463" t="inlineStr">
        <is>
          <t>HEBY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45453</v>
      </c>
      <c r="E464" s="1" t="n">
        <v>46241</v>
      </c>
      <c r="F464" t="inlineStr">
        <is>
          <t>UPPSALA LÄN</t>
        </is>
      </c>
      <c r="G464" t="inlineStr">
        <is>
          <t>HEBY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46241</v>
      </c>
      <c r="F465" t="inlineStr">
        <is>
          <t>UPPSALA LÄN</t>
        </is>
      </c>
      <c r="G465" t="inlineStr">
        <is>
          <t>HEBY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44942</v>
      </c>
      <c r="E466" s="1" t="n">
        <v>46241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46220</v>
      </c>
      <c r="E467" s="1" t="n">
        <v>46241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55.9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46241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46241</v>
      </c>
      <c r="F469" t="inlineStr">
        <is>
          <t>UPPSALA LÄN</t>
        </is>
      </c>
      <c r="G469" t="inlineStr">
        <is>
          <t>HEBY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44602</v>
      </c>
      <c r="E470" s="1" t="n">
        <v>46241</v>
      </c>
      <c r="F470" t="inlineStr">
        <is>
          <t>UPPSALA LÄN</t>
        </is>
      </c>
      <c r="G470" t="inlineStr">
        <is>
          <t>HEBY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46198</v>
      </c>
      <c r="E471" s="1" t="n">
        <v>46241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46241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44684</v>
      </c>
      <c r="E473" s="1" t="n">
        <v>46241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41.8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66873-2021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44522</v>
      </c>
      <c r="E474" s="1" t="n">
        <v>46241</v>
      </c>
      <c r="F474" t="inlineStr">
        <is>
          <t>UPPSALA LÄN</t>
        </is>
      </c>
      <c r="G474" t="inlineStr">
        <is>
          <t>HEBY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44753</v>
      </c>
      <c r="E475" s="1" t="n">
        <v>46241</v>
      </c>
      <c r="F475" t="inlineStr">
        <is>
          <t>UPPSALA LÄN</t>
        </is>
      </c>
      <c r="G475" t="inlineStr">
        <is>
          <t>HEBY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46241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25995-2022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44734</v>
      </c>
      <c r="E477" s="1" t="n">
        <v>46241</v>
      </c>
      <c r="F477" t="inlineStr">
        <is>
          <t>UPPSALA LÄN</t>
        </is>
      </c>
      <c r="G477" t="inlineStr">
        <is>
          <t>HEBY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45083</v>
      </c>
      <c r="E478" s="1" t="n">
        <v>46241</v>
      </c>
      <c r="F478" t="inlineStr">
        <is>
          <t>UPPSALA LÄN</t>
        </is>
      </c>
      <c r="G478" t="inlineStr">
        <is>
          <t>HEBY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46241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44701</v>
      </c>
      <c r="E480" s="1" t="n">
        <v>46241</v>
      </c>
      <c r="F480" t="inlineStr">
        <is>
          <t>UPPSALA LÄN</t>
        </is>
      </c>
      <c r="G480" t="inlineStr">
        <is>
          <t>HEBY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45013</v>
      </c>
      <c r="E481" s="1" t="n">
        <v>46241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56352-2021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44480</v>
      </c>
      <c r="E482" s="1" t="n">
        <v>46241</v>
      </c>
      <c r="F482" t="inlineStr">
        <is>
          <t>UPPSALA LÄN</t>
        </is>
      </c>
      <c r="G482" t="inlineStr">
        <is>
          <t>HEBY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46241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46.8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46238</v>
      </c>
      <c r="E484" s="1" t="n">
        <v>46241</v>
      </c>
      <c r="F484" t="inlineStr">
        <is>
          <t>UPPSALA LÄN</t>
        </is>
      </c>
      <c r="G484" t="inlineStr">
        <is>
          <t>HEBY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46241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51521-2023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46241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44984</v>
      </c>
      <c r="E487" s="1" t="n">
        <v>46241</v>
      </c>
      <c r="F487" t="inlineStr">
        <is>
          <t>UPPSALA LÄN</t>
        </is>
      </c>
      <c r="G487" t="inlineStr">
        <is>
          <t>HEBY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45964-2021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44441</v>
      </c>
      <c r="E488" s="1" t="n">
        <v>46241</v>
      </c>
      <c r="F488" t="inlineStr">
        <is>
          <t>UPPSALA LÄN</t>
        </is>
      </c>
      <c r="G488" t="inlineStr">
        <is>
          <t>HEBY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44644</v>
      </c>
      <c r="E489" s="1" t="n">
        <v>46241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45035</v>
      </c>
      <c r="E490" s="1" t="n">
        <v>46241</v>
      </c>
      <c r="F490" t="inlineStr">
        <is>
          <t>UPPSALA LÄN</t>
        </is>
      </c>
      <c r="G490" t="inlineStr">
        <is>
          <t>HEBY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46241</v>
      </c>
      <c r="F491" t="inlineStr">
        <is>
          <t>UPPSALA LÄN</t>
        </is>
      </c>
      <c r="G491" t="inlineStr">
        <is>
          <t>HEBY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46241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46241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46241</v>
      </c>
      <c r="F494" t="inlineStr">
        <is>
          <t>UPPSALA LÄN</t>
        </is>
      </c>
      <c r="G494" t="inlineStr">
        <is>
          <t>HEBY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46241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46241</v>
      </c>
      <c r="F496" t="inlineStr">
        <is>
          <t>UPPSALA LÄN</t>
        </is>
      </c>
      <c r="G496" t="inlineStr">
        <is>
          <t>HEBY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45135</v>
      </c>
      <c r="E497" s="1" t="n">
        <v>46241</v>
      </c>
      <c r="F497" t="inlineStr">
        <is>
          <t>UPPSALA LÄN</t>
        </is>
      </c>
      <c r="G497" t="inlineStr">
        <is>
          <t>HEBY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46241</v>
      </c>
      <c r="F498" t="inlineStr">
        <is>
          <t>UPPSALA LÄN</t>
        </is>
      </c>
      <c r="G498" t="inlineStr">
        <is>
          <t>HEBY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45117</v>
      </c>
      <c r="E499" s="1" t="n">
        <v>46241</v>
      </c>
      <c r="F499" t="inlineStr">
        <is>
          <t>UPPSALA LÄN</t>
        </is>
      </c>
      <c r="G499" t="inlineStr">
        <is>
          <t>HEBY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46241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50172-2024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45599</v>
      </c>
      <c r="E501" s="1" t="n">
        <v>46241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45344</v>
      </c>
      <c r="E502" s="1" t="n">
        <v>46241</v>
      </c>
      <c r="F502" t="inlineStr">
        <is>
          <t>UPPSALA LÄN</t>
        </is>
      </c>
      <c r="G502" t="inlineStr">
        <is>
          <t>HEBY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45686</v>
      </c>
      <c r="E503" s="1" t="n">
        <v>46241</v>
      </c>
      <c r="F503" t="inlineStr">
        <is>
          <t>UPPSALA LÄN</t>
        </is>
      </c>
      <c r="G503" t="inlineStr">
        <is>
          <t>HEBY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60456-2022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44911</v>
      </c>
      <c r="E504" s="1" t="n">
        <v>46241</v>
      </c>
      <c r="F504" t="inlineStr">
        <is>
          <t>UPPSALA LÄN</t>
        </is>
      </c>
      <c r="G504" t="inlineStr">
        <is>
          <t>HEBY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39536-2024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45551</v>
      </c>
      <c r="E505" s="1" t="n">
        <v>46241</v>
      </c>
      <c r="F505" t="inlineStr">
        <is>
          <t>UPPSALA LÄN</t>
        </is>
      </c>
      <c r="G505" t="inlineStr">
        <is>
          <t>HEBY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45519</v>
      </c>
      <c r="E506" s="1" t="n">
        <v>46241</v>
      </c>
      <c r="F506" t="inlineStr">
        <is>
          <t>UPPSALA LÄN</t>
        </is>
      </c>
      <c r="G506" t="inlineStr">
        <is>
          <t>HEBY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45519</v>
      </c>
      <c r="E507" s="1" t="n">
        <v>46241</v>
      </c>
      <c r="F507" t="inlineStr">
        <is>
          <t>UPPSALA LÄN</t>
        </is>
      </c>
      <c r="G507" t="inlineStr">
        <is>
          <t>HEBY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58124-2022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44900</v>
      </c>
      <c r="E508" s="1" t="n">
        <v>46241</v>
      </c>
      <c r="F508" t="inlineStr">
        <is>
          <t>UPPSALA LÄN</t>
        </is>
      </c>
      <c r="G508" t="inlineStr">
        <is>
          <t>HEBY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21310-2023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45058</v>
      </c>
      <c r="E509" s="1" t="n">
        <v>46241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48956-2023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45209</v>
      </c>
      <c r="E510" s="1" t="n">
        <v>46241</v>
      </c>
      <c r="F510" t="inlineStr">
        <is>
          <t>UPPSALA LÄN</t>
        </is>
      </c>
      <c r="G510" t="inlineStr">
        <is>
          <t>HEBY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44979</v>
      </c>
      <c r="E511" s="1" t="n">
        <v>46241</v>
      </c>
      <c r="F511" t="inlineStr">
        <is>
          <t>UPPSALA LÄN</t>
        </is>
      </c>
      <c r="G511" t="inlineStr">
        <is>
          <t>HEBY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45713</v>
      </c>
      <c r="E512" s="1" t="n">
        <v>46241</v>
      </c>
      <c r="F512" t="inlineStr">
        <is>
          <t>UPPSALA LÄN</t>
        </is>
      </c>
      <c r="G512" t="inlineStr">
        <is>
          <t>HEBY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45321</v>
      </c>
      <c r="E513" s="1" t="n">
        <v>46241</v>
      </c>
      <c r="F513" t="inlineStr">
        <is>
          <t>UPPSALA LÄN</t>
        </is>
      </c>
      <c r="G513" t="inlineStr">
        <is>
          <t>HEBY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44875</v>
      </c>
      <c r="E514" s="1" t="n">
        <v>46241</v>
      </c>
      <c r="F514" t="inlineStr">
        <is>
          <t>UPPSALA LÄN</t>
        </is>
      </c>
      <c r="G514" t="inlineStr">
        <is>
          <t>HEBY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46241</v>
      </c>
      <c r="F515" t="inlineStr">
        <is>
          <t>UPPSALA LÄN</t>
        </is>
      </c>
      <c r="G515" t="inlineStr">
        <is>
          <t>HEBY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45740</v>
      </c>
      <c r="E516" s="1" t="n">
        <v>46241</v>
      </c>
      <c r="F516" t="inlineStr">
        <is>
          <t>UPPSALA LÄN</t>
        </is>
      </c>
      <c r="G516" t="inlineStr">
        <is>
          <t>HEBY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46241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54594-2024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45617</v>
      </c>
      <c r="E518" s="1" t="n">
        <v>46241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46241</v>
      </c>
      <c r="F519" t="inlineStr">
        <is>
          <t>UPPSALA LÄN</t>
        </is>
      </c>
      <c r="G519" t="inlineStr">
        <is>
          <t>HEBY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45786</v>
      </c>
      <c r="E520" s="1" t="n">
        <v>46241</v>
      </c>
      <c r="F520" t="inlineStr">
        <is>
          <t>UPPSALA LÄN</t>
        </is>
      </c>
      <c r="G520" t="inlineStr">
        <is>
          <t>HEBY</t>
        </is>
      </c>
      <c r="H520" t="inlineStr">
        <is>
          <t>Kyrkan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45394</v>
      </c>
      <c r="E521" s="1" t="n">
        <v>46241</v>
      </c>
      <c r="F521" t="inlineStr">
        <is>
          <t>UPPSALA LÄN</t>
        </is>
      </c>
      <c r="G521" t="inlineStr">
        <is>
          <t>HEBY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46241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45355</v>
      </c>
      <c r="E523" s="1" t="n">
        <v>46241</v>
      </c>
      <c r="F523" t="inlineStr">
        <is>
          <t>UPPSALA LÄN</t>
        </is>
      </c>
      <c r="G523" t="inlineStr">
        <is>
          <t>HEBY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46241</v>
      </c>
      <c r="F524" t="inlineStr">
        <is>
          <t>UPPSALA LÄN</t>
        </is>
      </c>
      <c r="G524" t="inlineStr">
        <is>
          <t>HEBY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13213-2022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44644</v>
      </c>
      <c r="E525" s="1" t="n">
        <v>46241</v>
      </c>
      <c r="F525" t="inlineStr">
        <is>
          <t>UPPSALA LÄN</t>
        </is>
      </c>
      <c r="G525" t="inlineStr">
        <is>
          <t>HEBY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46241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45786</v>
      </c>
      <c r="E527" s="1" t="n">
        <v>46241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46241</v>
      </c>
      <c r="F528" t="inlineStr">
        <is>
          <t>UPPSALA LÄN</t>
        </is>
      </c>
      <c r="G528" t="inlineStr">
        <is>
          <t>HEBY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44946</v>
      </c>
      <c r="E529" s="1" t="n">
        <v>46241</v>
      </c>
      <c r="F529" t="inlineStr">
        <is>
          <t>UPPSALA LÄN</t>
        </is>
      </c>
      <c r="G529" t="inlineStr">
        <is>
          <t>HEBY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46241</v>
      </c>
      <c r="F530" t="inlineStr">
        <is>
          <t>UPPSALA LÄN</t>
        </is>
      </c>
      <c r="G530" t="inlineStr">
        <is>
          <t>HEBY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45133</v>
      </c>
      <c r="E531" s="1" t="n">
        <v>46241</v>
      </c>
      <c r="F531" t="inlineStr">
        <is>
          <t>UPPSALA LÄN</t>
        </is>
      </c>
      <c r="G531" t="inlineStr">
        <is>
          <t>HEBY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46241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46241</v>
      </c>
      <c r="F533" t="inlineStr">
        <is>
          <t>UPPSALA LÄN</t>
        </is>
      </c>
      <c r="G533" t="inlineStr">
        <is>
          <t>HEBY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46241</v>
      </c>
      <c r="F534" t="inlineStr">
        <is>
          <t>UPPSALA LÄN</t>
        </is>
      </c>
      <c r="G534" t="inlineStr">
        <is>
          <t>HEBY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46241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10.6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38831-2024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45547</v>
      </c>
      <c r="E536" s="1" t="n">
        <v>46241</v>
      </c>
      <c r="F536" t="inlineStr">
        <is>
          <t>UPPSALA LÄN</t>
        </is>
      </c>
      <c r="G536" t="inlineStr">
        <is>
          <t>HEBY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45804</v>
      </c>
      <c r="E537" s="1" t="n">
        <v>46241</v>
      </c>
      <c r="F537" t="inlineStr">
        <is>
          <t>UPPSALA LÄN</t>
        </is>
      </c>
      <c r="G537" t="inlineStr">
        <is>
          <t>HEBY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45804</v>
      </c>
      <c r="E538" s="1" t="n">
        <v>46241</v>
      </c>
      <c r="F538" t="inlineStr">
        <is>
          <t>UPPSALA LÄN</t>
        </is>
      </c>
      <c r="G538" t="inlineStr">
        <is>
          <t>HEBY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46241</v>
      </c>
      <c r="F539" t="inlineStr">
        <is>
          <t>UPPSALA LÄN</t>
        </is>
      </c>
      <c r="G539" t="inlineStr">
        <is>
          <t>HEBY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46241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13676-2024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45390</v>
      </c>
      <c r="E541" s="1" t="n">
        <v>46241</v>
      </c>
      <c r="F541" t="inlineStr">
        <is>
          <t>UPPSALA LÄN</t>
        </is>
      </c>
      <c r="G541" t="inlineStr">
        <is>
          <t>HEBY</t>
        </is>
      </c>
      <c r="I541" t="n">
        <v>15.8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46241</v>
      </c>
      <c r="F542" t="inlineStr">
        <is>
          <t>UPPSALA LÄN</t>
        </is>
      </c>
      <c r="G542" t="inlineStr">
        <is>
          <t>HEBY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45680</v>
      </c>
      <c r="E543" s="1" t="n">
        <v>46241</v>
      </c>
      <c r="F543" t="inlineStr">
        <is>
          <t>UPPSALA LÄN</t>
        </is>
      </c>
      <c r="G543" t="inlineStr">
        <is>
          <t>HEBY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44984</v>
      </c>
      <c r="E544" s="1" t="n">
        <v>46241</v>
      </c>
      <c r="F544" t="inlineStr">
        <is>
          <t>UPPSALA LÄN</t>
        </is>
      </c>
      <c r="G544" t="inlineStr">
        <is>
          <t>HEBY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45519</v>
      </c>
      <c r="E545" s="1" t="n">
        <v>46241</v>
      </c>
      <c r="F545" t="inlineStr">
        <is>
          <t>UPPSALA LÄN</t>
        </is>
      </c>
      <c r="G545" t="inlineStr">
        <is>
          <t>HEBY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45089</v>
      </c>
      <c r="E546" s="1" t="n">
        <v>46241</v>
      </c>
      <c r="F546" t="inlineStr">
        <is>
          <t>UPPSALA LÄN</t>
        </is>
      </c>
      <c r="G546" t="inlineStr">
        <is>
          <t>HEBY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56795-2024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45628</v>
      </c>
      <c r="E547" s="1" t="n">
        <v>46241</v>
      </c>
      <c r="F547" t="inlineStr">
        <is>
          <t>UPPSALA LÄN</t>
        </is>
      </c>
      <c r="G547" t="inlineStr">
        <is>
          <t>HEBY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8199-2025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46241</v>
      </c>
      <c r="F548" t="inlineStr">
        <is>
          <t>UPPSALA LÄN</t>
        </is>
      </c>
      <c r="G548" t="inlineStr">
        <is>
          <t>HEBY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49536-2024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45596</v>
      </c>
      <c r="E549" s="1" t="n">
        <v>46241</v>
      </c>
      <c r="F549" t="inlineStr">
        <is>
          <t>UPPSALA LÄN</t>
        </is>
      </c>
      <c r="G549" t="inlineStr">
        <is>
          <t>HEBY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46241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28561-2025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46241</v>
      </c>
      <c r="F551" t="inlineStr">
        <is>
          <t>UPPSALA LÄN</t>
        </is>
      </c>
      <c r="G551" t="inlineStr">
        <is>
          <t>HEBY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45820</v>
      </c>
      <c r="E552" s="1" t="n">
        <v>46241</v>
      </c>
      <c r="F552" t="inlineStr">
        <is>
          <t>UPPSALA LÄN</t>
        </is>
      </c>
      <c r="G552" t="inlineStr">
        <is>
          <t>HEBY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46241</v>
      </c>
      <c r="F553" t="inlineStr">
        <is>
          <t>UPPSALA LÄN</t>
        </is>
      </c>
      <c r="G553" t="inlineStr">
        <is>
          <t>HEBY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46241</v>
      </c>
      <c r="F554" t="inlineStr">
        <is>
          <t>UPPSALA LÄN</t>
        </is>
      </c>
      <c r="G554" t="inlineStr">
        <is>
          <t>HEBY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30418-2025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46241</v>
      </c>
      <c r="F555" t="inlineStr">
        <is>
          <t>UPPSALA LÄN</t>
        </is>
      </c>
      <c r="G555" t="inlineStr">
        <is>
          <t>HEBY</t>
        </is>
      </c>
      <c r="H555" t="inlineStr">
        <is>
          <t>Övriga Aktiebolag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45827</v>
      </c>
      <c r="E556" s="1" t="n">
        <v>46241</v>
      </c>
      <c r="F556" t="inlineStr">
        <is>
          <t>UPPSALA LÄN</t>
        </is>
      </c>
      <c r="G556" t="inlineStr">
        <is>
          <t>HEBY</t>
        </is>
      </c>
      <c r="H556" t="inlineStr">
        <is>
          <t>Övriga Aktiebolag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46241</v>
      </c>
      <c r="F557" t="inlineStr">
        <is>
          <t>UPPSALA LÄN</t>
        </is>
      </c>
      <c r="G557" t="inlineStr">
        <is>
          <t>HEBY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19132-2025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46241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46241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43.4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46241</v>
      </c>
      <c r="F560" t="inlineStr">
        <is>
          <t>UPPSALA LÄN</t>
        </is>
      </c>
      <c r="G560" t="inlineStr">
        <is>
          <t>HEBY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34072-2025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45845</v>
      </c>
      <c r="E561" s="1" t="n">
        <v>46241</v>
      </c>
      <c r="F561" t="inlineStr">
        <is>
          <t>UPPSALA LÄN</t>
        </is>
      </c>
      <c r="G561" t="inlineStr">
        <is>
          <t>HEBY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46241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45847</v>
      </c>
      <c r="E563" s="1" t="n">
        <v>46241</v>
      </c>
      <c r="F563" t="inlineStr">
        <is>
          <t>UPPSALA LÄN</t>
        </is>
      </c>
      <c r="G563" t="inlineStr">
        <is>
          <t>HEBY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35265-2025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45852</v>
      </c>
      <c r="E564" s="1" t="n">
        <v>46241</v>
      </c>
      <c r="F564" t="inlineStr">
        <is>
          <t>UPPSALA LÄN</t>
        </is>
      </c>
      <c r="G564" t="inlineStr">
        <is>
          <t>HEBY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45852</v>
      </c>
      <c r="E565" s="1" t="n">
        <v>46241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10.3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46241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46241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46241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46241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46241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  <c r="Z570">
        <f>HYPERLINK("https://klasma.github.io/Logging_0331/knärot/S 1330-2022 karta knärot.png", "S 1330-2022")</f>
        <v/>
      </c>
      <c r="AA570">
        <f>HYPERLINK("https://klasma.github.io/Logging_0331/klagomål/S 1330-2022 FSC-klagomål.docx", "S 1330-2022")</f>
        <v/>
      </c>
      <c r="AB570">
        <f>HYPERLINK("https://klasma.github.io/Logging_0331/klagomålsmail/S 1330-2022 FSC-klagomål mail.docx", "S 1330-2022")</f>
        <v/>
      </c>
      <c r="AC570">
        <f>HYPERLINK("https://klasma.github.io/Logging_0331/tillsyn/S 1330-2022 tillsynsbegäran.docx", "S 1330-2022")</f>
        <v/>
      </c>
      <c r="AD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46241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46241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46241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46241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46241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46241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46241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46241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46241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46241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46241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46241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46241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2026-08-07T01:52:26Z</dcterms:created>
  <dcterms:modified xmlns:dcterms="http://purl.org/dc/terms/" xmlns:xsi="http://www.w3.org/2001/XMLSchema-instance" xsi:type="dcterms:W3CDTF">2026-08-07T01:52:26Z</dcterms:modified>
</cp:coreProperties>
</file>
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46315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46315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46315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46315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46315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46315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46315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41767-2026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46302</v>
      </c>
      <c r="E14" s="1" t="n">
        <v>46315</v>
      </c>
      <c r="F14" t="inlineStr">
        <is>
          <t>UPPSALA LÄN</t>
        </is>
      </c>
      <c r="G14" t="inlineStr">
        <is>
          <t>HEBY</t>
        </is>
      </c>
      <c r="I14" t="n">
        <v>11.9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34</v>
      </c>
      <c r="U14" t="n">
        <v>34</v>
      </c>
      <c r="V14" s="2" t="inlineStr">
        <is>
          <t>Knärot
Rynkskinn
Ullticka
Bronshjon
Flagellkvastmossa
Granbarkgnagare
Vedticka
Spillkråka</t>
        </is>
      </c>
      <c r="W14">
        <f>HYPERLINK("https://klasma.github.io/Logging_0331/artfynd/A 41767-2026 artfynd.xlsx", "A 41767-2026")</f>
        <v/>
      </c>
      <c r="X14">
        <f>HYPERLINK("https://klasma.github.io/Logging_0331/kartor/A 41767-2026 karta.png", "A 41767-2026")</f>
        <v/>
      </c>
      <c r="Y14">
        <f>HYPERLINK("https://klasma.github.io/Logging_0331/kartor_geotiff/A 41767-2026 georefererad karta.tif", "A 41767-2026")</f>
        <v/>
      </c>
      <c r="Z14">
        <f>HYPERLINK("https://klasma.github.io/Logging_0331/knärot/A 41767-2026 karta knärot.png", "A 41767-2026")</f>
        <v/>
      </c>
      <c r="AA14">
        <f>HYPERLINK("https://klasma.github.io/Logging_0331/klagomål/A 41767-2026 FSC-klagomål.docx", "A 41767-2026")</f>
        <v/>
      </c>
      <c r="AB14">
        <f>HYPERLINK("https://klasma.github.io/Logging_0331/klagomålsmail/A 41767-2026 FSC-klagomål mail.docx", "A 41767-2026")</f>
        <v/>
      </c>
      <c r="AC14">
        <f>HYPERLINK("https://klasma.github.io/Logging_0331/tillsyn/A 41767-2026 tillsynsbegäran.docx", "A 41767-2026")</f>
        <v/>
      </c>
      <c r="AD14">
        <f>HYPERLINK("https://klasma.github.io/Logging_0331/tillsynsmail/A 41767-2026 tillsynsbegäran mail.docx", "A 41767-2026")</f>
        <v/>
      </c>
      <c r="AE14">
        <f>HYPERLINK("https://klasma.github.io/Logging_0331/fåglar/A 41767-2026 prioriterade fågelarter.docx", "A 41767-2026")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46315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46315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46315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46315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31572-2023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45117</v>
      </c>
      <c r="E19" s="1" t="n">
        <v>46315</v>
      </c>
      <c r="F19" t="inlineStr">
        <is>
          <t>UPPSALA LÄN</t>
        </is>
      </c>
      <c r="G19" t="inlineStr">
        <is>
          <t>HEBY</t>
        </is>
      </c>
      <c r="I19" t="n">
        <v>6.1</v>
      </c>
      <c r="J19" t="n">
        <v>2</v>
      </c>
      <c r="K19" t="n">
        <v>3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13</v>
      </c>
      <c r="U19" t="n">
        <v>13</v>
      </c>
      <c r="V19" s="2" t="inlineStr">
        <is>
          <t>Knärot
Grönpyrola
Norrlandslav
Vedticka
Fläcknycklar</t>
        </is>
      </c>
      <c r="W19">
        <f>HYPERLINK("https://klasma.github.io/Logging_0331/artfynd/A 31572-2023 artfynd.xlsx", "A 31572-2023")</f>
        <v/>
      </c>
      <c r="X19">
        <f>HYPERLINK("https://klasma.github.io/Logging_0331/kartor/A 31572-2023 karta.png", "A 31572-2023")</f>
        <v/>
      </c>
      <c r="Y19">
        <f>HYPERLINK("https://klasma.github.io/Logging_0331/kartor_geotiff/A 31572-2023 georefererad karta.tif", "A 31572-2023")</f>
        <v/>
      </c>
      <c r="Z19">
        <f>HYPERLINK("https://klasma.github.io/Logging_0331/knärot/A 31572-2023 karta knärot.png", "A 31572-2023")</f>
        <v/>
      </c>
      <c r="AA19">
        <f>HYPERLINK("https://klasma.github.io/Logging_0331/klagomål/A 31572-2023 FSC-klagomål.docx", "A 31572-2023")</f>
        <v/>
      </c>
      <c r="AB19">
        <f>HYPERLINK("https://klasma.github.io/Logging_0331/klagomålsmail/A 31572-2023 FSC-klagomål mail.docx", "A 31572-2023")</f>
        <v/>
      </c>
      <c r="AC19">
        <f>HYPERLINK("https://klasma.github.io/Logging_0331/tillsyn/A 31572-2023 tillsynsbegäran.docx", "A 31572-2023")</f>
        <v/>
      </c>
      <c r="AD19">
        <f>HYPERLINK("https://klasma.github.io/Logging_0331/tillsynsmail/A 31572-2023 tillsynsbegäran mail.docx", "A 31572-2023")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46315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46315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34404-2026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46254</v>
      </c>
      <c r="E22" s="1" t="n">
        <v>46315</v>
      </c>
      <c r="F22" t="inlineStr">
        <is>
          <t>UPPSALA LÄN</t>
        </is>
      </c>
      <c r="G22" t="inlineStr">
        <is>
          <t>HEBY</t>
        </is>
      </c>
      <c r="H22" t="inlineStr">
        <is>
          <t>Kyrkan</t>
        </is>
      </c>
      <c r="I22" t="n">
        <v>1.8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Brunklöver
Mattlummer
Spillkråka
Grönsiska
Kungsfågel</t>
        </is>
      </c>
      <c r="W22">
        <f>HYPERLINK("https://klasma.github.io/Logging_0331/artfynd/A 34404-2026 artfynd.xlsx", "A 34404-2026")</f>
        <v/>
      </c>
      <c r="X22">
        <f>HYPERLINK("https://klasma.github.io/Logging_0331/kartor/A 34404-2026 karta.png", "A 34404-2026")</f>
        <v/>
      </c>
      <c r="Y22">
        <f>HYPERLINK("https://klasma.github.io/Logging_0331/kartor_geotiff/A 34404-2026 georefererad karta.tif", "A 34404-2026")</f>
        <v/>
      </c>
      <c r="AA22">
        <f>HYPERLINK("https://klasma.github.io/Logging_0331/klagomål/A 34404-2026 FSC-klagomål.docx", "A 34404-2026")</f>
        <v/>
      </c>
      <c r="AB22">
        <f>HYPERLINK("https://klasma.github.io/Logging_0331/klagomålsmail/A 34404-2026 FSC-klagomål mail.docx", "A 34404-2026")</f>
        <v/>
      </c>
      <c r="AC22">
        <f>HYPERLINK("https://klasma.github.io/Logging_0331/tillsyn/A 34404-2026 tillsynsbegäran.docx", "A 34404-2026")</f>
        <v/>
      </c>
      <c r="AD22">
        <f>HYPERLINK("https://klasma.github.io/Logging_0331/tillsynsmail/A 34404-2026 tillsynsbegäran mail.docx", "A 34404-2026")</f>
        <v/>
      </c>
      <c r="AE22">
        <f>HYPERLINK("https://klasma.github.io/Logging_0331/fåglar/A 34404-2026 prioriterade fågelarter.docx", "A 34404-2026")</f>
        <v/>
      </c>
    </row>
    <row r="23" ht="15" customHeight="1">
      <c r="A23" t="inlineStr">
        <is>
          <t>S 400-2022</t>
        </is>
      </c>
      <c r="B23" t="inlineStr">
        <is>
          <t>samrådsanmälan</t>
        </is>
      </c>
      <c r="C23" t="inlineStr">
        <is>
          <t>Skogsgödsling</t>
        </is>
      </c>
      <c r="D23" s="1" t="n">
        <v>44585</v>
      </c>
      <c r="E23" s="1" t="n">
        <v>46315</v>
      </c>
      <c r="F23" t="inlineStr">
        <is>
          <t>UPPSALA LÄN</t>
        </is>
      </c>
      <c r="G23" t="inlineStr">
        <is>
          <t>HEBY</t>
        </is>
      </c>
      <c r="H23" t="inlineStr">
        <is>
          <t>Bergvik skog väst AB</t>
        </is>
      </c>
      <c r="I23" t="n">
        <v>115.5</v>
      </c>
      <c r="J23" t="n">
        <v>4</v>
      </c>
      <c r="K23" t="n">
        <v>1</v>
      </c>
      <c r="L23" t="n">
        <v>2</v>
      </c>
      <c r="M23" t="n">
        <v>1</v>
      </c>
      <c r="N23" t="n">
        <v>1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32</v>
      </c>
      <c r="U23" t="n">
        <v>2</v>
      </c>
      <c r="V23" s="2" t="inlineStr">
        <is>
          <t>Mosippa
Knärot
Mellanlummer
Motaggsvamp
Plattlummer</t>
        </is>
      </c>
      <c r="W23">
        <f>HYPERLINK("https://klasma.github.io/Logging_0331/artfynd/S 400-2022 artfynd.xlsx", "S 400-2022")</f>
        <v/>
      </c>
      <c r="X23">
        <f>HYPERLINK("https://klasma.github.io/Logging_0331/kartor/S 400-2022 karta.png", "S 400-2022")</f>
        <v/>
      </c>
      <c r="Y23">
        <f>HYPERLINK("https://klasma.github.io/Logging_0331/kartor_geotiff/S 400-2022 georefererad karta.tif", "S 400-2022")</f>
        <v/>
      </c>
      <c r="Z23">
        <f>HYPERLINK("https://klasma.github.io/Logging_0331/knärot/S 400-2022 karta knärot.png", "S 400-2022")</f>
        <v/>
      </c>
      <c r="AA23">
        <f>HYPERLINK("https://klasma.github.io/Logging_0331/klagomål/S 400-2022 FSC-klagomål.docx", "S 400-2022")</f>
        <v/>
      </c>
      <c r="AB23">
        <f>HYPERLINK("https://klasma.github.io/Logging_0331/klagomålsmail/S 400-2022 FSC-klagomål mail.docx", "S 400-2022")</f>
        <v/>
      </c>
      <c r="AC23">
        <f>HYPERLINK("https://klasma.github.io/Logging_0331/tillsyn/S 400-2022 tillsynsbegäran.docx", "S 400-2022")</f>
        <v/>
      </c>
      <c r="AD23">
        <f>HYPERLINK("https://klasma.github.io/Logging_0331/tillsynsmail/S 400-2022 tillsynsbegäran mail.docx", "S 400-2022")</f>
        <v/>
      </c>
    </row>
    <row r="24" ht="15" customHeight="1">
      <c r="A24" t="inlineStr">
        <is>
          <t>A 1396-2022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46315</v>
      </c>
      <c r="F24" t="inlineStr">
        <is>
          <t>UPPSALA LÄN</t>
        </is>
      </c>
      <c r="G24" t="inlineStr">
        <is>
          <t>HEBY</t>
        </is>
      </c>
      <c r="H24" t="inlineStr">
        <is>
          <t>Allmännings- och besparingsskogar</t>
        </is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Orre
Åkergroda
Vanlig groda
Vanlig padda</t>
        </is>
      </c>
      <c r="W24">
        <f>HYPERLINK("https://klasma.github.io/Logging_0331/artfynd/A 1396-2022 artfynd.xlsx", "A 1396-2022")</f>
        <v/>
      </c>
      <c r="X24">
        <f>HYPERLINK("https://klasma.github.io/Logging_0331/kartor/A 1396-2022 karta.png", "A 1396-2022")</f>
        <v/>
      </c>
      <c r="Y24">
        <f>HYPERLINK("https://klasma.github.io/Logging_0331/kartor_geotiff/A 1396-2022 georefererad karta.tif", "A 1396-2022")</f>
        <v/>
      </c>
      <c r="AA24">
        <f>HYPERLINK("https://klasma.github.io/Logging_0331/klagomål/A 1396-2022 FSC-klagomål.docx", "A 1396-2022")</f>
        <v/>
      </c>
      <c r="AB24">
        <f>HYPERLINK("https://klasma.github.io/Logging_0331/klagomålsmail/A 1396-2022 FSC-klagomål mail.docx", "A 1396-2022")</f>
        <v/>
      </c>
      <c r="AC24">
        <f>HYPERLINK("https://klasma.github.io/Logging_0331/tillsyn/A 1396-2022 tillsynsbegäran.docx", "A 1396-2022")</f>
        <v/>
      </c>
      <c r="AD24">
        <f>HYPERLINK("https://klasma.github.io/Logging_0331/tillsynsmail/A 1396-2022 tillsynsbegäran mail.docx", "A 1396-2022")</f>
        <v/>
      </c>
      <c r="AE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46315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46315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46315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46315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46315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46315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S 4467-2022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44788</v>
      </c>
      <c r="E31" s="1" t="n">
        <v>46315</v>
      </c>
      <c r="F31" t="inlineStr">
        <is>
          <t>UPPSALA LÄN</t>
        </is>
      </c>
      <c r="G31" t="inlineStr">
        <is>
          <t>HEBY</t>
        </is>
      </c>
      <c r="I31" t="n">
        <v>3.6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8</v>
      </c>
      <c r="U31" t="n">
        <v>0</v>
      </c>
      <c r="V31" s="2" t="inlineStr">
        <is>
          <t>Ullticka
Bronshjon
Granbarkgnagare
Vedticka</t>
        </is>
      </c>
      <c r="W31">
        <f>HYPERLINK("https://klasma.github.io/Logging_0331/artfynd/S 4467-2022 artfynd.xlsx", "S 4467-2022")</f>
        <v/>
      </c>
      <c r="X31">
        <f>HYPERLINK("https://klasma.github.io/Logging_0331/kartor/S 4467-2022 karta.png", "S 4467-2022")</f>
        <v/>
      </c>
      <c r="Y31">
        <f>HYPERLINK("https://klasma.github.io/Logging_0331/kartor_geotiff/S 4467-2022 georefererad karta.tif", "S 4467-2022")</f>
        <v/>
      </c>
      <c r="AA31">
        <f>HYPERLINK("https://klasma.github.io/Logging_0331/klagomål/S 4467-2022 FSC-klagomål.docx", "S 4467-2022")</f>
        <v/>
      </c>
      <c r="AB31">
        <f>HYPERLINK("https://klasma.github.io/Logging_0331/klagomålsmail/S 4467-2022 FSC-klagomål mail.docx", "S 4467-2022")</f>
        <v/>
      </c>
      <c r="AC31">
        <f>HYPERLINK("https://klasma.github.io/Logging_0331/tillsyn/S 4467-2022 tillsynsbegäran.docx", "S 4467-2022")</f>
        <v/>
      </c>
      <c r="AD31">
        <f>HYPERLINK("https://klasma.github.io/Logging_0331/tillsynsmail/S 4467-2022 tillsynsbegäran mail.docx", "S 4467-2022")</f>
        <v/>
      </c>
    </row>
    <row r="32" ht="15" customHeight="1">
      <c r="A32" t="inlineStr">
        <is>
          <t>S 2413-2023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45112</v>
      </c>
      <c r="E32" s="1" t="n">
        <v>46315</v>
      </c>
      <c r="F32" t="inlineStr">
        <is>
          <t>UPPSALA LÄN</t>
        </is>
      </c>
      <c r="G32" t="inlineStr">
        <is>
          <t>HEBY</t>
        </is>
      </c>
      <c r="H32" t="inlineStr">
        <is>
          <t>Bergvik skog väst AB</t>
        </is>
      </c>
      <c r="I32" t="n">
        <v>9.699999999999999</v>
      </c>
      <c r="J32" t="n">
        <v>1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Aspgelélav
Skinnlav
Vedticka
Blåsippa</t>
        </is>
      </c>
      <c r="W32">
        <f>HYPERLINK("https://klasma.github.io/Logging_0331/artfynd/S 2413-2023 artfynd.xlsx", "S 2413-2023")</f>
        <v/>
      </c>
      <c r="X32">
        <f>HYPERLINK("https://klasma.github.io/Logging_0331/kartor/S 2413-2023 karta.png", "S 2413-2023")</f>
        <v/>
      </c>
      <c r="Y32">
        <f>HYPERLINK("https://klasma.github.io/Logging_0331/kartor_geotiff/S 2413-2023 georefererad karta.tif", "S 2413-2023")</f>
        <v/>
      </c>
      <c r="AA32">
        <f>HYPERLINK("https://klasma.github.io/Logging_0331/klagomål/S 2413-2023 FSC-klagomål.docx", "S 2413-2023")</f>
        <v/>
      </c>
      <c r="AB32">
        <f>HYPERLINK("https://klasma.github.io/Logging_0331/klagomålsmail/S 2413-2023 FSC-klagomål mail.docx", "S 2413-2023")</f>
        <v/>
      </c>
      <c r="AC32">
        <f>HYPERLINK("https://klasma.github.io/Logging_0331/tillsyn/S 2413-2023 tillsynsbegäran.docx", "S 2413-2023")</f>
        <v/>
      </c>
      <c r="AD32">
        <f>HYPERLINK("https://klasma.github.io/Logging_0331/tillsynsmail/S 2413-2023 tillsynsbegäran mail.docx", "S 2413-2023")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46315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46315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46315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46315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46315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46315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46315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46315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46315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46315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46315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20509-2026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46315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1.8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Motaggsvamp
Plattlummer</t>
        </is>
      </c>
      <c r="W44">
        <f>HYPERLINK("https://klasma.github.io/Logging_0331/artfynd/A 20509-2026 artfynd.xlsx", "A 20509-2026")</f>
        <v/>
      </c>
      <c r="X44">
        <f>HYPERLINK("https://klasma.github.io/Logging_0331/kartor/A 20509-2026 karta.png", "A 20509-2026")</f>
        <v/>
      </c>
      <c r="Y44">
        <f>HYPERLINK("https://klasma.github.io/Logging_0331/kartor_geotiff/A 20509-2026 georefererad karta.tif", "A 20509-2026")</f>
        <v/>
      </c>
      <c r="AA44">
        <f>HYPERLINK("https://klasma.github.io/Logging_0331/klagomål/A 20509-2026 FSC-klagomål.docx", "A 20509-2026")</f>
        <v/>
      </c>
      <c r="AB44">
        <f>HYPERLINK("https://klasma.github.io/Logging_0331/klagomålsmail/A 20509-2026 FSC-klagomål mail.docx", "A 20509-2026")</f>
        <v/>
      </c>
      <c r="AC44">
        <f>HYPERLINK("https://klasma.github.io/Logging_0331/tillsyn/A 20509-2026 tillsynsbegäran.docx", "A 20509-2026")</f>
        <v/>
      </c>
      <c r="AD44">
        <f>HYPERLINK("https://klasma.github.io/Logging_0331/tillsynsmail/A 20509-2026 tillsynsbegäran mail.docx", "A 20509-2026")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46315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46315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46315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46315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46315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A 43293-2026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46314</v>
      </c>
      <c r="E50" s="1" t="n">
        <v>46315</v>
      </c>
      <c r="F50" t="inlineStr">
        <is>
          <t>UPPSALA LÄN</t>
        </is>
      </c>
      <c r="G50" t="inlineStr">
        <is>
          <t>HEBY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Mosippa
Motaggsvamp</t>
        </is>
      </c>
      <c r="W50">
        <f>HYPERLINK("https://klasma.github.io/Logging_0331/artfynd/A 43293-2026 artfynd.xlsx", "A 43293-2026")</f>
        <v/>
      </c>
      <c r="X50">
        <f>HYPERLINK("https://klasma.github.io/Logging_0331/kartor/A 43293-2026 karta.png", "A 43293-2026")</f>
        <v/>
      </c>
      <c r="Y50">
        <f>HYPERLINK("https://klasma.github.io/Logging_0331/kartor_geotiff/A 43293-2026 georefererad karta.tif", "A 43293-2026")</f>
        <v/>
      </c>
      <c r="AA50">
        <f>HYPERLINK("https://klasma.github.io/Logging_0331/klagomål/A 43293-2026 FSC-klagomål.docx", "A 43293-2026")</f>
        <v/>
      </c>
      <c r="AB50">
        <f>HYPERLINK("https://klasma.github.io/Logging_0331/klagomålsmail/A 43293-2026 FSC-klagomål mail.docx", "A 43293-2026")</f>
        <v/>
      </c>
      <c r="AC50">
        <f>HYPERLINK("https://klasma.github.io/Logging_0331/tillsyn/A 43293-2026 tillsynsbegäran.docx", "A 43293-2026")</f>
        <v/>
      </c>
      <c r="AD50">
        <f>HYPERLINK("https://klasma.github.io/Logging_0331/tillsynsmail/A 43293-2026 tillsynsbegäran mail.docx", "A 43293-2026")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46315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Aspvedgnagare
Björksplintborre</t>
        </is>
      </c>
      <c r="W51">
        <f>HYPERLINK("https://klasma.github.io/Logging_0331/artfynd/S 2234-2024 artfynd.xlsx", "S 2234-2024")</f>
        <v/>
      </c>
      <c r="X51">
        <f>HYPERLINK("https://klasma.github.io/Logging_0331/kartor/S 2234-2024 karta.png", "S 2234-2024")</f>
        <v/>
      </c>
      <c r="Y51">
        <f>HYPERLINK("https://klasma.github.io/Logging_0331/kartor_geotiff/S 2234-2024 georefererad karta.tif", "S 2234-2024")</f>
        <v/>
      </c>
      <c r="AA51">
        <f>HYPERLINK("https://klasma.github.io/Logging_0331/klagomål/S 2234-2024 FSC-klagomål.docx", "S 2234-2024")</f>
        <v/>
      </c>
      <c r="AB51">
        <f>HYPERLINK("https://klasma.github.io/Logging_0331/klagomålsmail/S 2234-2024 FSC-klagomål mail.docx", "S 2234-2024")</f>
        <v/>
      </c>
      <c r="AC51">
        <f>HYPERLINK("https://klasma.github.io/Logging_0331/tillsyn/S 2234-2024 tillsynsbegäran.docx", "S 2234-2024")</f>
        <v/>
      </c>
      <c r="AD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46315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Lammticka
Motaggsvamp</t>
        </is>
      </c>
      <c r="W52">
        <f>HYPERLINK("https://klasma.github.io/Logging_0331/artfynd/S 846-2024 artfynd.xlsx", "S 846-2024")</f>
        <v/>
      </c>
      <c r="X52">
        <f>HYPERLINK("https://klasma.github.io/Logging_0331/kartor/S 846-2024 karta.png", "S 846-2024")</f>
        <v/>
      </c>
      <c r="Y52">
        <f>HYPERLINK("https://klasma.github.io/Logging_0331/kartor_geotiff/S 846-2024 georefererad karta.tif", "S 846-2024")</f>
        <v/>
      </c>
      <c r="AA52">
        <f>HYPERLINK("https://klasma.github.io/Logging_0331/klagomål/S 846-2024 FSC-klagomål.docx", "S 846-2024")</f>
        <v/>
      </c>
      <c r="AB52">
        <f>HYPERLINK("https://klasma.github.io/Logging_0331/klagomålsmail/S 846-2024 FSC-klagomål mail.docx", "S 846-2024")</f>
        <v/>
      </c>
      <c r="AC52">
        <f>HYPERLINK("https://klasma.github.io/Logging_0331/tillsyn/S 846-2024 tillsynsbegäran.docx", "S 846-2024")</f>
        <v/>
      </c>
      <c r="AD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46315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Ängsnycklar</t>
        </is>
      </c>
      <c r="W53">
        <f>HYPERLINK("https://klasma.github.io/Logging_0331/artfynd/A 46094-2022 artfynd.xlsx", "A 46094-2022")</f>
        <v/>
      </c>
      <c r="X53">
        <f>HYPERLINK("https://klasma.github.io/Logging_0331/kartor/A 46094-2022 karta.png", "A 46094-2022")</f>
        <v/>
      </c>
      <c r="Y53">
        <f>HYPERLINK("https://klasma.github.io/Logging_0331/kartor_geotiff/A 46094-2022 georefererad karta.tif", "A 46094-2022")</f>
        <v/>
      </c>
      <c r="AA53">
        <f>HYPERLINK("https://klasma.github.io/Logging_0331/klagomål/A 46094-2022 FSC-klagomål.docx", "A 46094-2022")</f>
        <v/>
      </c>
      <c r="AB53">
        <f>HYPERLINK("https://klasma.github.io/Logging_0331/klagomålsmail/A 46094-2022 FSC-klagomål mail.docx", "A 46094-2022")</f>
        <v/>
      </c>
      <c r="AC53">
        <f>HYPERLINK("https://klasma.github.io/Logging_0331/tillsyn/A 46094-2022 tillsynsbegäran.docx", "A 46094-2022")</f>
        <v/>
      </c>
      <c r="AD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46315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1</v>
      </c>
      <c r="V54" s="2" t="inlineStr">
        <is>
          <t>Väddnätfjäril</t>
        </is>
      </c>
      <c r="W54">
        <f>HYPERLINK("https://klasma.github.io/Logging_0331/artfynd/A 63826-2021 artfynd.xlsx", "A 63826-2021")</f>
        <v/>
      </c>
      <c r="X54">
        <f>HYPERLINK("https://klasma.github.io/Logging_0331/kartor/A 63826-2021 karta.png", "A 63826-2021")</f>
        <v/>
      </c>
      <c r="Y54">
        <f>HYPERLINK("https://klasma.github.io/Logging_0331/kartor_geotiff/A 63826-2021 georefererad karta.tif", "A 63826-2021")</f>
        <v/>
      </c>
      <c r="AA54">
        <f>HYPERLINK("https://klasma.github.io/Logging_0331/klagomål/A 63826-2021 FSC-klagomål.docx", "A 63826-2021")</f>
        <v/>
      </c>
      <c r="AB54">
        <f>HYPERLINK("https://klasma.github.io/Logging_0331/klagomålsmail/A 63826-2021 FSC-klagomål mail.docx", "A 63826-2021")</f>
        <v/>
      </c>
      <c r="AC54">
        <f>HYPERLINK("https://klasma.github.io/Logging_0331/tillsyn/A 63826-2021 tillsynsbegäran.docx", "A 63826-2021")</f>
        <v/>
      </c>
      <c r="AD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46315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Nattviol</t>
        </is>
      </c>
      <c r="W55">
        <f>HYPERLINK("https://klasma.github.io/Logging_0331/artfynd/A 41382-2022 artfynd.xlsx", "A 41382-2022")</f>
        <v/>
      </c>
      <c r="X55">
        <f>HYPERLINK("https://klasma.github.io/Logging_0331/kartor/A 41382-2022 karta.png", "A 41382-2022")</f>
        <v/>
      </c>
      <c r="Y55">
        <f>HYPERLINK("https://klasma.github.io/Logging_0331/kartor_geotiff/A 41382-2022 georefererad karta.tif", "A 41382-2022")</f>
        <v/>
      </c>
      <c r="AA55">
        <f>HYPERLINK("https://klasma.github.io/Logging_0331/klagomål/A 41382-2022 FSC-klagomål.docx", "A 41382-2022")</f>
        <v/>
      </c>
      <c r="AB55">
        <f>HYPERLINK("https://klasma.github.io/Logging_0331/klagomålsmail/A 41382-2022 FSC-klagomål mail.docx", "A 41382-2022")</f>
        <v/>
      </c>
      <c r="AC55">
        <f>HYPERLINK("https://klasma.github.io/Logging_0331/tillsyn/A 41382-2022 tillsynsbegäran.docx", "A 41382-2022")</f>
        <v/>
      </c>
      <c r="AD55">
        <f>HYPERLINK("https://klasma.github.io/Logging_0331/tillsynsmail/A 41382-2022 tillsynsbegäran mail.docx", "A 41382-2022")</f>
        <v/>
      </c>
    </row>
    <row r="56" ht="15" customHeight="1">
      <c r="A56" t="inlineStr">
        <is>
          <t>A 24562-2023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45083</v>
      </c>
      <c r="E56" s="1" t="n">
        <v>46315</v>
      </c>
      <c r="F56" t="inlineStr">
        <is>
          <t>UPPSALA LÄN</t>
        </is>
      </c>
      <c r="G56" t="inlineStr">
        <is>
          <t>HEBY</t>
        </is>
      </c>
      <c r="I56" t="n">
        <v>5.5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HYPERLINK("https://klasma.github.io/Logging_0331/artfynd/A 24562-2023 artfynd.xlsx", "A 24562-2023")</f>
        <v/>
      </c>
      <c r="X56">
        <f>HYPERLINK("https://klasma.github.io/Logging_0331/kartor/A 24562-2023 karta.png", "A 24562-2023")</f>
        <v/>
      </c>
      <c r="Y56">
        <f>HYPERLINK("https://klasma.github.io/Logging_0331/kartor_geotiff/A 24562-2023 georefererad karta.tif", "A 24562-2023")</f>
        <v/>
      </c>
      <c r="AA56">
        <f>HYPERLINK("https://klasma.github.io/Logging_0331/klagomål/A 24562-2023 FSC-klagomål.docx", "A 24562-2023")</f>
        <v/>
      </c>
      <c r="AB56">
        <f>HYPERLINK("https://klasma.github.io/Logging_0331/klagomålsmail/A 24562-2023 FSC-klagomål mail.docx", "A 24562-2023")</f>
        <v/>
      </c>
      <c r="AC56">
        <f>HYPERLINK("https://klasma.github.io/Logging_0331/tillsyn/A 24562-2023 tillsynsbegäran.docx", "A 24562-2023")</f>
        <v/>
      </c>
      <c r="AD56">
        <f>HYPERLINK("https://klasma.github.io/Logging_0331/tillsynsmail/A 24562-2023 tillsynsbegäran mail.docx", "A 24562-2023")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46315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46315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27871-2023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46315</v>
      </c>
      <c r="F59" t="inlineStr">
        <is>
          <t>UPPSALA LÄN</t>
        </is>
      </c>
      <c r="G59" t="inlineStr">
        <is>
          <t>HEBY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HYPERLINK("https://klasma.github.io/Logging_0331/artfynd/A 27871-2023 artfynd.xlsx", "A 27871-2023")</f>
        <v/>
      </c>
      <c r="X59">
        <f>HYPERLINK("https://klasma.github.io/Logging_0331/kartor/A 27871-2023 karta.png", "A 27871-2023")</f>
        <v/>
      </c>
      <c r="Y59">
        <f>HYPERLINK("https://klasma.github.io/Logging_0331/kartor_geotiff/A 27871-2023 georefererad karta.tif", "A 27871-2023")</f>
        <v/>
      </c>
      <c r="AA59">
        <f>HYPERLINK("https://klasma.github.io/Logging_0331/klagomål/A 27871-2023 FSC-klagomål.docx", "A 27871-2023")</f>
        <v/>
      </c>
      <c r="AB59">
        <f>HYPERLINK("https://klasma.github.io/Logging_0331/klagomålsmail/A 27871-2023 FSC-klagomål mail.docx", "A 27871-2023")</f>
        <v/>
      </c>
      <c r="AC59">
        <f>HYPERLINK("https://klasma.github.io/Logging_0331/tillsyn/A 27871-2023 tillsynsbegäran.docx", "A 27871-2023")</f>
        <v/>
      </c>
      <c r="AD59">
        <f>HYPERLINK("https://klasma.github.io/Logging_0331/tillsynsmail/A 27871-2023 tillsynsbegäran mail.docx", "A 27871-2023")</f>
        <v/>
      </c>
    </row>
    <row r="60" ht="15" customHeight="1">
      <c r="A60" t="inlineStr">
        <is>
          <t>A 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46315</v>
      </c>
      <c r="F60" t="inlineStr">
        <is>
          <t>UPPSALA LÄN</t>
        </is>
      </c>
      <c r="G60" t="inlineStr">
        <is>
          <t>HEBY</t>
        </is>
      </c>
      <c r="I60" t="n">
        <v>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11</v>
      </c>
      <c r="U60" t="n">
        <v>0</v>
      </c>
      <c r="V60" s="2" t="inlineStr">
        <is>
          <t>Motaggsvamp</t>
        </is>
      </c>
      <c r="W60">
        <f>HYPERLINK("https://klasma.github.io/Logging_0331/artfynd/A 8624-2024 artfynd.xlsx", "A 8624-2024")</f>
        <v/>
      </c>
      <c r="X60">
        <f>HYPERLINK("https://klasma.github.io/Logging_0331/kartor/A 8624-2024 karta.png", "A 8624-2024")</f>
        <v/>
      </c>
      <c r="Y60">
        <f>HYPERLINK("https://klasma.github.io/Logging_0331/kartor_geotiff/A 8624-2024 georefererad karta.tif", "A 8624-2024")</f>
        <v/>
      </c>
      <c r="AA60">
        <f>HYPERLINK("https://klasma.github.io/Logging_0331/klagomål/A 8624-2024 FSC-klagomål.docx", "A 8624-2024")</f>
        <v/>
      </c>
      <c r="AB60">
        <f>HYPERLINK("https://klasma.github.io/Logging_0331/klagomålsmail/A 8624-2024 FSC-klagomål mail.docx", "A 8624-2024")</f>
        <v/>
      </c>
      <c r="AC60">
        <f>HYPERLINK("https://klasma.github.io/Logging_0331/tillsyn/A 8624-2024 tillsynsbegäran.docx", "A 8624-2024")</f>
        <v/>
      </c>
      <c r="AD60">
        <f>HYPERLINK("https://klasma.github.io/Logging_0331/tillsynsmail/A 8624-2024 tillsynsbegäran mail.docx", "A 8624-2024")</f>
        <v/>
      </c>
    </row>
    <row r="61" ht="15" customHeight="1">
      <c r="A61" t="inlineStr">
        <is>
          <t>A 31569-2023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46315</v>
      </c>
      <c r="F61" t="inlineStr">
        <is>
          <t>UPPSALA LÄN</t>
        </is>
      </c>
      <c r="G61" t="inlineStr">
        <is>
          <t>HEBY</t>
        </is>
      </c>
      <c r="I61" t="n">
        <v>2.5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HYPERLINK("https://klasma.github.io/Logging_0331/artfynd/A 31569-2023 artfynd.xlsx", "A 31569-2023")</f>
        <v/>
      </c>
      <c r="X61">
        <f>HYPERLINK("https://klasma.github.io/Logging_0331/kartor/A 31569-2023 karta.png", "A 31569-2023")</f>
        <v/>
      </c>
      <c r="Y61">
        <f>HYPERLINK("https://klasma.github.io/Logging_0331/kartor_geotiff/A 31569-2023 georefererad karta.tif", "A 31569-2023")</f>
        <v/>
      </c>
      <c r="Z61">
        <f>HYPERLINK("https://klasma.github.io/Logging_0331/knärot/A 31569-2023 karta knärot.png", "A 31569-2023")</f>
        <v/>
      </c>
      <c r="AA61">
        <f>HYPERLINK("https://klasma.github.io/Logging_0331/klagomål/A 31569-2023 FSC-klagomål.docx", "A 31569-2023")</f>
        <v/>
      </c>
      <c r="AB61">
        <f>HYPERLINK("https://klasma.github.io/Logging_0331/klagomålsmail/A 31569-2023 FSC-klagomål mail.docx", "A 31569-2023")</f>
        <v/>
      </c>
      <c r="AC61">
        <f>HYPERLINK("https://klasma.github.io/Logging_0331/tillsyn/A 31569-2023 tillsynsbegäran.docx", "A 31569-2023")</f>
        <v/>
      </c>
      <c r="AD61">
        <f>HYPERLINK("https://klasma.github.io/Logging_0331/tillsynsmail/A 31569-2023 tillsynsbegäran mail.docx", "A 31569-2023")</f>
        <v/>
      </c>
    </row>
    <row r="62" ht="15" customHeight="1">
      <c r="A62" t="inlineStr">
        <is>
          <t>A 26596-2024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45469</v>
      </c>
      <c r="E62" s="1" t="n">
        <v>46315</v>
      </c>
      <c r="F62" t="inlineStr">
        <is>
          <t>UPPSALA LÄN</t>
        </is>
      </c>
      <c r="G62" t="inlineStr">
        <is>
          <t>HEBY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Stenichnus poweri</t>
        </is>
      </c>
      <c r="W62">
        <f>HYPERLINK("https://klasma.github.io/Logging_0331/artfynd/A 26596-2024 artfynd.xlsx", "A 26596-2024")</f>
        <v/>
      </c>
      <c r="X62">
        <f>HYPERLINK("https://klasma.github.io/Logging_0331/kartor/A 26596-2024 karta.png", "A 26596-2024")</f>
        <v/>
      </c>
      <c r="Y62">
        <f>HYPERLINK("https://klasma.github.io/Logging_0331/kartor_geotiff/A 26596-2024 georefererad karta.tif", "A 26596-2024")</f>
        <v/>
      </c>
      <c r="AA62">
        <f>HYPERLINK("https://klasma.github.io/Logging_0331/klagomål/A 26596-2024 FSC-klagomål.docx", "A 26596-2024")</f>
        <v/>
      </c>
      <c r="AB62">
        <f>HYPERLINK("https://klasma.github.io/Logging_0331/klagomålsmail/A 26596-2024 FSC-klagomål mail.docx", "A 26596-2024")</f>
        <v/>
      </c>
      <c r="AC62">
        <f>HYPERLINK("https://klasma.github.io/Logging_0331/tillsyn/A 26596-2024 tillsynsbegäran.docx", "A 26596-2024")</f>
        <v/>
      </c>
      <c r="AD62">
        <f>HYPERLINK("https://klasma.github.io/Logging_0331/tillsynsmail/A 26596-2024 tillsynsbegäran mail.docx", "A 26596-2024")</f>
        <v/>
      </c>
    </row>
    <row r="63" ht="15" customHeight="1">
      <c r="A63" t="inlineStr">
        <is>
          <t>A 53992-2023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46315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Igelkott</t>
        </is>
      </c>
      <c r="W63">
        <f>HYPERLINK("https://klasma.github.io/Logging_0331/artfynd/A 53992-2023 artfynd.xlsx", "A 53992-2023")</f>
        <v/>
      </c>
      <c r="X63">
        <f>HYPERLINK("https://klasma.github.io/Logging_0331/kartor/A 53992-2023 karta.png", "A 53992-2023")</f>
        <v/>
      </c>
      <c r="Y63">
        <f>HYPERLINK("https://klasma.github.io/Logging_0331/kartor_geotiff/A 53992-2023 georefererad karta.tif", "A 53992-2023")</f>
        <v/>
      </c>
      <c r="AA63">
        <f>HYPERLINK("https://klasma.github.io/Logging_0331/klagomål/A 53992-2023 FSC-klagomål.docx", "A 53992-2023")</f>
        <v/>
      </c>
      <c r="AB63">
        <f>HYPERLINK("https://klasma.github.io/Logging_0331/klagomålsmail/A 53992-2023 FSC-klagomål mail.docx", "A 53992-2023")</f>
        <v/>
      </c>
      <c r="AC63">
        <f>HYPERLINK("https://klasma.github.io/Logging_0331/tillsyn/A 53992-2023 tillsynsbegäran.docx", "A 53992-2023")</f>
        <v/>
      </c>
      <c r="AD63">
        <f>HYPERLINK("https://klasma.github.io/Logging_0331/tillsynsmail/A 53992-2023 tillsynsbegäran mail.docx", "A 53992-2023")</f>
        <v/>
      </c>
    </row>
    <row r="64" ht="15" customHeight="1">
      <c r="A64" t="inlineStr">
        <is>
          <t>A 9358-2026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46315</v>
      </c>
      <c r="F64" t="inlineStr">
        <is>
          <t>UPPSALA LÄN</t>
        </is>
      </c>
      <c r="G64" t="inlineStr">
        <is>
          <t>HEBY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HYPERLINK("https://klasma.github.io/Logging_0331/artfynd/A 9358-2026 artfynd.xlsx", "A 9358-2026")</f>
        <v/>
      </c>
      <c r="X64">
        <f>HYPERLINK("https://klasma.github.io/Logging_0331/kartor/A 9358-2026 karta.png", "A 9358-2026")</f>
        <v/>
      </c>
      <c r="Y64">
        <f>HYPERLINK("https://klasma.github.io/Logging_0331/kartor_geotiff/A 9358-2026 georefererad karta.tif", "A 9358-2026")</f>
        <v/>
      </c>
      <c r="AA64">
        <f>HYPERLINK("https://klasma.github.io/Logging_0331/klagomål/A 9358-2026 FSC-klagomål.docx", "A 9358-2026")</f>
        <v/>
      </c>
      <c r="AB64">
        <f>HYPERLINK("https://klasma.github.io/Logging_0331/klagomålsmail/A 9358-2026 FSC-klagomål mail.docx", "A 9358-2026")</f>
        <v/>
      </c>
      <c r="AC64">
        <f>HYPERLINK("https://klasma.github.io/Logging_0331/tillsyn/A 9358-2026 tillsynsbegäran.docx", "A 9358-2026")</f>
        <v/>
      </c>
      <c r="AD64">
        <f>HYPERLINK("https://klasma.github.io/Logging_0331/tillsynsmail/A 9358-2026 tillsynsbegäran mail.docx", "A 9358-2026")</f>
        <v/>
      </c>
    </row>
    <row r="65" ht="15" customHeight="1">
      <c r="A65" t="inlineStr">
        <is>
          <t>A 9455-2026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46315</v>
      </c>
      <c r="F65" t="inlineStr">
        <is>
          <t>UPPSALA LÄN</t>
        </is>
      </c>
      <c r="G65" t="inlineStr">
        <is>
          <t>HEBY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Kungsspindling</t>
        </is>
      </c>
      <c r="W65">
        <f>HYPERLINK("https://klasma.github.io/Logging_0331/artfynd/A 9455-2026 artfynd.xlsx", "A 9455-2026")</f>
        <v/>
      </c>
      <c r="X65">
        <f>HYPERLINK("https://klasma.github.io/Logging_0331/kartor/A 9455-2026 karta.png", "A 9455-2026")</f>
        <v/>
      </c>
      <c r="Y65">
        <f>HYPERLINK("https://klasma.github.io/Logging_0331/kartor_geotiff/A 9455-2026 georefererad karta.tif", "A 9455-2026")</f>
        <v/>
      </c>
      <c r="AA65">
        <f>HYPERLINK("https://klasma.github.io/Logging_0331/klagomål/A 9455-2026 FSC-klagomål.docx", "A 9455-2026")</f>
        <v/>
      </c>
      <c r="AB65">
        <f>HYPERLINK("https://klasma.github.io/Logging_0331/klagomålsmail/A 9455-2026 FSC-klagomål mail.docx", "A 9455-2026")</f>
        <v/>
      </c>
      <c r="AC65">
        <f>HYPERLINK("https://klasma.github.io/Logging_0331/tillsyn/A 9455-2026 tillsynsbegäran.docx", "A 9455-2026")</f>
        <v/>
      </c>
      <c r="AD65">
        <f>HYPERLINK("https://klasma.github.io/Logging_0331/tillsynsmail/A 9455-2026 tillsynsbegäran mail.docx", "A 9455-2026")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46315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63940-2023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45278</v>
      </c>
      <c r="E67" s="1" t="n">
        <v>46315</v>
      </c>
      <c r="F67" t="inlineStr">
        <is>
          <t>UPPSALA LÄN</t>
        </is>
      </c>
      <c r="G67" t="inlineStr">
        <is>
          <t>HEBY</t>
        </is>
      </c>
      <c r="I67" t="n">
        <v>2.4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Gullpudra</t>
        </is>
      </c>
      <c r="W67">
        <f>HYPERLINK("https://klasma.github.io/Logging_0331/artfynd/A 63940-2023 artfynd.xlsx", "A 63940-2023")</f>
        <v/>
      </c>
      <c r="X67">
        <f>HYPERLINK("https://klasma.github.io/Logging_0331/kartor/A 63940-2023 karta.png", "A 63940-2023")</f>
        <v/>
      </c>
      <c r="Y67">
        <f>HYPERLINK("https://klasma.github.io/Logging_0331/kartor_geotiff/A 63940-2023 georefererad karta.tif", "A 63940-2023")</f>
        <v/>
      </c>
      <c r="AA67">
        <f>HYPERLINK("https://klasma.github.io/Logging_0331/klagomål/A 63940-2023 FSC-klagomål.docx", "A 63940-2023")</f>
        <v/>
      </c>
      <c r="AB67">
        <f>HYPERLINK("https://klasma.github.io/Logging_0331/klagomålsmail/A 63940-2023 FSC-klagomål mail.docx", "A 63940-2023")</f>
        <v/>
      </c>
      <c r="AC67">
        <f>HYPERLINK("https://klasma.github.io/Logging_0331/tillsyn/A 63940-2023 tillsynsbegäran.docx", "A 63940-2023")</f>
        <v/>
      </c>
      <c r="AD67">
        <f>HYPERLINK("https://klasma.github.io/Logging_0331/tillsynsmail/A 63940-2023 tillsynsbegäran mail.docx", "A 63940-2023")</f>
        <v/>
      </c>
    </row>
    <row r="68" ht="15" customHeight="1">
      <c r="A68" t="inlineStr">
        <is>
          <t>A 11841-2026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46315</v>
      </c>
      <c r="F68" t="inlineStr">
        <is>
          <t>UPPSALA LÄN</t>
        </is>
      </c>
      <c r="G68" t="inlineStr">
        <is>
          <t>HEBY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Stor aspticka</t>
        </is>
      </c>
      <c r="W68">
        <f>HYPERLINK("https://klasma.github.io/Logging_0331/artfynd/A 11841-2026 artfynd.xlsx", "A 11841-2026")</f>
        <v/>
      </c>
      <c r="X68">
        <f>HYPERLINK("https://klasma.github.io/Logging_0331/kartor/A 11841-2026 karta.png", "A 11841-2026")</f>
        <v/>
      </c>
      <c r="Y68">
        <f>HYPERLINK("https://klasma.github.io/Logging_0331/kartor_geotiff/A 11841-2026 georefererad karta.tif", "A 11841-2026")</f>
        <v/>
      </c>
      <c r="AA68">
        <f>HYPERLINK("https://klasma.github.io/Logging_0331/klagomål/A 11841-2026 FSC-klagomål.docx", "A 11841-2026")</f>
        <v/>
      </c>
      <c r="AB68">
        <f>HYPERLINK("https://klasma.github.io/Logging_0331/klagomålsmail/A 11841-2026 FSC-klagomål mail.docx", "A 11841-2026")</f>
        <v/>
      </c>
      <c r="AC68">
        <f>HYPERLINK("https://klasma.github.io/Logging_0331/tillsyn/A 11841-2026 tillsynsbegäran.docx", "A 11841-2026")</f>
        <v/>
      </c>
      <c r="AD68">
        <f>HYPERLINK("https://klasma.github.io/Logging_0331/tillsynsmail/A 11841-2026 tillsynsbegäran mail.docx", "A 11841-2026")</f>
        <v/>
      </c>
    </row>
    <row r="69" ht="15" customHeight="1">
      <c r="A69" t="inlineStr">
        <is>
          <t>A 55763-2025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45972</v>
      </c>
      <c r="E69" s="1" t="n">
        <v>46315</v>
      </c>
      <c r="F69" t="inlineStr">
        <is>
          <t>UPPSALA LÄN</t>
        </is>
      </c>
      <c r="G69" t="inlineStr">
        <is>
          <t>HEBY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Kandelabersvamp</t>
        </is>
      </c>
      <c r="W69">
        <f>HYPERLINK("https://klasma.github.io/Logging_0331/artfynd/A 55763-2025 artfynd.xlsx", "A 55763-2025")</f>
        <v/>
      </c>
      <c r="X69">
        <f>HYPERLINK("https://klasma.github.io/Logging_0331/kartor/A 55763-2025 karta.png", "A 55763-2025")</f>
        <v/>
      </c>
      <c r="Y69">
        <f>HYPERLINK("https://klasma.github.io/Logging_0331/kartor_geotiff/A 55763-2025 georefererad karta.tif", "A 55763-2025")</f>
        <v/>
      </c>
      <c r="AA69">
        <f>HYPERLINK("https://klasma.github.io/Logging_0331/klagomål/A 55763-2025 FSC-klagomål.docx", "A 55763-2025")</f>
        <v/>
      </c>
      <c r="AB69">
        <f>HYPERLINK("https://klasma.github.io/Logging_0331/klagomålsmail/A 55763-2025 FSC-klagomål mail.docx", "A 55763-2025")</f>
        <v/>
      </c>
      <c r="AC69">
        <f>HYPERLINK("https://klasma.github.io/Logging_0331/tillsyn/A 55763-2025 tillsynsbegäran.docx", "A 55763-2025")</f>
        <v/>
      </c>
      <c r="AD69">
        <f>HYPERLINK("https://klasma.github.io/Logging_0331/tillsynsmail/A 55763-2025 tillsynsbegäran mail.docx", "A 55763-2025")</f>
        <v/>
      </c>
    </row>
    <row r="70" ht="15" customHeight="1">
      <c r="A70" t="inlineStr">
        <is>
          <t>A 19751-2023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46315</v>
      </c>
      <c r="F70" t="inlineStr">
        <is>
          <t>UPPSALA LÄN</t>
        </is>
      </c>
      <c r="G70" t="inlineStr">
        <is>
          <t>HEBY</t>
        </is>
      </c>
      <c r="H70" t="inlineStr">
        <is>
          <t>Bergvik skog väst AB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Blåsippa</t>
        </is>
      </c>
      <c r="W70">
        <f>HYPERLINK("https://klasma.github.io/Logging_0331/artfynd/A 19751-2023 artfynd.xlsx", "A 19751-2023")</f>
        <v/>
      </c>
      <c r="X70">
        <f>HYPERLINK("https://klasma.github.io/Logging_0331/kartor/A 19751-2023 karta.png", "A 19751-2023")</f>
        <v/>
      </c>
      <c r="Y70">
        <f>HYPERLINK("https://klasma.github.io/Logging_0331/kartor_geotiff/A 19751-2023 georefererad karta.tif", "A 19751-2023")</f>
        <v/>
      </c>
      <c r="Z70">
        <f>HYPERLINK("https://klasma.github.io/Logging_0331/knärot/A 19751-2023 karta knärot.png", "A 19751-2023")</f>
        <v/>
      </c>
      <c r="AA70">
        <f>HYPERLINK("https://klasma.github.io/Logging_0331/klagomål/A 19751-2023 FSC-klagomål.docx", "A 19751-2023")</f>
        <v/>
      </c>
      <c r="AB70">
        <f>HYPERLINK("https://klasma.github.io/Logging_0331/klagomålsmail/A 19751-2023 FSC-klagomål mail.docx", "A 19751-2023")</f>
        <v/>
      </c>
      <c r="AC70">
        <f>HYPERLINK("https://klasma.github.io/Logging_0331/tillsyn/A 19751-2023 tillsynsbegäran.docx", "A 19751-2023")</f>
        <v/>
      </c>
      <c r="AD70">
        <f>HYPERLINK("https://klasma.github.io/Logging_0331/tillsynsmail/A 19751-2023 tillsynsbegäran mail.docx", "A 19751-2023")</f>
        <v/>
      </c>
    </row>
    <row r="71" ht="15" customHeight="1">
      <c r="A71" t="inlineStr">
        <is>
          <t>A 54368-2024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45617</v>
      </c>
      <c r="E71" s="1" t="n">
        <v>46315</v>
      </c>
      <c r="F71" t="inlineStr">
        <is>
          <t>UPPSALA LÄN</t>
        </is>
      </c>
      <c r="G71" t="inlineStr">
        <is>
          <t>HEBY</t>
        </is>
      </c>
      <c r="H71" t="inlineStr">
        <is>
          <t>Allmännings- och besparingsskogar</t>
        </is>
      </c>
      <c r="I71" t="n">
        <v>13.9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Talltita</t>
        </is>
      </c>
      <c r="W71">
        <f>HYPERLINK("https://klasma.github.io/Logging_0331/artfynd/A 54368-2024 artfynd.xlsx", "A 54368-2024")</f>
        <v/>
      </c>
      <c r="X71">
        <f>HYPERLINK("https://klasma.github.io/Logging_0331/kartor/A 54368-2024 karta.png", "A 54368-2024")</f>
        <v/>
      </c>
      <c r="Y71">
        <f>HYPERLINK("https://klasma.github.io/Logging_0331/kartor_geotiff/A 54368-2024 georefererad karta.tif", "A 54368-2024")</f>
        <v/>
      </c>
      <c r="AA71">
        <f>HYPERLINK("https://klasma.github.io/Logging_0331/klagomål/A 54368-2024 FSC-klagomål.docx", "A 54368-2024")</f>
        <v/>
      </c>
      <c r="AB71">
        <f>HYPERLINK("https://klasma.github.io/Logging_0331/klagomålsmail/A 54368-2024 FSC-klagomål mail.docx", "A 54368-2024")</f>
        <v/>
      </c>
      <c r="AC71">
        <f>HYPERLINK("https://klasma.github.io/Logging_0331/tillsyn/A 54368-2024 tillsynsbegäran.docx", "A 54368-2024")</f>
        <v/>
      </c>
      <c r="AD71">
        <f>HYPERLINK("https://klasma.github.io/Logging_0331/tillsynsmail/A 54368-2024 tillsynsbegäran mail.docx", "A 54368-2024")</f>
        <v/>
      </c>
      <c r="AE71">
        <f>HYPERLINK("https://klasma.github.io/Logging_0331/fåglar/A 54368-2024 prioriterade fågelarter.docx", "A 54368-2024")</f>
        <v/>
      </c>
    </row>
    <row r="72" ht="15" customHeight="1">
      <c r="A72" t="inlineStr">
        <is>
          <t>A 49707-2023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45208</v>
      </c>
      <c r="E72" s="1" t="n">
        <v>46315</v>
      </c>
      <c r="F72" t="inlineStr">
        <is>
          <t>UPPSALA LÄN</t>
        </is>
      </c>
      <c r="G72" t="inlineStr">
        <is>
          <t>HEBY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Granbarkgnagare</t>
        </is>
      </c>
      <c r="W72">
        <f>HYPERLINK("https://klasma.github.io/Logging_0331/artfynd/A 49707-2023 artfynd.xlsx", "A 49707-2023")</f>
        <v/>
      </c>
      <c r="X72">
        <f>HYPERLINK("https://klasma.github.io/Logging_0331/kartor/A 49707-2023 karta.png", "A 49707-2023")</f>
        <v/>
      </c>
      <c r="Y72">
        <f>HYPERLINK("https://klasma.github.io/Logging_0331/kartor_geotiff/A 49707-2023 georefererad karta.tif", "A 49707-2023")</f>
        <v/>
      </c>
      <c r="AA72">
        <f>HYPERLINK("https://klasma.github.io/Logging_0331/klagomål/A 49707-2023 FSC-klagomål.docx", "A 49707-2023")</f>
        <v/>
      </c>
      <c r="AB72">
        <f>HYPERLINK("https://klasma.github.io/Logging_0331/klagomålsmail/A 49707-2023 FSC-klagomål mail.docx", "A 49707-2023")</f>
        <v/>
      </c>
      <c r="AC72">
        <f>HYPERLINK("https://klasma.github.io/Logging_0331/tillsyn/A 49707-2023 tillsynsbegäran.docx", "A 49707-2023")</f>
        <v/>
      </c>
      <c r="AD72">
        <f>HYPERLINK("https://klasma.github.io/Logging_0331/tillsynsmail/A 49707-2023 tillsynsbegäran mail.docx", "A 49707-2023")</f>
        <v/>
      </c>
    </row>
    <row r="73" ht="15" customHeight="1">
      <c r="A73" t="inlineStr">
        <is>
          <t>A 11011-2025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46315</v>
      </c>
      <c r="F73" t="inlineStr">
        <is>
          <t>UPPSALA LÄN</t>
        </is>
      </c>
      <c r="G73" t="inlineStr">
        <is>
          <t>HEBY</t>
        </is>
      </c>
      <c r="H73" t="inlineStr">
        <is>
          <t>Kyrkan</t>
        </is>
      </c>
      <c r="I73" t="n">
        <v>2.6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Motaggsvamp</t>
        </is>
      </c>
      <c r="W73">
        <f>HYPERLINK("https://klasma.github.io/Logging_0331/artfynd/A 11011-2025 artfynd.xlsx", "A 11011-2025")</f>
        <v/>
      </c>
      <c r="X73">
        <f>HYPERLINK("https://klasma.github.io/Logging_0331/kartor/A 11011-2025 karta.png", "A 11011-2025")</f>
        <v/>
      </c>
      <c r="Y73">
        <f>HYPERLINK("https://klasma.github.io/Logging_0331/kartor_geotiff/A 11011-2025 georefererad karta.tif", "A 11011-2025")</f>
        <v/>
      </c>
      <c r="AA73">
        <f>HYPERLINK("https://klasma.github.io/Logging_0331/klagomål/A 11011-2025 FSC-klagomål.docx", "A 11011-2025")</f>
        <v/>
      </c>
      <c r="AB73">
        <f>HYPERLINK("https://klasma.github.io/Logging_0331/klagomålsmail/A 11011-2025 FSC-klagomål mail.docx", "A 11011-2025")</f>
        <v/>
      </c>
      <c r="AC73">
        <f>HYPERLINK("https://klasma.github.io/Logging_0331/tillsyn/A 11011-2025 tillsynsbegäran.docx", "A 11011-2025")</f>
        <v/>
      </c>
      <c r="AD73">
        <f>HYPERLINK("https://klasma.github.io/Logging_0331/tillsynsmail/A 11011-2025 tillsynsbegäran mail.docx", "A 11011-2025")</f>
        <v/>
      </c>
    </row>
    <row r="74" ht="15" customHeight="1">
      <c r="A74" t="inlineStr">
        <is>
          <t>A 19555-2025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45770</v>
      </c>
      <c r="E74" s="1" t="n">
        <v>46315</v>
      </c>
      <c r="F74" t="inlineStr">
        <is>
          <t>UPPSALA LÄN</t>
        </is>
      </c>
      <c r="G74" t="inlineStr">
        <is>
          <t>HEBY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Sparvuggla</t>
        </is>
      </c>
      <c r="W74">
        <f>HYPERLINK("https://klasma.github.io/Logging_0331/artfynd/A 19555-2025 artfynd.xlsx", "A 19555-2025")</f>
        <v/>
      </c>
      <c r="X74">
        <f>HYPERLINK("https://klasma.github.io/Logging_0331/kartor/A 19555-2025 karta.png", "A 19555-2025")</f>
        <v/>
      </c>
      <c r="Y74">
        <f>HYPERLINK("https://klasma.github.io/Logging_0331/kartor_geotiff/A 19555-2025 georefererad karta.tif", "A 19555-2025")</f>
        <v/>
      </c>
      <c r="AA74">
        <f>HYPERLINK("https://klasma.github.io/Logging_0331/klagomål/A 19555-2025 FSC-klagomål.docx", "A 19555-2025")</f>
        <v/>
      </c>
      <c r="AB74">
        <f>HYPERLINK("https://klasma.github.io/Logging_0331/klagomålsmail/A 19555-2025 FSC-klagomål mail.docx", "A 19555-2025")</f>
        <v/>
      </c>
      <c r="AC74">
        <f>HYPERLINK("https://klasma.github.io/Logging_0331/tillsyn/A 19555-2025 tillsynsbegäran.docx", "A 19555-2025")</f>
        <v/>
      </c>
      <c r="AD74">
        <f>HYPERLINK("https://klasma.github.io/Logging_0331/tillsynsmail/A 19555-2025 tillsynsbegäran mail.docx", "A 19555-2025")</f>
        <v/>
      </c>
      <c r="AE74">
        <f>HYPERLINK("https://klasma.github.io/Logging_0331/fåglar/A 19555-2025 prioriterade fågelarter.docx", "A 19555-2025")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46315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55663-2024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46315</v>
      </c>
      <c r="F76" t="inlineStr">
        <is>
          <t>UPPSALA LÄN</t>
        </is>
      </c>
      <c r="G76" t="inlineStr">
        <is>
          <t>HEBY</t>
        </is>
      </c>
      <c r="H76" t="inlineStr">
        <is>
          <t>Bergvik skog väst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HYPERLINK("https://klasma.github.io/Logging_0331/artfynd/A 55663-2024 artfynd.xlsx", "A 55663-2024")</f>
        <v/>
      </c>
      <c r="X76">
        <f>HYPERLINK("https://klasma.github.io/Logging_0331/kartor/A 55663-2024 karta.png", "A 55663-2024")</f>
        <v/>
      </c>
      <c r="Y76">
        <f>HYPERLINK("https://klasma.github.io/Logging_0331/kartor_geotiff/A 55663-2024 georefererad karta.tif", "A 55663-2024")</f>
        <v/>
      </c>
      <c r="AA76">
        <f>HYPERLINK("https://klasma.github.io/Logging_0331/klagomål/A 55663-2024 FSC-klagomål.docx", "A 55663-2024")</f>
        <v/>
      </c>
      <c r="AB76">
        <f>HYPERLINK("https://klasma.github.io/Logging_0331/klagomålsmail/A 55663-2024 FSC-klagomål mail.docx", "A 55663-2024")</f>
        <v/>
      </c>
      <c r="AC76">
        <f>HYPERLINK("https://klasma.github.io/Logging_0331/tillsyn/A 55663-2024 tillsynsbegäran.docx", "A 55663-2024")</f>
        <v/>
      </c>
      <c r="AD76">
        <f>HYPERLINK("https://klasma.github.io/Logging_0331/tillsynsmail/A 55663-2024 tillsynsbegäran mail.docx", "A 55663-2024")</f>
        <v/>
      </c>
    </row>
    <row r="77" ht="15" customHeight="1">
      <c r="A77" t="inlineStr">
        <is>
          <t>A 20530-2026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46315</v>
      </c>
      <c r="F77" t="inlineStr">
        <is>
          <t>UPPSALA LÄN</t>
        </is>
      </c>
      <c r="G77" t="inlineStr">
        <is>
          <t>HEBY</t>
        </is>
      </c>
      <c r="I77" t="n">
        <v>5.3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Björksplintborre</t>
        </is>
      </c>
      <c r="W77">
        <f>HYPERLINK("https://klasma.github.io/Logging_0331/artfynd/A 20530-2026 artfynd.xlsx", "A 20530-2026")</f>
        <v/>
      </c>
      <c r="X77">
        <f>HYPERLINK("https://klasma.github.io/Logging_0331/kartor/A 20530-2026 karta.png", "A 20530-2026")</f>
        <v/>
      </c>
      <c r="Y77">
        <f>HYPERLINK("https://klasma.github.io/Logging_0331/kartor_geotiff/A 20530-2026 georefererad karta.tif", "A 20530-2026")</f>
        <v/>
      </c>
      <c r="AA77">
        <f>HYPERLINK("https://klasma.github.io/Logging_0331/klagomål/A 20530-2026 FSC-klagomål.docx", "A 20530-2026")</f>
        <v/>
      </c>
      <c r="AB77">
        <f>HYPERLINK("https://klasma.github.io/Logging_0331/klagomålsmail/A 20530-2026 FSC-klagomål mail.docx", "A 20530-2026")</f>
        <v/>
      </c>
      <c r="AC77">
        <f>HYPERLINK("https://klasma.github.io/Logging_0331/tillsyn/A 20530-2026 tillsynsbegäran.docx", "A 20530-2026")</f>
        <v/>
      </c>
      <c r="AD77">
        <f>HYPERLINK("https://klasma.github.io/Logging_0331/tillsynsmail/A 20530-2026 tillsynsbegäran mail.docx", "A 20530-2026")</f>
        <v/>
      </c>
    </row>
    <row r="78" ht="15" customHeight="1">
      <c r="A78" t="inlineStr">
        <is>
          <t>A 3374-2024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45317</v>
      </c>
      <c r="E78" s="1" t="n">
        <v>46315</v>
      </c>
      <c r="F78" t="inlineStr">
        <is>
          <t>UPPSALA LÄN</t>
        </is>
      </c>
      <c r="G78" t="inlineStr">
        <is>
          <t>HEBY</t>
        </is>
      </c>
      <c r="I78" t="n">
        <v>8.4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Berggräsfjäril</t>
        </is>
      </c>
      <c r="W78">
        <f>HYPERLINK("https://klasma.github.io/Logging_0331/artfynd/A 3374-2024 artfynd.xlsx", "A 3374-2024")</f>
        <v/>
      </c>
      <c r="X78">
        <f>HYPERLINK("https://klasma.github.io/Logging_0331/kartor/A 3374-2024 karta.png", "A 3374-2024")</f>
        <v/>
      </c>
      <c r="Y78">
        <f>HYPERLINK("https://klasma.github.io/Logging_0331/kartor_geotiff/A 3374-2024 georefererad karta.tif", "A 3374-2024")</f>
        <v/>
      </c>
      <c r="AA78">
        <f>HYPERLINK("https://klasma.github.io/Logging_0331/klagomål/A 3374-2024 FSC-klagomål.docx", "A 3374-2024")</f>
        <v/>
      </c>
      <c r="AB78">
        <f>HYPERLINK("https://klasma.github.io/Logging_0331/klagomålsmail/A 3374-2024 FSC-klagomål mail.docx", "A 3374-2024")</f>
        <v/>
      </c>
      <c r="AC78">
        <f>HYPERLINK("https://klasma.github.io/Logging_0331/tillsyn/A 3374-2024 tillsynsbegäran.docx", "A 3374-2024")</f>
        <v/>
      </c>
      <c r="AD78">
        <f>HYPERLINK("https://klasma.github.io/Logging_0331/tillsynsmail/A 3374-2024 tillsynsbegäran mail.docx", "A 3374-2024")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46315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40506-2026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46295</v>
      </c>
      <c r="E80" s="1" t="n">
        <v>46315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7.1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 glada</t>
        </is>
      </c>
      <c r="W80">
        <f>HYPERLINK("https://klasma.github.io/Logging_0331/artfynd/A 40506-2026 artfynd.xlsx", "A 40506-2026")</f>
        <v/>
      </c>
      <c r="X80">
        <f>HYPERLINK("https://klasma.github.io/Logging_0331/kartor/A 40506-2026 karta.png", "A 40506-2026")</f>
        <v/>
      </c>
      <c r="Y80">
        <f>HYPERLINK("https://klasma.github.io/Logging_0331/kartor_geotiff/A 40506-2026 georefererad karta.tif", "A 40506-2026")</f>
        <v/>
      </c>
      <c r="AA80">
        <f>HYPERLINK("https://klasma.github.io/Logging_0331/klagomål/A 40506-2026 FSC-klagomål.docx", "A 40506-2026")</f>
        <v/>
      </c>
      <c r="AB80">
        <f>HYPERLINK("https://klasma.github.io/Logging_0331/klagomålsmail/A 40506-2026 FSC-klagomål mail.docx", "A 40506-2026")</f>
        <v/>
      </c>
      <c r="AC80">
        <f>HYPERLINK("https://klasma.github.io/Logging_0331/tillsyn/A 40506-2026 tillsynsbegäran.docx", "A 40506-2026")</f>
        <v/>
      </c>
      <c r="AD80">
        <f>HYPERLINK("https://klasma.github.io/Logging_0331/tillsynsmail/A 40506-2026 tillsynsbegäran mail.docx", "A 40506-2026")</f>
        <v/>
      </c>
      <c r="AE80">
        <f>HYPERLINK("https://klasma.github.io/Logging_0331/fåglar/A 40506-2026 prioriterade fågelarter.docx", "A 40506-2026")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46315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46315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46315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A 42736-2026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46309</v>
      </c>
      <c r="E84" s="1" t="n">
        <v>46315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HYPERLINK("https://klasma.github.io/Logging_0331/artfynd/A 42736-2026 artfynd.xlsx", "A 42736-2026")</f>
        <v/>
      </c>
      <c r="X84">
        <f>HYPERLINK("https://klasma.github.io/Logging_0331/kartor/A 42736-2026 karta.png", "A 42736-2026")</f>
        <v/>
      </c>
      <c r="Y84">
        <f>HYPERLINK("https://klasma.github.io/Logging_0331/kartor_geotiff/A 42736-2026 georefererad karta.tif", "A 42736-2026")</f>
        <v/>
      </c>
      <c r="AA84">
        <f>HYPERLINK("https://klasma.github.io/Logging_0331/klagomål/A 42736-2026 FSC-klagomål.docx", "A 42736-2026")</f>
        <v/>
      </c>
      <c r="AB84">
        <f>HYPERLINK("https://klasma.github.io/Logging_0331/klagomålsmail/A 42736-2026 FSC-klagomål mail.docx", "A 42736-2026")</f>
        <v/>
      </c>
      <c r="AC84">
        <f>HYPERLINK("https://klasma.github.io/Logging_0331/tillsyn/A 42736-2026 tillsynsbegäran.docx", "A 42736-2026")</f>
        <v/>
      </c>
      <c r="AD84">
        <f>HYPERLINK("https://klasma.github.io/Logging_0331/tillsynsmail/A 42736-2026 tillsynsbegäran mail.docx", "A 42736-2026")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46315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46315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46315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46315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46315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46315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46315</v>
      </c>
      <c r="F91" t="inlineStr">
        <is>
          <t>UPPSALA LÄN</t>
        </is>
      </c>
      <c r="G91" t="inlineStr">
        <is>
          <t>HEBY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46315</v>
      </c>
      <c r="F92" t="inlineStr">
        <is>
          <t>UPPSALA LÄN</t>
        </is>
      </c>
      <c r="G92" t="inlineStr">
        <is>
          <t>HEBY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46315</v>
      </c>
      <c r="F93" t="inlineStr">
        <is>
          <t>UPPSALA LÄN</t>
        </is>
      </c>
      <c r="G93" t="inlineStr">
        <is>
          <t>HEBY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46315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46315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46315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46315</v>
      </c>
      <c r="F97" t="inlineStr">
        <is>
          <t>UPPSALA LÄN</t>
        </is>
      </c>
      <c r="G97" t="inlineStr">
        <is>
          <t>HEBY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46315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46315</v>
      </c>
      <c r="F99" t="inlineStr">
        <is>
          <t>UPPSALA LÄN</t>
        </is>
      </c>
      <c r="G99" t="inlineStr">
        <is>
          <t>HEBY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46315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46315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46315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46315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46315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46315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46315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46315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46315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46315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46315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46315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46315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46315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46315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46315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46315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46315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46315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46315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46315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46315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46315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46315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46315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46315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46315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46315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46315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46315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46315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46315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46315</v>
      </c>
      <c r="F132" t="inlineStr">
        <is>
          <t>UPPSALA LÄN</t>
        </is>
      </c>
      <c r="G132" t="inlineStr">
        <is>
          <t>HEBY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44573</v>
      </c>
      <c r="E133" s="1" t="n">
        <v>46315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46315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46315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6885-2024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46315</v>
      </c>
      <c r="F136" t="inlineStr">
        <is>
          <t>UPPSALA LÄN</t>
        </is>
      </c>
      <c r="G136" t="inlineStr">
        <is>
          <t>HEBY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46315</v>
      </c>
      <c r="F137" t="inlineStr">
        <is>
          <t>UPPSALA LÄN</t>
        </is>
      </c>
      <c r="G137" t="inlineStr">
        <is>
          <t>HEBY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45231</v>
      </c>
      <c r="E138" s="1" t="n">
        <v>46315</v>
      </c>
      <c r="F138" t="inlineStr">
        <is>
          <t>UPPSALA LÄN</t>
        </is>
      </c>
      <c r="G138" t="inlineStr">
        <is>
          <t>HEBY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46315</v>
      </c>
      <c r="F139" t="inlineStr">
        <is>
          <t>UPPSALA LÄN</t>
        </is>
      </c>
      <c r="G139" t="inlineStr">
        <is>
          <t>HEBY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45250</v>
      </c>
      <c r="E140" s="1" t="n">
        <v>46315</v>
      </c>
      <c r="F140" t="inlineStr">
        <is>
          <t>UPPSALA LÄN</t>
        </is>
      </c>
      <c r="G140" t="inlineStr">
        <is>
          <t>HEBY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46315</v>
      </c>
      <c r="F141" t="inlineStr">
        <is>
          <t>UPPSALA LÄN</t>
        </is>
      </c>
      <c r="G141" t="inlineStr">
        <is>
          <t>HEBY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46315</v>
      </c>
      <c r="F142" t="inlineStr">
        <is>
          <t>UPPSALA LÄN</t>
        </is>
      </c>
      <c r="G142" t="inlineStr">
        <is>
          <t>HEBY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49971-2022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46315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46315</v>
      </c>
      <c r="F144" t="inlineStr">
        <is>
          <t>UPPSALA LÄN</t>
        </is>
      </c>
      <c r="G144" t="inlineStr">
        <is>
          <t>HEBY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46315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44823</v>
      </c>
      <c r="E146" s="1" t="n">
        <v>46315</v>
      </c>
      <c r="F146" t="inlineStr">
        <is>
          <t>UPPSALA LÄN</t>
        </is>
      </c>
      <c r="G146" t="inlineStr">
        <is>
          <t>HEBY</t>
        </is>
      </c>
      <c r="H146" t="inlineStr">
        <is>
          <t>Övriga Aktiebolag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58332-2023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45250</v>
      </c>
      <c r="E147" s="1" t="n">
        <v>46315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46315</v>
      </c>
      <c r="F148" t="inlineStr">
        <is>
          <t>UPPSALA LÄN</t>
        </is>
      </c>
      <c r="G148" t="inlineStr">
        <is>
          <t>HEBY</t>
        </is>
      </c>
      <c r="I148" t="n">
        <v>10.3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46315</v>
      </c>
      <c r="F149" t="inlineStr">
        <is>
          <t>UPPSALA LÄN</t>
        </is>
      </c>
      <c r="G149" t="inlineStr">
        <is>
          <t>HEBY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44984</v>
      </c>
      <c r="E150" s="1" t="n">
        <v>46315</v>
      </c>
      <c r="F150" t="inlineStr">
        <is>
          <t>UPPSALA LÄN</t>
        </is>
      </c>
      <c r="G150" t="inlineStr">
        <is>
          <t>HEBY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46315</v>
      </c>
      <c r="F151" t="inlineStr">
        <is>
          <t>UPPSALA LÄN</t>
        </is>
      </c>
      <c r="G151" t="inlineStr">
        <is>
          <t>HEBY</t>
        </is>
      </c>
      <c r="H151" t="inlineStr">
        <is>
          <t>Allmännings- och besparingsskogar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46315</v>
      </c>
      <c r="F152" t="inlineStr">
        <is>
          <t>UPPSALA LÄN</t>
        </is>
      </c>
      <c r="G152" t="inlineStr">
        <is>
          <t>HEBY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44925</v>
      </c>
      <c r="E153" s="1" t="n">
        <v>46315</v>
      </c>
      <c r="F153" t="inlineStr">
        <is>
          <t>UPPSALA LÄN</t>
        </is>
      </c>
      <c r="G153" t="inlineStr">
        <is>
          <t>HEBY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44886</v>
      </c>
      <c r="E154" s="1" t="n">
        <v>46315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69377-2021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46315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45339</v>
      </c>
      <c r="E156" s="1" t="n">
        <v>46315</v>
      </c>
      <c r="F156" t="inlineStr">
        <is>
          <t>UPPSALA LÄN</t>
        </is>
      </c>
      <c r="G156" t="inlineStr">
        <is>
          <t>HEBY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45502</v>
      </c>
      <c r="E157" s="1" t="n">
        <v>46315</v>
      </c>
      <c r="F157" t="inlineStr">
        <is>
          <t>UPPSALA LÄN</t>
        </is>
      </c>
      <c r="G157" t="inlineStr">
        <is>
          <t>HEBY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46315</v>
      </c>
      <c r="F158" t="inlineStr">
        <is>
          <t>UPPSALA LÄN</t>
        </is>
      </c>
      <c r="G158" t="inlineStr">
        <is>
          <t>HEBY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46315</v>
      </c>
      <c r="F159" t="inlineStr">
        <is>
          <t>UPPSALA LÄN</t>
        </is>
      </c>
      <c r="G159" t="inlineStr">
        <is>
          <t>HEBY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46315</v>
      </c>
      <c r="F160" t="inlineStr">
        <is>
          <t>UPPSALA LÄN</t>
        </is>
      </c>
      <c r="G160" t="inlineStr">
        <is>
          <t>HEBY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45439</v>
      </c>
      <c r="E161" s="1" t="n">
        <v>46315</v>
      </c>
      <c r="F161" t="inlineStr">
        <is>
          <t>UPPSALA LÄN</t>
        </is>
      </c>
      <c r="G161" t="inlineStr">
        <is>
          <t>HEBY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46315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64899-2021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44512</v>
      </c>
      <c r="E163" s="1" t="n">
        <v>46315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öst AB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60722-2022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44913</v>
      </c>
      <c r="E164" s="1" t="n">
        <v>46315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46315</v>
      </c>
      <c r="F165" t="inlineStr">
        <is>
          <t>UPPSALA LÄN</t>
        </is>
      </c>
      <c r="G165" t="inlineStr">
        <is>
          <t>HEBY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44586</v>
      </c>
      <c r="E166" s="1" t="n">
        <v>46315</v>
      </c>
      <c r="F166" t="inlineStr">
        <is>
          <t>UPPSALA LÄN</t>
        </is>
      </c>
      <c r="G166" t="inlineStr">
        <is>
          <t>HEBY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46315</v>
      </c>
      <c r="F167" t="inlineStr">
        <is>
          <t>UPPSALA LÄN</t>
        </is>
      </c>
      <c r="G167" t="inlineStr">
        <is>
          <t>HEBY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45519</v>
      </c>
      <c r="E168" s="1" t="n">
        <v>46315</v>
      </c>
      <c r="F168" t="inlineStr">
        <is>
          <t>UPPSALA LÄN</t>
        </is>
      </c>
      <c r="G168" t="inlineStr">
        <is>
          <t>HEBY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46315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46315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66.90000000000001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46315</v>
      </c>
      <c r="F171" t="inlineStr">
        <is>
          <t>UPPSALA LÄN</t>
        </is>
      </c>
      <c r="G171" t="inlineStr">
        <is>
          <t>HEBY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46315</v>
      </c>
      <c r="F172" t="inlineStr">
        <is>
          <t>UPPSALA LÄN</t>
        </is>
      </c>
      <c r="G172" t="inlineStr">
        <is>
          <t>HEBY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46315</v>
      </c>
      <c r="F173" t="inlineStr">
        <is>
          <t>UPPSALA LÄN</t>
        </is>
      </c>
      <c r="G173" t="inlineStr">
        <is>
          <t>HEBY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45062</v>
      </c>
      <c r="E174" s="1" t="n">
        <v>46315</v>
      </c>
      <c r="F174" t="inlineStr">
        <is>
          <t>UPPSALA LÄN</t>
        </is>
      </c>
      <c r="G174" t="inlineStr">
        <is>
          <t>HEBY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45050</v>
      </c>
      <c r="E175" s="1" t="n">
        <v>46315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44943</v>
      </c>
      <c r="E176" s="1" t="n">
        <v>46315</v>
      </c>
      <c r="F176" t="inlineStr">
        <is>
          <t>UPPSALA LÄN</t>
        </is>
      </c>
      <c r="G176" t="inlineStr">
        <is>
          <t>HEBY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46315</v>
      </c>
      <c r="F177" t="inlineStr">
        <is>
          <t>UPPSALA LÄN</t>
        </is>
      </c>
      <c r="G177" t="inlineStr">
        <is>
          <t>HEBY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44944</v>
      </c>
      <c r="E178" s="1" t="n">
        <v>46315</v>
      </c>
      <c r="F178" t="inlineStr">
        <is>
          <t>UPPSALA LÄN</t>
        </is>
      </c>
      <c r="G178" t="inlineStr">
        <is>
          <t>HEBY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44974</v>
      </c>
      <c r="E179" s="1" t="n">
        <v>46315</v>
      </c>
      <c r="F179" t="inlineStr">
        <is>
          <t>UPPSALA LÄN</t>
        </is>
      </c>
      <c r="G179" t="inlineStr">
        <is>
          <t>HEBY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46315</v>
      </c>
      <c r="F180" t="inlineStr">
        <is>
          <t>UPPSALA LÄN</t>
        </is>
      </c>
      <c r="G180" t="inlineStr">
        <is>
          <t>HEBY</t>
        </is>
      </c>
      <c r="H180" t="inlineStr">
        <is>
          <t>Kyrkan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44943</v>
      </c>
      <c r="E181" s="1" t="n">
        <v>46315</v>
      </c>
      <c r="F181" t="inlineStr">
        <is>
          <t>UPPSALA LÄN</t>
        </is>
      </c>
      <c r="G181" t="inlineStr">
        <is>
          <t>HEBY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46315</v>
      </c>
      <c r="F182" t="inlineStr">
        <is>
          <t>UPPSALA LÄN</t>
        </is>
      </c>
      <c r="G182" t="inlineStr">
        <is>
          <t>HEBY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10069-2024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45364</v>
      </c>
      <c r="E183" s="1" t="n">
        <v>46315</v>
      </c>
      <c r="F183" t="inlineStr">
        <is>
          <t>UPPSALA LÄN</t>
        </is>
      </c>
      <c r="G183" t="inlineStr">
        <is>
          <t>HEBY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45364</v>
      </c>
      <c r="E184" s="1" t="n">
        <v>46315</v>
      </c>
      <c r="F184" t="inlineStr">
        <is>
          <t>UPPSALA LÄN</t>
        </is>
      </c>
      <c r="G184" t="inlineStr">
        <is>
          <t>HEBY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46315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46315</v>
      </c>
      <c r="F186" t="inlineStr">
        <is>
          <t>UPPSALA LÄN</t>
        </is>
      </c>
      <c r="G186" t="inlineStr">
        <is>
          <t>HEBY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45058</v>
      </c>
      <c r="E187" s="1" t="n">
        <v>46315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44945</v>
      </c>
      <c r="E188" s="1" t="n">
        <v>46315</v>
      </c>
      <c r="F188" t="inlineStr">
        <is>
          <t>UPPSALA LÄN</t>
        </is>
      </c>
      <c r="G188" t="inlineStr">
        <is>
          <t>HEBY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44701</v>
      </c>
      <c r="E189" s="1" t="n">
        <v>46315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46315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59486-2021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44491</v>
      </c>
      <c r="E191" s="1" t="n">
        <v>46315</v>
      </c>
      <c r="F191" t="inlineStr">
        <is>
          <t>UPPSALA LÄN</t>
        </is>
      </c>
      <c r="G191" t="inlineStr">
        <is>
          <t>HEBY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46315</v>
      </c>
      <c r="F192" t="inlineStr">
        <is>
          <t>UPPSALA LÄN</t>
        </is>
      </c>
      <c r="G192" t="inlineStr">
        <is>
          <t>HEBY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46315</v>
      </c>
      <c r="F193" t="inlineStr">
        <is>
          <t>UPPSALA LÄN</t>
        </is>
      </c>
      <c r="G193" t="inlineStr">
        <is>
          <t>HEBY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46315</v>
      </c>
      <c r="F194" t="inlineStr">
        <is>
          <t>UPPSALA LÄN</t>
        </is>
      </c>
      <c r="G194" t="inlineStr">
        <is>
          <t>HEBY</t>
        </is>
      </c>
      <c r="H194" t="inlineStr">
        <is>
          <t>Övriga Aktiebolag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46315</v>
      </c>
      <c r="F195" t="inlineStr">
        <is>
          <t>UPPSALA LÄN</t>
        </is>
      </c>
      <c r="G195" t="inlineStr">
        <is>
          <t>HEBY</t>
        </is>
      </c>
      <c r="H195" t="inlineStr">
        <is>
          <t>Kyrkan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44960</v>
      </c>
      <c r="E196" s="1" t="n">
        <v>46315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46315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70158-2021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44533</v>
      </c>
      <c r="E198" s="1" t="n">
        <v>46315</v>
      </c>
      <c r="F198" t="inlineStr">
        <is>
          <t>UPPSALA LÄN</t>
        </is>
      </c>
      <c r="G198" t="inlineStr">
        <is>
          <t>HEBY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18278-2024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45422</v>
      </c>
      <c r="E199" s="1" t="n">
        <v>46315</v>
      </c>
      <c r="F199" t="inlineStr">
        <is>
          <t>UPPSALA LÄN</t>
        </is>
      </c>
      <c r="G199" t="inlineStr">
        <is>
          <t>HEBY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45294</v>
      </c>
      <c r="E200" s="1" t="n">
        <v>46315</v>
      </c>
      <c r="F200" t="inlineStr">
        <is>
          <t>UPPSALA LÄN</t>
        </is>
      </c>
      <c r="G200" t="inlineStr">
        <is>
          <t>HEBY</t>
        </is>
      </c>
      <c r="H200" t="inlineStr">
        <is>
          <t>Kommuner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46315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45883</v>
      </c>
      <c r="E202" s="1" t="n">
        <v>46315</v>
      </c>
      <c r="F202" t="inlineStr">
        <is>
          <t>UPPSALA LÄN</t>
        </is>
      </c>
      <c r="G202" t="inlineStr">
        <is>
          <t>HEBY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46315</v>
      </c>
      <c r="F203" t="inlineStr">
        <is>
          <t>UPPSALA LÄN</t>
        </is>
      </c>
      <c r="G203" t="inlineStr">
        <is>
          <t>HEBY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46315</v>
      </c>
      <c r="F204" t="inlineStr">
        <is>
          <t>UPPSALA LÄN</t>
        </is>
      </c>
      <c r="G204" t="inlineStr">
        <is>
          <t>HEBY</t>
        </is>
      </c>
      <c r="H204" t="inlineStr">
        <is>
          <t>Kyrkan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46315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46315</v>
      </c>
      <c r="F206" t="inlineStr">
        <is>
          <t>UPPSALA LÄN</t>
        </is>
      </c>
      <c r="G206" t="inlineStr">
        <is>
          <t>HEBY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46315</v>
      </c>
      <c r="F207" t="inlineStr">
        <is>
          <t>UPPSALA LÄN</t>
        </is>
      </c>
      <c r="G207" t="inlineStr">
        <is>
          <t>HEBY</t>
        </is>
      </c>
      <c r="H207" t="inlineStr">
        <is>
          <t>Övriga Aktiebolag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46315</v>
      </c>
      <c r="F208" t="inlineStr">
        <is>
          <t>UPPSALA LÄN</t>
        </is>
      </c>
      <c r="G208" t="inlineStr">
        <is>
          <t>HEBY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46315</v>
      </c>
      <c r="F209" t="inlineStr">
        <is>
          <t>UPPSALA LÄN</t>
        </is>
      </c>
      <c r="G209" t="inlineStr">
        <is>
          <t>HEBY</t>
        </is>
      </c>
      <c r="H209" t="inlineStr">
        <is>
          <t>Allmännings- och besparingsskogar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46315</v>
      </c>
      <c r="F210" t="inlineStr">
        <is>
          <t>UPPSALA LÄN</t>
        </is>
      </c>
      <c r="G210" t="inlineStr">
        <is>
          <t>HEBY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46315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16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45058</v>
      </c>
      <c r="E212" s="1" t="n">
        <v>46315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46315</v>
      </c>
      <c r="F213" t="inlineStr">
        <is>
          <t>UPPSALA LÄN</t>
        </is>
      </c>
      <c r="G213" t="inlineStr">
        <is>
          <t>HEBY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45030</v>
      </c>
      <c r="E214" s="1" t="n">
        <v>46315</v>
      </c>
      <c r="F214" t="inlineStr">
        <is>
          <t>UPPSALA LÄN</t>
        </is>
      </c>
      <c r="G214" t="inlineStr">
        <is>
          <t>HEBY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44810</v>
      </c>
      <c r="E215" s="1" t="n">
        <v>46315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46315</v>
      </c>
      <c r="F216" t="inlineStr">
        <is>
          <t>UPPSALA LÄN</t>
        </is>
      </c>
      <c r="G216" t="inlineStr">
        <is>
          <t>HEBY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46315</v>
      </c>
      <c r="F217" t="inlineStr">
        <is>
          <t>UPPSALA LÄN</t>
        </is>
      </c>
      <c r="G217" t="inlineStr">
        <is>
          <t>HEBY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45114</v>
      </c>
      <c r="E218" s="1" t="n">
        <v>46315</v>
      </c>
      <c r="F218" t="inlineStr">
        <is>
          <t>UPPSALA LÄN</t>
        </is>
      </c>
      <c r="G218" t="inlineStr">
        <is>
          <t>HEBY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44754</v>
      </c>
      <c r="E219" s="1" t="n">
        <v>46315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öst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46315</v>
      </c>
      <c r="F220" t="inlineStr">
        <is>
          <t>UPPSALA LÄN</t>
        </is>
      </c>
      <c r="G220" t="inlineStr">
        <is>
          <t>HEBY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33706-2023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45132</v>
      </c>
      <c r="E221" s="1" t="n">
        <v>46315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19683-2022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44694</v>
      </c>
      <c r="E222" s="1" t="n">
        <v>46315</v>
      </c>
      <c r="F222" t="inlineStr">
        <is>
          <t>UPPSALA LÄN</t>
        </is>
      </c>
      <c r="G222" t="inlineStr">
        <is>
          <t>HEBY</t>
        </is>
      </c>
      <c r="I222" t="n">
        <v>22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46315</v>
      </c>
      <c r="F223" t="inlineStr">
        <is>
          <t>UPPSALA LÄN</t>
        </is>
      </c>
      <c r="G223" t="inlineStr">
        <is>
          <t>HEBY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45132</v>
      </c>
      <c r="E224" s="1" t="n">
        <v>46315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44609</v>
      </c>
      <c r="E225" s="1" t="n">
        <v>46315</v>
      </c>
      <c r="F225" t="inlineStr">
        <is>
          <t>UPPSALA LÄN</t>
        </is>
      </c>
      <c r="G225" t="inlineStr">
        <is>
          <t>HEBY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46315</v>
      </c>
      <c r="F226" t="inlineStr">
        <is>
          <t>UPPSALA LÄN</t>
        </is>
      </c>
      <c r="G226" t="inlineStr">
        <is>
          <t>HEBY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45891</v>
      </c>
      <c r="E227" s="1" t="n">
        <v>46315</v>
      </c>
      <c r="F227" t="inlineStr">
        <is>
          <t>UPPSALA LÄN</t>
        </is>
      </c>
      <c r="G227" t="inlineStr">
        <is>
          <t>HEBY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46315</v>
      </c>
      <c r="F228" t="inlineStr">
        <is>
          <t>UPPSALA LÄN</t>
        </is>
      </c>
      <c r="G228" t="inlineStr">
        <is>
          <t>HEBY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45904</v>
      </c>
      <c r="E229" s="1" t="n">
        <v>46315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öst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46315</v>
      </c>
      <c r="F230" t="inlineStr">
        <is>
          <t>UPPSALA LÄN</t>
        </is>
      </c>
      <c r="G230" t="inlineStr">
        <is>
          <t>HEBY</t>
        </is>
      </c>
      <c r="H230" t="inlineStr">
        <is>
          <t>Övriga Aktiebolag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46315</v>
      </c>
      <c r="F231" t="inlineStr">
        <is>
          <t>UPPSALA LÄN</t>
        </is>
      </c>
      <c r="G231" t="inlineStr">
        <is>
          <t>HEBY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46315</v>
      </c>
      <c r="F232" t="inlineStr">
        <is>
          <t>UPPSALA LÄN</t>
        </is>
      </c>
      <c r="G232" t="inlineStr">
        <is>
          <t>HEBY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45106</v>
      </c>
      <c r="E233" s="1" t="n">
        <v>46315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45294</v>
      </c>
      <c r="E234" s="1" t="n">
        <v>46315</v>
      </c>
      <c r="F234" t="inlineStr">
        <is>
          <t>UPPSALA LÄN</t>
        </is>
      </c>
      <c r="G234" t="inlineStr">
        <is>
          <t>HEBY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46315</v>
      </c>
      <c r="F235" t="inlineStr">
        <is>
          <t>UPPSALA LÄN</t>
        </is>
      </c>
      <c r="G235" t="inlineStr">
        <is>
          <t>HEBY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46315</v>
      </c>
      <c r="F236" t="inlineStr">
        <is>
          <t>UPPSALA LÄN</t>
        </is>
      </c>
      <c r="G236" t="inlineStr">
        <is>
          <t>HEBY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45351</v>
      </c>
      <c r="E237" s="1" t="n">
        <v>46315</v>
      </c>
      <c r="F237" t="inlineStr">
        <is>
          <t>UPPSALA LÄN</t>
        </is>
      </c>
      <c r="G237" t="inlineStr">
        <is>
          <t>HEBY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46315</v>
      </c>
      <c r="F238" t="inlineStr">
        <is>
          <t>UPPSALA LÄN</t>
        </is>
      </c>
      <c r="G238" t="inlineStr">
        <is>
          <t>HEBY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46315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51082-2023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46315</v>
      </c>
      <c r="F240" t="inlineStr">
        <is>
          <t>UPPSALA LÄN</t>
        </is>
      </c>
      <c r="G240" t="inlineStr">
        <is>
          <t>HEBY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51091-2023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45218</v>
      </c>
      <c r="E241" s="1" t="n">
        <v>46315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46315</v>
      </c>
      <c r="F242" t="inlineStr">
        <is>
          <t>UPPSALA LÄN</t>
        </is>
      </c>
      <c r="G242" t="inlineStr">
        <is>
          <t>HEBY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45216</v>
      </c>
      <c r="E243" s="1" t="n">
        <v>46315</v>
      </c>
      <c r="F243" t="inlineStr">
        <is>
          <t>UPPSALA LÄN</t>
        </is>
      </c>
      <c r="G243" t="inlineStr">
        <is>
          <t>HEBY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46315</v>
      </c>
      <c r="F244" t="inlineStr">
        <is>
          <t>UPPSALA LÄN</t>
        </is>
      </c>
      <c r="G244" t="inlineStr">
        <is>
          <t>HEBY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46315</v>
      </c>
      <c r="F245" t="inlineStr">
        <is>
          <t>UPPSALA LÄN</t>
        </is>
      </c>
      <c r="G245" t="inlineStr">
        <is>
          <t>HEBY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18144-2022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44684</v>
      </c>
      <c r="E246" s="1" t="n">
        <v>46315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44939</v>
      </c>
      <c r="E247" s="1" t="n">
        <v>46315</v>
      </c>
      <c r="F247" t="inlineStr">
        <is>
          <t>UPPSALA LÄN</t>
        </is>
      </c>
      <c r="G247" t="inlineStr">
        <is>
          <t>HEBY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46315</v>
      </c>
      <c r="F248" t="inlineStr">
        <is>
          <t>UPPSALA LÄN</t>
        </is>
      </c>
      <c r="G248" t="inlineStr">
        <is>
          <t>HEBY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70976-2021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44538</v>
      </c>
      <c r="E249" s="1" t="n">
        <v>46315</v>
      </c>
      <c r="F249" t="inlineStr">
        <is>
          <t>UPPSALA LÄN</t>
        </is>
      </c>
      <c r="G249" t="inlineStr">
        <is>
          <t>HEBY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46315</v>
      </c>
      <c r="F250" t="inlineStr">
        <is>
          <t>UPPSALA LÄN</t>
        </is>
      </c>
      <c r="G250" t="inlineStr">
        <is>
          <t>HEBY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46315</v>
      </c>
      <c r="F251" t="inlineStr">
        <is>
          <t>UPPSALA LÄN</t>
        </is>
      </c>
      <c r="G251" t="inlineStr">
        <is>
          <t>HEBY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44944</v>
      </c>
      <c r="E252" s="1" t="n">
        <v>46315</v>
      </c>
      <c r="F252" t="inlineStr">
        <is>
          <t>UPPSALA LÄN</t>
        </is>
      </c>
      <c r="G252" t="inlineStr">
        <is>
          <t>HEBY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45944</v>
      </c>
      <c r="E253" s="1" t="n">
        <v>46315</v>
      </c>
      <c r="F253" t="inlineStr">
        <is>
          <t>UPPSALA LÄN</t>
        </is>
      </c>
      <c r="G253" t="inlineStr">
        <is>
          <t>HEBY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46315</v>
      </c>
      <c r="F254" t="inlineStr">
        <is>
          <t>UPPSALA LÄN</t>
        </is>
      </c>
      <c r="G254" t="inlineStr">
        <is>
          <t>HEBY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50657-2025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46315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50859-2022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44862</v>
      </c>
      <c r="E256" s="1" t="n">
        <v>46315</v>
      </c>
      <c r="F256" t="inlineStr">
        <is>
          <t>UPPSALA LÄN</t>
        </is>
      </c>
      <c r="G256" t="inlineStr">
        <is>
          <t>HEBY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44568</v>
      </c>
      <c r="E257" s="1" t="n">
        <v>46315</v>
      </c>
      <c r="F257" t="inlineStr">
        <is>
          <t>UPPSALA LÄN</t>
        </is>
      </c>
      <c r="G257" t="inlineStr">
        <is>
          <t>HEBY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46315</v>
      </c>
      <c r="F258" t="inlineStr">
        <is>
          <t>UPPSALA LÄN</t>
        </is>
      </c>
      <c r="G258" t="inlineStr">
        <is>
          <t>HEBY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46315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46315</v>
      </c>
      <c r="F260" t="inlineStr">
        <is>
          <t>UPPSALA LÄN</t>
        </is>
      </c>
      <c r="G260" t="inlineStr">
        <is>
          <t>HEBY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46315</v>
      </c>
      <c r="F261" t="inlineStr">
        <is>
          <t>UPPSALA LÄN</t>
        </is>
      </c>
      <c r="G261" t="inlineStr">
        <is>
          <t>HEBY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45321</v>
      </c>
      <c r="E262" s="1" t="n">
        <v>46315</v>
      </c>
      <c r="F262" t="inlineStr">
        <is>
          <t>UPPSALA LÄN</t>
        </is>
      </c>
      <c r="G262" t="inlineStr">
        <is>
          <t>HEBY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46315</v>
      </c>
      <c r="F263" t="inlineStr">
        <is>
          <t>UPPSALA LÄN</t>
        </is>
      </c>
      <c r="G263" t="inlineStr">
        <is>
          <t>HEBY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46315</v>
      </c>
      <c r="F264" t="inlineStr">
        <is>
          <t>UPPSALA LÄN</t>
        </is>
      </c>
      <c r="G264" t="inlineStr">
        <is>
          <t>HEBY</t>
        </is>
      </c>
      <c r="H264" t="inlineStr">
        <is>
          <t>Övriga Aktiebolag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66055-2021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44517</v>
      </c>
      <c r="E265" s="1" t="n">
        <v>46315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öst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46149</v>
      </c>
      <c r="E266" s="1" t="n">
        <v>46315</v>
      </c>
      <c r="F266" t="inlineStr">
        <is>
          <t>UPPSALA LÄN</t>
        </is>
      </c>
      <c r="G266" t="inlineStr">
        <is>
          <t>HEBY</t>
        </is>
      </c>
      <c r="H266" t="inlineStr">
        <is>
          <t>Allmännings- och besparingsskogar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46315</v>
      </c>
      <c r="F267" t="inlineStr">
        <is>
          <t>UPPSALA LÄN</t>
        </is>
      </c>
      <c r="G267" t="inlineStr">
        <is>
          <t>HEBY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46315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46315</v>
      </c>
      <c r="F269" t="inlineStr">
        <is>
          <t>UPPSALA LÄN</t>
        </is>
      </c>
      <c r="G269" t="inlineStr">
        <is>
          <t>HEBY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45958</v>
      </c>
      <c r="E270" s="1" t="n">
        <v>46315</v>
      </c>
      <c r="F270" t="inlineStr">
        <is>
          <t>UPPSALA LÄN</t>
        </is>
      </c>
      <c r="G270" t="inlineStr">
        <is>
          <t>HEBY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72180-2021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46315</v>
      </c>
      <c r="F271" t="inlineStr">
        <is>
          <t>UPPSALA LÄN</t>
        </is>
      </c>
      <c r="G271" t="inlineStr">
        <is>
          <t>HEBY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45805</v>
      </c>
      <c r="E272" s="1" t="n">
        <v>46315</v>
      </c>
      <c r="F272" t="inlineStr">
        <is>
          <t>UPPSALA LÄN</t>
        </is>
      </c>
      <c r="G272" t="inlineStr">
        <is>
          <t>HEBY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45770</v>
      </c>
      <c r="E273" s="1" t="n">
        <v>46315</v>
      </c>
      <c r="F273" t="inlineStr">
        <is>
          <t>UPPSALA LÄN</t>
        </is>
      </c>
      <c r="G273" t="inlineStr">
        <is>
          <t>HEBY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62145-2022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46315</v>
      </c>
      <c r="F274" t="inlineStr">
        <is>
          <t>UPPSALA LÄN</t>
        </is>
      </c>
      <c r="G274" t="inlineStr">
        <is>
          <t>HEBY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46315</v>
      </c>
      <c r="F275" t="inlineStr">
        <is>
          <t>UPPSALA LÄN</t>
        </is>
      </c>
      <c r="G275" t="inlineStr">
        <is>
          <t>HEBY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46315</v>
      </c>
      <c r="F276" t="inlineStr">
        <is>
          <t>UPPSALA LÄN</t>
        </is>
      </c>
      <c r="G276" t="inlineStr">
        <is>
          <t>HEBY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31567-2023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45117</v>
      </c>
      <c r="E277" s="1" t="n">
        <v>46315</v>
      </c>
      <c r="F277" t="inlineStr">
        <is>
          <t>UPPSALA LÄN</t>
        </is>
      </c>
      <c r="G277" t="inlineStr">
        <is>
          <t>HEBY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45117</v>
      </c>
      <c r="E278" s="1" t="n">
        <v>46315</v>
      </c>
      <c r="F278" t="inlineStr">
        <is>
          <t>UPPSALA LÄN</t>
        </is>
      </c>
      <c r="G278" t="inlineStr">
        <is>
          <t>HEBY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46315</v>
      </c>
      <c r="F279" t="inlineStr">
        <is>
          <t>UPPSALA LÄN</t>
        </is>
      </c>
      <c r="G279" t="inlineStr">
        <is>
          <t>HEBY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55488-2025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46315</v>
      </c>
      <c r="F280" t="inlineStr">
        <is>
          <t>UPPSALA LÄN</t>
        </is>
      </c>
      <c r="G280" t="inlineStr">
        <is>
          <t>HEBY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55496-2025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45971</v>
      </c>
      <c r="E281" s="1" t="n">
        <v>46315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73622-2021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44552</v>
      </c>
      <c r="E282" s="1" t="n">
        <v>46315</v>
      </c>
      <c r="F282" t="inlineStr">
        <is>
          <t>UPPSALA LÄN</t>
        </is>
      </c>
      <c r="G282" t="inlineStr">
        <is>
          <t>HEBY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46315</v>
      </c>
      <c r="F283" t="inlineStr">
        <is>
          <t>UPPSALA LÄN</t>
        </is>
      </c>
      <c r="G283" t="inlineStr">
        <is>
          <t>HEBY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22865-2026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46160</v>
      </c>
      <c r="E284" s="1" t="n">
        <v>46315</v>
      </c>
      <c r="F284" t="inlineStr">
        <is>
          <t>UPPSALA LÄN</t>
        </is>
      </c>
      <c r="G284" t="inlineStr">
        <is>
          <t>HEBY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45006</v>
      </c>
      <c r="E285" s="1" t="n">
        <v>46315</v>
      </c>
      <c r="F285" t="inlineStr">
        <is>
          <t>UPPSALA LÄN</t>
        </is>
      </c>
      <c r="G285" t="inlineStr">
        <is>
          <t>HEBY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46315</v>
      </c>
      <c r="F286" t="inlineStr">
        <is>
          <t>UPPSALA LÄN</t>
        </is>
      </c>
      <c r="G286" t="inlineStr">
        <is>
          <t>HEBY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46315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46315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45029</v>
      </c>
      <c r="E289" s="1" t="n">
        <v>46315</v>
      </c>
      <c r="F289" t="inlineStr">
        <is>
          <t>UPPSALA LÄN</t>
        </is>
      </c>
      <c r="G289" t="inlineStr">
        <is>
          <t>HEBY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46315</v>
      </c>
      <c r="F290" t="inlineStr">
        <is>
          <t>UPPSALA LÄN</t>
        </is>
      </c>
      <c r="G290" t="inlineStr">
        <is>
          <t>HEBY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46315</v>
      </c>
      <c r="F291" t="inlineStr">
        <is>
          <t>UPPSALA LÄN</t>
        </is>
      </c>
      <c r="G291" t="inlineStr">
        <is>
          <t>HEBY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51733-2025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46315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öst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46315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öst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8051-2023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44974</v>
      </c>
      <c r="E294" s="1" t="n">
        <v>46315</v>
      </c>
      <c r="F294" t="inlineStr">
        <is>
          <t>UPPSALA LÄN</t>
        </is>
      </c>
      <c r="G294" t="inlineStr">
        <is>
          <t>HEBY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46315</v>
      </c>
      <c r="F295" t="inlineStr">
        <is>
          <t>UPPSALA LÄN</t>
        </is>
      </c>
      <c r="G295" t="inlineStr">
        <is>
          <t>HEBY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45373</v>
      </c>
      <c r="E296" s="1" t="n">
        <v>46315</v>
      </c>
      <c r="F296" t="inlineStr">
        <is>
          <t>UPPSALA LÄN</t>
        </is>
      </c>
      <c r="G296" t="inlineStr">
        <is>
          <t>HEBY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46315</v>
      </c>
      <c r="F297" t="inlineStr">
        <is>
          <t>UPPSALA LÄN</t>
        </is>
      </c>
      <c r="G297" t="inlineStr">
        <is>
          <t>HEBY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46315</v>
      </c>
      <c r="F298" t="inlineStr">
        <is>
          <t>UPPSALA LÄN</t>
        </is>
      </c>
      <c r="G298" t="inlineStr">
        <is>
          <t>HEBY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45166</v>
      </c>
      <c r="E299" s="1" t="n">
        <v>46315</v>
      </c>
      <c r="F299" t="inlineStr">
        <is>
          <t>UPPSALA LÄN</t>
        </is>
      </c>
      <c r="G299" t="inlineStr">
        <is>
          <t>HEBY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46315</v>
      </c>
      <c r="F300" t="inlineStr">
        <is>
          <t>UPPSALA LÄN</t>
        </is>
      </c>
      <c r="G300" t="inlineStr">
        <is>
          <t>HEBY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46315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väst AB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32181-2024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45511</v>
      </c>
      <c r="E302" s="1" t="n">
        <v>46315</v>
      </c>
      <c r="F302" t="inlineStr">
        <is>
          <t>UPPSALA LÄN</t>
        </is>
      </c>
      <c r="G302" t="inlineStr">
        <is>
          <t>HEBY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64364-2021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44511</v>
      </c>
      <c r="E303" s="1" t="n">
        <v>46315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46315</v>
      </c>
      <c r="F304" t="inlineStr">
        <is>
          <t>UPPSALA LÄN</t>
        </is>
      </c>
      <c r="G304" t="inlineStr">
        <is>
          <t>HEBY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46315</v>
      </c>
      <c r="F305" t="inlineStr">
        <is>
          <t>UPPSALA LÄN</t>
        </is>
      </c>
      <c r="G305" t="inlineStr">
        <is>
          <t>HEBY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45117</v>
      </c>
      <c r="E306" s="1" t="n">
        <v>46315</v>
      </c>
      <c r="F306" t="inlineStr">
        <is>
          <t>UPPSALA LÄN</t>
        </is>
      </c>
      <c r="G306" t="inlineStr">
        <is>
          <t>HEBY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46315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46005</v>
      </c>
      <c r="E308" s="1" t="n">
        <v>46315</v>
      </c>
      <c r="F308" t="inlineStr">
        <is>
          <t>UPPSALA LÄN</t>
        </is>
      </c>
      <c r="G308" t="inlineStr">
        <is>
          <t>HEBY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46315</v>
      </c>
      <c r="F309" t="inlineStr">
        <is>
          <t>UPPSALA LÄN</t>
        </is>
      </c>
      <c r="G309" t="inlineStr">
        <is>
          <t>HEBY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48029-2024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45589</v>
      </c>
      <c r="E310" s="1" t="n">
        <v>46315</v>
      </c>
      <c r="F310" t="inlineStr">
        <is>
          <t>UPPSALA LÄN</t>
        </is>
      </c>
      <c r="G310" t="inlineStr">
        <is>
          <t>HEBY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46315</v>
      </c>
      <c r="F311" t="inlineStr">
        <is>
          <t>UPPSALA LÄN</t>
        </is>
      </c>
      <c r="G311" t="inlineStr">
        <is>
          <t>HEBY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44951</v>
      </c>
      <c r="E312" s="1" t="n">
        <v>46315</v>
      </c>
      <c r="F312" t="inlineStr">
        <is>
          <t>UPPSALA LÄN</t>
        </is>
      </c>
      <c r="G312" t="inlineStr">
        <is>
          <t>HEBY</t>
        </is>
      </c>
      <c r="I312" t="n">
        <v>11.2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46315</v>
      </c>
      <c r="F313" t="inlineStr">
        <is>
          <t>UPPSALA LÄN</t>
        </is>
      </c>
      <c r="G313" t="inlineStr">
        <is>
          <t>HEBY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44613</v>
      </c>
      <c r="E314" s="1" t="n">
        <v>46315</v>
      </c>
      <c r="F314" t="inlineStr">
        <is>
          <t>UPPSALA LÄN</t>
        </is>
      </c>
      <c r="G314" t="inlineStr">
        <is>
          <t>HEBY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46315</v>
      </c>
      <c r="F315" t="inlineStr">
        <is>
          <t>UPPSALA LÄN</t>
        </is>
      </c>
      <c r="G315" t="inlineStr">
        <is>
          <t>HEBY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46315</v>
      </c>
      <c r="F316" t="inlineStr">
        <is>
          <t>UPPSALA LÄN</t>
        </is>
      </c>
      <c r="G316" t="inlineStr">
        <is>
          <t>HEBY</t>
        </is>
      </c>
      <c r="I316" t="n">
        <v>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46315</v>
      </c>
      <c r="F317" t="inlineStr">
        <is>
          <t>UPPSALA LÄN</t>
        </is>
      </c>
      <c r="G317" t="inlineStr">
        <is>
          <t>HEBY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45967</v>
      </c>
      <c r="E318" s="1" t="n">
        <v>46315</v>
      </c>
      <c r="F318" t="inlineStr">
        <is>
          <t>UPPSALA LÄN</t>
        </is>
      </c>
      <c r="G318" t="inlineStr">
        <is>
          <t>HEBY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45331</v>
      </c>
      <c r="E319" s="1" t="n">
        <v>46315</v>
      </c>
      <c r="F319" t="inlineStr">
        <is>
          <t>UPPSALA LÄN</t>
        </is>
      </c>
      <c r="G319" t="inlineStr">
        <is>
          <t>HEBY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74215-2021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44558</v>
      </c>
      <c r="E320" s="1" t="n">
        <v>46315</v>
      </c>
      <c r="F320" t="inlineStr">
        <is>
          <t>UPPSALA LÄN</t>
        </is>
      </c>
      <c r="G320" t="inlineStr">
        <is>
          <t>HEBY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46315</v>
      </c>
      <c r="F321" t="inlineStr">
        <is>
          <t>UPPSALA LÄN</t>
        </is>
      </c>
      <c r="G321" t="inlineStr">
        <is>
          <t>HEBY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46315</v>
      </c>
      <c r="F322" t="inlineStr">
        <is>
          <t>UPPSALA LÄN</t>
        </is>
      </c>
      <c r="G322" t="inlineStr">
        <is>
          <t>HEBY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45008</v>
      </c>
      <c r="E323" s="1" t="n">
        <v>46315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24991-2026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46315</v>
      </c>
      <c r="F324" t="inlineStr">
        <is>
          <t>UPPSALA LÄN</t>
        </is>
      </c>
      <c r="G324" t="inlineStr">
        <is>
          <t>HEBY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46023</v>
      </c>
      <c r="E325" s="1" t="n">
        <v>46315</v>
      </c>
      <c r="F325" t="inlineStr">
        <is>
          <t>UPPSALA LÄN</t>
        </is>
      </c>
      <c r="G325" t="inlineStr">
        <is>
          <t>HEBY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24963-2026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46315</v>
      </c>
      <c r="F326" t="inlineStr">
        <is>
          <t>UPPSALA LÄN</t>
        </is>
      </c>
      <c r="G326" t="inlineStr">
        <is>
          <t>HEBY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45337</v>
      </c>
      <c r="E327" s="1" t="n">
        <v>46315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46315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45599</v>
      </c>
      <c r="E329" s="1" t="n">
        <v>46315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45103</v>
      </c>
      <c r="E330" s="1" t="n">
        <v>46315</v>
      </c>
      <c r="F330" t="inlineStr">
        <is>
          <t>UPPSALA LÄN</t>
        </is>
      </c>
      <c r="G330" t="inlineStr">
        <is>
          <t>HEBY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46315</v>
      </c>
      <c r="F331" t="inlineStr">
        <is>
          <t>UPPSALA LÄN</t>
        </is>
      </c>
      <c r="G331" t="inlineStr">
        <is>
          <t>HEBY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46315</v>
      </c>
      <c r="F332" t="inlineStr">
        <is>
          <t>UPPSALA LÄN</t>
        </is>
      </c>
      <c r="G332" t="inlineStr">
        <is>
          <t>HEBY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45674</v>
      </c>
      <c r="E333" s="1" t="n">
        <v>46315</v>
      </c>
      <c r="F333" t="inlineStr">
        <is>
          <t>UPPSALA LÄN</t>
        </is>
      </c>
      <c r="G333" t="inlineStr">
        <is>
          <t>HEBY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44802</v>
      </c>
      <c r="E334" s="1" t="n">
        <v>46315</v>
      </c>
      <c r="F334" t="inlineStr">
        <is>
          <t>UPPSALA LÄN</t>
        </is>
      </c>
      <c r="G334" t="inlineStr">
        <is>
          <t>HEBY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35875-2022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44802</v>
      </c>
      <c r="E335" s="1" t="n">
        <v>46315</v>
      </c>
      <c r="F335" t="inlineStr">
        <is>
          <t>UPPSALA LÄN</t>
        </is>
      </c>
      <c r="G335" t="inlineStr">
        <is>
          <t>HEBY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39154-2023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46315</v>
      </c>
      <c r="F336" t="inlineStr">
        <is>
          <t>UPPSALA LÄN</t>
        </is>
      </c>
      <c r="G336" t="inlineStr">
        <is>
          <t>HEBY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46315</v>
      </c>
      <c r="F337" t="inlineStr">
        <is>
          <t>UPPSALA LÄN</t>
        </is>
      </c>
      <c r="G337" t="inlineStr">
        <is>
          <t>HEBY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10414-2022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44623</v>
      </c>
      <c r="E338" s="1" t="n">
        <v>46315</v>
      </c>
      <c r="F338" t="inlineStr">
        <is>
          <t>UPPSALA LÄN</t>
        </is>
      </c>
      <c r="G338" t="inlineStr">
        <is>
          <t>HEBY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46315</v>
      </c>
      <c r="F339" t="inlineStr">
        <is>
          <t>UPPSALA LÄN</t>
        </is>
      </c>
      <c r="G339" t="inlineStr">
        <is>
          <t>HEBY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46315</v>
      </c>
      <c r="F340" t="inlineStr">
        <is>
          <t>UPPSALA LÄN</t>
        </is>
      </c>
      <c r="G340" t="inlineStr">
        <is>
          <t>HEBY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46315</v>
      </c>
      <c r="F341" t="inlineStr">
        <is>
          <t>UPPSALA LÄN</t>
        </is>
      </c>
      <c r="G341" t="inlineStr">
        <is>
          <t>HEBY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19718-2023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45050</v>
      </c>
      <c r="E342" s="1" t="n">
        <v>46315</v>
      </c>
      <c r="F342" t="inlineStr">
        <is>
          <t>UPPSALA LÄN</t>
        </is>
      </c>
      <c r="G342" t="inlineStr">
        <is>
          <t>HEBY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44609</v>
      </c>
      <c r="E343" s="1" t="n">
        <v>46315</v>
      </c>
      <c r="F343" t="inlineStr">
        <is>
          <t>UPPSALA LÄN</t>
        </is>
      </c>
      <c r="G343" t="inlineStr">
        <is>
          <t>HEBY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46315</v>
      </c>
      <c r="F344" t="inlineStr">
        <is>
          <t>UPPSALA LÄN</t>
        </is>
      </c>
      <c r="G344" t="inlineStr">
        <is>
          <t>HEBY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46315</v>
      </c>
      <c r="F345" t="inlineStr">
        <is>
          <t>UPPSALA LÄN</t>
        </is>
      </c>
      <c r="G345" t="inlineStr">
        <is>
          <t>HEBY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46315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46315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väst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46315</v>
      </c>
      <c r="F348" t="inlineStr">
        <is>
          <t>UPPSALA LÄN</t>
        </is>
      </c>
      <c r="G348" t="inlineStr">
        <is>
          <t>HEBY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11555-2026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46084</v>
      </c>
      <c r="E349" s="1" t="n">
        <v>46315</v>
      </c>
      <c r="F349" t="inlineStr">
        <is>
          <t>UPPSALA LÄN</t>
        </is>
      </c>
      <c r="G349" t="inlineStr">
        <is>
          <t>HEBY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46315</v>
      </c>
      <c r="F350" t="inlineStr">
        <is>
          <t>UPPSALA LÄN</t>
        </is>
      </c>
      <c r="G350" t="inlineStr">
        <is>
          <t>HEBY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46315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46315</v>
      </c>
      <c r="F352" t="inlineStr">
        <is>
          <t>UPPSALA LÄN</t>
        </is>
      </c>
      <c r="G352" t="inlineStr">
        <is>
          <t>HEBY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46058</v>
      </c>
      <c r="E353" s="1" t="n">
        <v>46315</v>
      </c>
      <c r="F353" t="inlineStr">
        <is>
          <t>UPPSALA LÄN</t>
        </is>
      </c>
      <c r="G353" t="inlineStr">
        <is>
          <t>HEBY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46057</v>
      </c>
      <c r="E354" s="1" t="n">
        <v>46315</v>
      </c>
      <c r="F354" t="inlineStr">
        <is>
          <t>UPPSALA LÄN</t>
        </is>
      </c>
      <c r="G354" t="inlineStr">
        <is>
          <t>HEBY</t>
        </is>
      </c>
      <c r="H354" t="inlineStr">
        <is>
          <t>Kommuner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46315</v>
      </c>
      <c r="F355" t="inlineStr">
        <is>
          <t>UPPSALA LÄN</t>
        </is>
      </c>
      <c r="G355" t="inlineStr">
        <is>
          <t>HEBY</t>
        </is>
      </c>
      <c r="H355" t="inlineStr">
        <is>
          <t>Kommuner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46315</v>
      </c>
      <c r="F356" t="inlineStr">
        <is>
          <t>UPPSALA LÄN</t>
        </is>
      </c>
      <c r="G356" t="inlineStr">
        <is>
          <t>HEBY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46315</v>
      </c>
      <c r="F357" t="inlineStr">
        <is>
          <t>UPPSALA LÄN</t>
        </is>
      </c>
      <c r="G357" t="inlineStr">
        <is>
          <t>HEBY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45917-2023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45195</v>
      </c>
      <c r="E358" s="1" t="n">
        <v>46315</v>
      </c>
      <c r="F358" t="inlineStr">
        <is>
          <t>UPPSALA LÄN</t>
        </is>
      </c>
      <c r="G358" t="inlineStr">
        <is>
          <t>HEBY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45133</v>
      </c>
      <c r="E359" s="1" t="n">
        <v>46315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44697</v>
      </c>
      <c r="E360" s="1" t="n">
        <v>46315</v>
      </c>
      <c r="F360" t="inlineStr">
        <is>
          <t>UPPSALA LÄN</t>
        </is>
      </c>
      <c r="G360" t="inlineStr">
        <is>
          <t>HEBY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45009-2022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44841</v>
      </c>
      <c r="E361" s="1" t="n">
        <v>46315</v>
      </c>
      <c r="F361" t="inlineStr">
        <is>
          <t>UPPSALA LÄN</t>
        </is>
      </c>
      <c r="G361" t="inlineStr">
        <is>
          <t>HEBY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34593-2023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45138</v>
      </c>
      <c r="E362" s="1" t="n">
        <v>46315</v>
      </c>
      <c r="F362" t="inlineStr">
        <is>
          <t>UPPSALA LÄN</t>
        </is>
      </c>
      <c r="G362" t="inlineStr">
        <is>
          <t>HEBY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46315</v>
      </c>
      <c r="F363" t="inlineStr">
        <is>
          <t>UPPSALA LÄN</t>
        </is>
      </c>
      <c r="G363" t="inlineStr">
        <is>
          <t>HEBY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46315</v>
      </c>
      <c r="F364" t="inlineStr">
        <is>
          <t>UPPSALA LÄN</t>
        </is>
      </c>
      <c r="G364" t="inlineStr">
        <is>
          <t>HEBY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19654-2022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44694</v>
      </c>
      <c r="E365" s="1" t="n">
        <v>46315</v>
      </c>
      <c r="F365" t="inlineStr">
        <is>
          <t>UPPSALA LÄN</t>
        </is>
      </c>
      <c r="G365" t="inlineStr">
        <is>
          <t>HEBY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33379-2022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44788</v>
      </c>
      <c r="E366" s="1" t="n">
        <v>46315</v>
      </c>
      <c r="F366" t="inlineStr">
        <is>
          <t>UPPSALA LÄN</t>
        </is>
      </c>
      <c r="G366" t="inlineStr">
        <is>
          <t>HEBY</t>
        </is>
      </c>
      <c r="I366" t="n">
        <v>18.8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46315</v>
      </c>
      <c r="F367" t="inlineStr">
        <is>
          <t>UPPSALA LÄN</t>
        </is>
      </c>
      <c r="G367" t="inlineStr">
        <is>
          <t>HEBY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46315</v>
      </c>
      <c r="F368" t="inlineStr">
        <is>
          <t>UPPSALA LÄN</t>
        </is>
      </c>
      <c r="G368" t="inlineStr">
        <is>
          <t>HEBY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46315</v>
      </c>
      <c r="F369" t="inlineStr">
        <is>
          <t>UPPSALA LÄN</t>
        </is>
      </c>
      <c r="G369" t="inlineStr">
        <is>
          <t>HEBY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9895-2026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46315</v>
      </c>
      <c r="F370" t="inlineStr">
        <is>
          <t>UPPSALA LÄN</t>
        </is>
      </c>
      <c r="G370" t="inlineStr">
        <is>
          <t>HEBY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46315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46315</v>
      </c>
      <c r="F372" t="inlineStr">
        <is>
          <t>UPPSALA LÄN</t>
        </is>
      </c>
      <c r="G372" t="inlineStr">
        <is>
          <t>HEBY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45250</v>
      </c>
      <c r="E373" s="1" t="n">
        <v>46315</v>
      </c>
      <c r="F373" t="inlineStr">
        <is>
          <t>UPPSALA LÄN</t>
        </is>
      </c>
      <c r="G373" t="inlineStr">
        <is>
          <t>HEBY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46315</v>
      </c>
      <c r="F374" t="inlineStr">
        <is>
          <t>UPPSALA LÄN</t>
        </is>
      </c>
      <c r="G374" t="inlineStr">
        <is>
          <t>HEBY</t>
        </is>
      </c>
      <c r="I374" t="n">
        <v>11.5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44752</v>
      </c>
      <c r="E375" s="1" t="n">
        <v>46315</v>
      </c>
      <c r="F375" t="inlineStr">
        <is>
          <t>UPPSALA LÄN</t>
        </is>
      </c>
      <c r="G375" t="inlineStr">
        <is>
          <t>HEBY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11056-2026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46315</v>
      </c>
      <c r="F376" t="inlineStr">
        <is>
          <t>UPPSALA LÄN</t>
        </is>
      </c>
      <c r="G376" t="inlineStr">
        <is>
          <t>HEBY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46315</v>
      </c>
      <c r="F377" t="inlineStr">
        <is>
          <t>UPPSALA LÄN</t>
        </is>
      </c>
      <c r="G377" t="inlineStr">
        <is>
          <t>HEBY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44791</v>
      </c>
      <c r="E378" s="1" t="n">
        <v>46315</v>
      </c>
      <c r="F378" t="inlineStr">
        <is>
          <t>UPPSALA LÄN</t>
        </is>
      </c>
      <c r="G378" t="inlineStr">
        <is>
          <t>HEBY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42731-2023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45181</v>
      </c>
      <c r="E379" s="1" t="n">
        <v>46315</v>
      </c>
      <c r="F379" t="inlineStr">
        <is>
          <t>UPPSALA LÄN</t>
        </is>
      </c>
      <c r="G379" t="inlineStr">
        <is>
          <t>HEBY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44734</v>
      </c>
      <c r="E380" s="1" t="n">
        <v>46315</v>
      </c>
      <c r="F380" t="inlineStr">
        <is>
          <t>UPPSALA LÄN</t>
        </is>
      </c>
      <c r="G380" t="inlineStr">
        <is>
          <t>HEBY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46093</v>
      </c>
      <c r="E381" s="1" t="n">
        <v>46315</v>
      </c>
      <c r="F381" t="inlineStr">
        <is>
          <t>UPPSALA LÄN</t>
        </is>
      </c>
      <c r="G381" t="inlineStr">
        <is>
          <t>HEBY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46093</v>
      </c>
      <c r="E382" s="1" t="n">
        <v>46315</v>
      </c>
      <c r="F382" t="inlineStr">
        <is>
          <t>UPPSALA LÄN</t>
        </is>
      </c>
      <c r="G382" t="inlineStr">
        <is>
          <t>HEBY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13099-2026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46315</v>
      </c>
      <c r="F383" t="inlineStr">
        <is>
          <t>UPPSALA LÄN</t>
        </is>
      </c>
      <c r="G383" t="inlineStr">
        <is>
          <t>HEBY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46315</v>
      </c>
      <c r="F384" t="inlineStr">
        <is>
          <t>UPPSALA LÄN</t>
        </is>
      </c>
      <c r="G384" t="inlineStr">
        <is>
          <t>HEBY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3368-2024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45317</v>
      </c>
      <c r="E385" s="1" t="n">
        <v>46315</v>
      </c>
      <c r="F385" t="inlineStr">
        <is>
          <t>UPPSALA LÄN</t>
        </is>
      </c>
      <c r="G385" t="inlineStr">
        <is>
          <t>HEBY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44734</v>
      </c>
      <c r="E386" s="1" t="n">
        <v>46315</v>
      </c>
      <c r="F386" t="inlineStr">
        <is>
          <t>UPPSALA LÄN</t>
        </is>
      </c>
      <c r="G386" t="inlineStr">
        <is>
          <t>HEBY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14765-2026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46101</v>
      </c>
      <c r="E387" s="1" t="n">
        <v>46315</v>
      </c>
      <c r="F387" t="inlineStr">
        <is>
          <t>UPPSALA LÄN</t>
        </is>
      </c>
      <c r="G387" t="inlineStr">
        <is>
          <t>HEBY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29518-2026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46315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29396-2022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44753</v>
      </c>
      <c r="E389" s="1" t="n">
        <v>46315</v>
      </c>
      <c r="F389" t="inlineStr">
        <is>
          <t>UPPSALA LÄN</t>
        </is>
      </c>
      <c r="G389" t="inlineStr">
        <is>
          <t>HEBY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46110</v>
      </c>
      <c r="E390" s="1" t="n">
        <v>46315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46315</v>
      </c>
      <c r="F391" t="inlineStr">
        <is>
          <t>UPPSALA LÄN</t>
        </is>
      </c>
      <c r="G391" t="inlineStr">
        <is>
          <t>HEBY</t>
        </is>
      </c>
      <c r="H391" t="inlineStr">
        <is>
          <t>Bergvik skog väst AB</t>
        </is>
      </c>
      <c r="I391" t="n">
        <v>46.8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45118</v>
      </c>
      <c r="E392" s="1" t="n">
        <v>46315</v>
      </c>
      <c r="F392" t="inlineStr">
        <is>
          <t>UPPSALA LÄN</t>
        </is>
      </c>
      <c r="G392" t="inlineStr">
        <is>
          <t>HEBY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16506-2026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46112</v>
      </c>
      <c r="E393" s="1" t="n">
        <v>46315</v>
      </c>
      <c r="F393" t="inlineStr">
        <is>
          <t>UPPSALA LÄN</t>
        </is>
      </c>
      <c r="G393" t="inlineStr">
        <is>
          <t>HEBY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46315</v>
      </c>
      <c r="F394" t="inlineStr">
        <is>
          <t>UPPSALA LÄN</t>
        </is>
      </c>
      <c r="G394" t="inlineStr">
        <is>
          <t>HEBY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46315</v>
      </c>
      <c r="F395" t="inlineStr">
        <is>
          <t>UPPSALA LÄN</t>
        </is>
      </c>
      <c r="G395" t="inlineStr">
        <is>
          <t>HEBY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46315</v>
      </c>
      <c r="F396" t="inlineStr">
        <is>
          <t>UPPSALA LÄN</t>
        </is>
      </c>
      <c r="G396" t="inlineStr">
        <is>
          <t>HEBY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46315</v>
      </c>
      <c r="F397" t="inlineStr">
        <is>
          <t>UPPSALA LÄN</t>
        </is>
      </c>
      <c r="G397" t="inlineStr">
        <is>
          <t>HEBY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46315</v>
      </c>
      <c r="F398" t="inlineStr">
        <is>
          <t>UPPSALA LÄN</t>
        </is>
      </c>
      <c r="G398" t="inlineStr">
        <is>
          <t>HEBY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46114</v>
      </c>
      <c r="E399" s="1" t="n">
        <v>46315</v>
      </c>
      <c r="F399" t="inlineStr">
        <is>
          <t>UPPSALA LÄN</t>
        </is>
      </c>
      <c r="G399" t="inlineStr">
        <is>
          <t>HEBY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45293</v>
      </c>
      <c r="E400" s="1" t="n">
        <v>46315</v>
      </c>
      <c r="F400" t="inlineStr">
        <is>
          <t>UPPSALA LÄN</t>
        </is>
      </c>
      <c r="G400" t="inlineStr">
        <is>
          <t>HEBY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45693</v>
      </c>
      <c r="E401" s="1" t="n">
        <v>46315</v>
      </c>
      <c r="F401" t="inlineStr">
        <is>
          <t>UPPSALA LÄN</t>
        </is>
      </c>
      <c r="G401" t="inlineStr">
        <is>
          <t>HEBY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32245-2022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44781</v>
      </c>
      <c r="E402" s="1" t="n">
        <v>46315</v>
      </c>
      <c r="F402" t="inlineStr">
        <is>
          <t>UPPSALA LÄN</t>
        </is>
      </c>
      <c r="G402" t="inlineStr">
        <is>
          <t>HEBY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33385-2023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45128</v>
      </c>
      <c r="E403" s="1" t="n">
        <v>46315</v>
      </c>
      <c r="F403" t="inlineStr">
        <is>
          <t>UPPSALA LÄN</t>
        </is>
      </c>
      <c r="G403" t="inlineStr">
        <is>
          <t>HEBY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46127</v>
      </c>
      <c r="E404" s="1" t="n">
        <v>46315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45929</v>
      </c>
      <c r="E405" s="1" t="n">
        <v>46315</v>
      </c>
      <c r="F405" t="inlineStr">
        <is>
          <t>UPPSALA LÄN</t>
        </is>
      </c>
      <c r="G405" t="inlineStr">
        <is>
          <t>HEBY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46315</v>
      </c>
      <c r="F406" t="inlineStr">
        <is>
          <t>UPPSALA LÄN</t>
        </is>
      </c>
      <c r="G406" t="inlineStr">
        <is>
          <t>HEBY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18374-2026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46315</v>
      </c>
      <c r="F407" t="inlineStr">
        <is>
          <t>UPPSALA LÄN</t>
        </is>
      </c>
      <c r="G407" t="inlineStr">
        <is>
          <t>HEBY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46315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46315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25419-2022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44732</v>
      </c>
      <c r="E410" s="1" t="n">
        <v>46315</v>
      </c>
      <c r="F410" t="inlineStr">
        <is>
          <t>UPPSALA LÄN</t>
        </is>
      </c>
      <c r="G410" t="inlineStr">
        <is>
          <t>HEBY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46315</v>
      </c>
      <c r="F411" t="inlineStr">
        <is>
          <t>UPPSALA LÄN</t>
        </is>
      </c>
      <c r="G411" t="inlineStr">
        <is>
          <t>HEBY</t>
        </is>
      </c>
      <c r="H411" t="inlineStr">
        <is>
          <t>Kyrkan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46315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29816-2026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46315</v>
      </c>
      <c r="F413" t="inlineStr">
        <is>
          <t>UPPSALA LÄN</t>
        </is>
      </c>
      <c r="G413" t="inlineStr">
        <is>
          <t>HEBY</t>
        </is>
      </c>
      <c r="H413" t="inlineStr">
        <is>
          <t>Kyrkan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45582</v>
      </c>
      <c r="E414" s="1" t="n">
        <v>46315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44914</v>
      </c>
      <c r="E415" s="1" t="n">
        <v>46315</v>
      </c>
      <c r="F415" t="inlineStr">
        <is>
          <t>UPPSALA LÄN</t>
        </is>
      </c>
      <c r="G415" t="inlineStr">
        <is>
          <t>HEBY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45406</v>
      </c>
      <c r="E416" s="1" t="n">
        <v>46315</v>
      </c>
      <c r="F416" t="inlineStr">
        <is>
          <t>UPPSALA LÄN</t>
        </is>
      </c>
      <c r="G416" t="inlineStr">
        <is>
          <t>HEBY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45895</v>
      </c>
      <c r="E417" s="1" t="n">
        <v>46315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öst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60461-2022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44911</v>
      </c>
      <c r="E418" s="1" t="n">
        <v>46315</v>
      </c>
      <c r="F418" t="inlineStr">
        <is>
          <t>UPPSALA LÄN</t>
        </is>
      </c>
      <c r="G418" t="inlineStr">
        <is>
          <t>HEBY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46315</v>
      </c>
      <c r="F419" t="inlineStr">
        <is>
          <t>UPPSALA LÄN</t>
        </is>
      </c>
      <c r="G419" t="inlineStr">
        <is>
          <t>HEBY</t>
        </is>
      </c>
      <c r="H419" t="inlineStr">
        <is>
          <t>Kyrkan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44694</v>
      </c>
      <c r="E420" s="1" t="n">
        <v>46315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8790-2023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44978</v>
      </c>
      <c r="E421" s="1" t="n">
        <v>46315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45818</v>
      </c>
      <c r="E422" s="1" t="n">
        <v>46315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46315</v>
      </c>
      <c r="F423" t="inlineStr">
        <is>
          <t>UPPSALA LÄN</t>
        </is>
      </c>
      <c r="G423" t="inlineStr">
        <is>
          <t>HEBY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45932</v>
      </c>
      <c r="E424" s="1" t="n">
        <v>46315</v>
      </c>
      <c r="F424" t="inlineStr">
        <is>
          <t>UPPSALA LÄN</t>
        </is>
      </c>
      <c r="G424" t="inlineStr">
        <is>
          <t>HEBY</t>
        </is>
      </c>
      <c r="H424" t="inlineStr">
        <is>
          <t>Allmännings- och besparingsskogar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46315</v>
      </c>
      <c r="F425" t="inlineStr">
        <is>
          <t>UPPSALA LÄN</t>
        </is>
      </c>
      <c r="G425" t="inlineStr">
        <is>
          <t>HEBY</t>
        </is>
      </c>
      <c r="H425" t="inlineStr">
        <is>
          <t>Övriga Aktiebolag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46315</v>
      </c>
      <c r="F426" t="inlineStr">
        <is>
          <t>UPPSALA LÄN</t>
        </is>
      </c>
      <c r="G426" t="inlineStr">
        <is>
          <t>HEBY</t>
        </is>
      </c>
      <c r="H426" t="inlineStr">
        <is>
          <t>Övriga Aktiebolag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46315</v>
      </c>
      <c r="F427" t="inlineStr">
        <is>
          <t>UPPSALA LÄN</t>
        </is>
      </c>
      <c r="G427" t="inlineStr">
        <is>
          <t>HEBY</t>
        </is>
      </c>
      <c r="H427" t="inlineStr">
        <is>
          <t>Kyrkan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60295-2021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44495</v>
      </c>
      <c r="E428" s="1" t="n">
        <v>46315</v>
      </c>
      <c r="F428" t="inlineStr">
        <is>
          <t>UPPSALA LÄN</t>
        </is>
      </c>
      <c r="G428" t="inlineStr">
        <is>
          <t>HEBY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45572</v>
      </c>
      <c r="E429" s="1" t="n">
        <v>46315</v>
      </c>
      <c r="F429" t="inlineStr">
        <is>
          <t>UPPSALA LÄN</t>
        </is>
      </c>
      <c r="G429" t="inlineStr">
        <is>
          <t>HEBY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15326-2022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44659</v>
      </c>
      <c r="E430" s="1" t="n">
        <v>46315</v>
      </c>
      <c r="F430" t="inlineStr">
        <is>
          <t>UPPSALA LÄN</t>
        </is>
      </c>
      <c r="G430" t="inlineStr">
        <is>
          <t>HEBY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8856-2022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44614</v>
      </c>
      <c r="E431" s="1" t="n">
        <v>46315</v>
      </c>
      <c r="F431" t="inlineStr">
        <is>
          <t>UPPSALA LÄN</t>
        </is>
      </c>
      <c r="G431" t="inlineStr">
        <is>
          <t>HEBY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45453</v>
      </c>
      <c r="E432" s="1" t="n">
        <v>46315</v>
      </c>
      <c r="F432" t="inlineStr">
        <is>
          <t>UPPSALA LÄN</t>
        </is>
      </c>
      <c r="G432" t="inlineStr">
        <is>
          <t>HEBY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44942</v>
      </c>
      <c r="E433" s="1" t="n">
        <v>46315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44942</v>
      </c>
      <c r="E434" s="1" t="n">
        <v>46315</v>
      </c>
      <c r="F434" t="inlineStr">
        <is>
          <t>UPPSALA LÄN</t>
        </is>
      </c>
      <c r="G434" t="inlineStr">
        <is>
          <t>HEBY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46315</v>
      </c>
      <c r="F435" t="inlineStr">
        <is>
          <t>UPPSALA LÄN</t>
        </is>
      </c>
      <c r="G435" t="inlineStr">
        <is>
          <t>HEBY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44602</v>
      </c>
      <c r="E436" s="1" t="n">
        <v>46315</v>
      </c>
      <c r="F436" t="inlineStr">
        <is>
          <t>UPPSALA LÄN</t>
        </is>
      </c>
      <c r="G436" t="inlineStr">
        <is>
          <t>HEBY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46315</v>
      </c>
      <c r="F437" t="inlineStr">
        <is>
          <t>UPPSALA LÄN</t>
        </is>
      </c>
      <c r="G437" t="inlineStr">
        <is>
          <t>HEBY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44684</v>
      </c>
      <c r="E438" s="1" t="n">
        <v>46315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41.8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66873-2021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44522</v>
      </c>
      <c r="E439" s="1" t="n">
        <v>46315</v>
      </c>
      <c r="F439" t="inlineStr">
        <is>
          <t>UPPSALA LÄN</t>
        </is>
      </c>
      <c r="G439" t="inlineStr">
        <is>
          <t>HEBY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29387-2022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44753</v>
      </c>
      <c r="E440" s="1" t="n">
        <v>46315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45006</v>
      </c>
      <c r="E441" s="1" t="n">
        <v>46315</v>
      </c>
      <c r="F441" t="inlineStr">
        <is>
          <t>UPPSALA LÄN</t>
        </is>
      </c>
      <c r="G441" t="inlineStr">
        <is>
          <t>HEBY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44734</v>
      </c>
      <c r="E442" s="1" t="n">
        <v>46315</v>
      </c>
      <c r="F442" t="inlineStr">
        <is>
          <t>UPPSALA LÄN</t>
        </is>
      </c>
      <c r="G442" t="inlineStr">
        <is>
          <t>HEBY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45083</v>
      </c>
      <c r="E443" s="1" t="n">
        <v>46315</v>
      </c>
      <c r="F443" t="inlineStr">
        <is>
          <t>UPPSALA LÄN</t>
        </is>
      </c>
      <c r="G443" t="inlineStr">
        <is>
          <t>HEBY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46315</v>
      </c>
      <c r="F444" t="inlineStr">
        <is>
          <t>UPPSALA LÄN</t>
        </is>
      </c>
      <c r="G444" t="inlineStr">
        <is>
          <t>HEBY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20882-2022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44701</v>
      </c>
      <c r="E445" s="1" t="n">
        <v>46315</v>
      </c>
      <c r="F445" t="inlineStr">
        <is>
          <t>UPPSALA LÄN</t>
        </is>
      </c>
      <c r="G445" t="inlineStr">
        <is>
          <t>HEBY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45013</v>
      </c>
      <c r="E446" s="1" t="n">
        <v>46315</v>
      </c>
      <c r="F446" t="inlineStr">
        <is>
          <t>UPPSALA LÄN</t>
        </is>
      </c>
      <c r="G446" t="inlineStr">
        <is>
          <t>HEBY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46220</v>
      </c>
      <c r="E447" s="1" t="n">
        <v>46315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55.9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46223</v>
      </c>
      <c r="E448" s="1" t="n">
        <v>46315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44984</v>
      </c>
      <c r="E449" s="1" t="n">
        <v>46315</v>
      </c>
      <c r="F449" t="inlineStr">
        <is>
          <t>UPPSALA LÄN</t>
        </is>
      </c>
      <c r="G449" t="inlineStr">
        <is>
          <t>HEBY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51521-2023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46315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46223</v>
      </c>
      <c r="E451" s="1" t="n">
        <v>46315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44984</v>
      </c>
      <c r="E452" s="1" t="n">
        <v>46315</v>
      </c>
      <c r="F452" t="inlineStr">
        <is>
          <t>UPPSALA LÄN</t>
        </is>
      </c>
      <c r="G452" t="inlineStr">
        <is>
          <t>HEBY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46224</v>
      </c>
      <c r="E453" s="1" t="n">
        <v>46315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13243-2022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44644</v>
      </c>
      <c r="E454" s="1" t="n">
        <v>46315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31890-2026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46231</v>
      </c>
      <c r="E455" s="1" t="n">
        <v>46315</v>
      </c>
      <c r="F455" t="inlineStr">
        <is>
          <t>UPPSALA LÄN</t>
        </is>
      </c>
      <c r="G455" t="inlineStr">
        <is>
          <t>HEBY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46315</v>
      </c>
      <c r="F456" t="inlineStr">
        <is>
          <t>UPPSALA LÄN</t>
        </is>
      </c>
      <c r="G456" t="inlineStr">
        <is>
          <t>HEBY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31888-2026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46315</v>
      </c>
      <c r="F457" t="inlineStr">
        <is>
          <t>UPPSALA LÄN</t>
        </is>
      </c>
      <c r="G457" t="inlineStr">
        <is>
          <t>HEBY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46315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45639</v>
      </c>
      <c r="E459" s="1" t="n">
        <v>46315</v>
      </c>
      <c r="F459" t="inlineStr">
        <is>
          <t>UPPSALA LÄN</t>
        </is>
      </c>
      <c r="G459" t="inlineStr">
        <is>
          <t>HEBY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9497-2023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44981</v>
      </c>
      <c r="E460" s="1" t="n">
        <v>46315</v>
      </c>
      <c r="F460" t="inlineStr">
        <is>
          <t>UPPSALA LÄN</t>
        </is>
      </c>
      <c r="G460" t="inlineStr">
        <is>
          <t>HEBY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60788-2022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44914</v>
      </c>
      <c r="E461" s="1" t="n">
        <v>46315</v>
      </c>
      <c r="F461" t="inlineStr">
        <is>
          <t>UPPSALA LÄN</t>
        </is>
      </c>
      <c r="G461" t="inlineStr">
        <is>
          <t>HEBY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11835-2024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45376</v>
      </c>
      <c r="E462" s="1" t="n">
        <v>46315</v>
      </c>
      <c r="F462" t="inlineStr">
        <is>
          <t>UPPSALA LÄN</t>
        </is>
      </c>
      <c r="G462" t="inlineStr">
        <is>
          <t>HEBY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32292-2026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46315</v>
      </c>
      <c r="F463" t="inlineStr">
        <is>
          <t>UPPSALA LÄN</t>
        </is>
      </c>
      <c r="G463" t="inlineStr">
        <is>
          <t>HEBY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45252</v>
      </c>
      <c r="E464" s="1" t="n">
        <v>46315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46280</v>
      </c>
      <c r="E465" s="1" t="n">
        <v>46315</v>
      </c>
      <c r="F465" t="inlineStr">
        <is>
          <t>UPPSALA LÄN</t>
        </is>
      </c>
      <c r="G465" t="inlineStr">
        <is>
          <t>HEBY</t>
        </is>
      </c>
      <c r="H465" t="inlineStr">
        <is>
          <t>Sveaskog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45111</v>
      </c>
      <c r="E466" s="1" t="n">
        <v>46315</v>
      </c>
      <c r="F466" t="inlineStr">
        <is>
          <t>UPPSALA LÄN</t>
        </is>
      </c>
      <c r="G466" t="inlineStr">
        <is>
          <t>HEBY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46280</v>
      </c>
      <c r="E467" s="1" t="n">
        <v>46315</v>
      </c>
      <c r="F467" t="inlineStr">
        <is>
          <t>UPPSALA LÄN</t>
        </is>
      </c>
      <c r="G467" t="inlineStr">
        <is>
          <t>HEBY</t>
        </is>
      </c>
      <c r="H467" t="inlineStr">
        <is>
          <t>Sveaskog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46280</v>
      </c>
      <c r="E468" s="1" t="n">
        <v>46315</v>
      </c>
      <c r="F468" t="inlineStr">
        <is>
          <t>UPPSALA LÄN</t>
        </is>
      </c>
      <c r="G468" t="inlineStr">
        <is>
          <t>HEBY</t>
        </is>
      </c>
      <c r="H468" t="inlineStr">
        <is>
          <t>Sveaskog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46315</v>
      </c>
      <c r="F469" t="inlineStr">
        <is>
          <t>UPPSALA LÄN</t>
        </is>
      </c>
      <c r="G469" t="inlineStr">
        <is>
          <t>HEBY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32290-2026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46237</v>
      </c>
      <c r="E470" s="1" t="n">
        <v>46315</v>
      </c>
      <c r="F470" t="inlineStr">
        <is>
          <t>UPPSALA LÄN</t>
        </is>
      </c>
      <c r="G470" t="inlineStr">
        <is>
          <t>HEBY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45135</v>
      </c>
      <c r="E471" s="1" t="n">
        <v>46315</v>
      </c>
      <c r="F471" t="inlineStr">
        <is>
          <t>UPPSALA LÄN</t>
        </is>
      </c>
      <c r="G471" t="inlineStr">
        <is>
          <t>HEBY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46279</v>
      </c>
      <c r="E472" s="1" t="n">
        <v>46315</v>
      </c>
      <c r="F472" t="inlineStr">
        <is>
          <t>UPPSALA LÄN</t>
        </is>
      </c>
      <c r="G472" t="inlineStr">
        <is>
          <t>HEBY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46278</v>
      </c>
      <c r="E473" s="1" t="n">
        <v>46315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37784-2026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46315</v>
      </c>
      <c r="F474" t="inlineStr">
        <is>
          <t>UPPSALA LÄN</t>
        </is>
      </c>
      <c r="G474" t="inlineStr">
        <is>
          <t>HEBY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33703-2023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46315</v>
      </c>
      <c r="F475" t="inlineStr">
        <is>
          <t>UPPSALA LÄN</t>
        </is>
      </c>
      <c r="G475" t="inlineStr">
        <is>
          <t>HEBY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45117</v>
      </c>
      <c r="E476" s="1" t="n">
        <v>46315</v>
      </c>
      <c r="F476" t="inlineStr">
        <is>
          <t>UPPSALA LÄN</t>
        </is>
      </c>
      <c r="G476" t="inlineStr">
        <is>
          <t>HEBY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52252-2024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45607</v>
      </c>
      <c r="E477" s="1" t="n">
        <v>46315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väst AB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46281</v>
      </c>
      <c r="E478" s="1" t="n">
        <v>46315</v>
      </c>
      <c r="F478" t="inlineStr">
        <is>
          <t>UPPSALA LÄN</t>
        </is>
      </c>
      <c r="G478" t="inlineStr">
        <is>
          <t>HEBY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46238</v>
      </c>
      <c r="E479" s="1" t="n">
        <v>46315</v>
      </c>
      <c r="F479" t="inlineStr">
        <is>
          <t>UPPSALA LÄN</t>
        </is>
      </c>
      <c r="G479" t="inlineStr">
        <is>
          <t>HEBY</t>
        </is>
      </c>
      <c r="H479" t="inlineStr">
        <is>
          <t>Kyrkan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46238</v>
      </c>
      <c r="E480" s="1" t="n">
        <v>46315</v>
      </c>
      <c r="F480" t="inlineStr">
        <is>
          <t>UPPSALA LÄN</t>
        </is>
      </c>
      <c r="G480" t="inlineStr">
        <is>
          <t>HEBY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45599</v>
      </c>
      <c r="E481" s="1" t="n">
        <v>46315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45344</v>
      </c>
      <c r="E482" s="1" t="n">
        <v>46315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44911</v>
      </c>
      <c r="E483" s="1" t="n">
        <v>46315</v>
      </c>
      <c r="F483" t="inlineStr">
        <is>
          <t>UPPSALA LÄN</t>
        </is>
      </c>
      <c r="G483" t="inlineStr">
        <is>
          <t>HEBY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17239-2026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46315</v>
      </c>
      <c r="F484" t="inlineStr">
        <is>
          <t>UPPSALA LÄN</t>
        </is>
      </c>
      <c r="G484" t="inlineStr">
        <is>
          <t>HEBY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39536-2024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45551</v>
      </c>
      <c r="E485" s="1" t="n">
        <v>46315</v>
      </c>
      <c r="F485" t="inlineStr">
        <is>
          <t>UPPSALA LÄN</t>
        </is>
      </c>
      <c r="G485" t="inlineStr">
        <is>
          <t>HEBY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45519</v>
      </c>
      <c r="E486" s="1" t="n">
        <v>46315</v>
      </c>
      <c r="F486" t="inlineStr">
        <is>
          <t>UPPSALA LÄN</t>
        </is>
      </c>
      <c r="G486" t="inlineStr">
        <is>
          <t>HEBY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45519</v>
      </c>
      <c r="E487" s="1" t="n">
        <v>46315</v>
      </c>
      <c r="F487" t="inlineStr">
        <is>
          <t>UPPSALA LÄN</t>
        </is>
      </c>
      <c r="G487" t="inlineStr">
        <is>
          <t>HEBY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44900</v>
      </c>
      <c r="E488" s="1" t="n">
        <v>46315</v>
      </c>
      <c r="F488" t="inlineStr">
        <is>
          <t>UPPSALA LÄN</t>
        </is>
      </c>
      <c r="G488" t="inlineStr">
        <is>
          <t>HEBY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45058</v>
      </c>
      <c r="E489" s="1" t="n">
        <v>46315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48956-2023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45209</v>
      </c>
      <c r="E490" s="1" t="n">
        <v>46315</v>
      </c>
      <c r="F490" t="inlineStr">
        <is>
          <t>UPPSALA LÄN</t>
        </is>
      </c>
      <c r="G490" t="inlineStr">
        <is>
          <t>HEBY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38243-2026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46281</v>
      </c>
      <c r="E491" s="1" t="n">
        <v>46315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46287</v>
      </c>
      <c r="E492" s="1" t="n">
        <v>46315</v>
      </c>
      <c r="F492" t="inlineStr">
        <is>
          <t>UPPSALA LÄN</t>
        </is>
      </c>
      <c r="G492" t="inlineStr">
        <is>
          <t>HEBY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44979</v>
      </c>
      <c r="E493" s="1" t="n">
        <v>46315</v>
      </c>
      <c r="F493" t="inlineStr">
        <is>
          <t>UPPSALA LÄN</t>
        </is>
      </c>
      <c r="G493" t="inlineStr">
        <is>
          <t>HEBY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8881-2025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46315</v>
      </c>
      <c r="F494" t="inlineStr">
        <is>
          <t>UPPSALA LÄN</t>
        </is>
      </c>
      <c r="G494" t="inlineStr">
        <is>
          <t>HEBY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46315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öst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39690-2026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46289</v>
      </c>
      <c r="E496" s="1" t="n">
        <v>46315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öst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39713-2026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46290</v>
      </c>
      <c r="E497" s="1" t="n">
        <v>46315</v>
      </c>
      <c r="F497" t="inlineStr">
        <is>
          <t>UPPSALA LÄN</t>
        </is>
      </c>
      <c r="G497" t="inlineStr">
        <is>
          <t>HEBY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45321</v>
      </c>
      <c r="E498" s="1" t="n">
        <v>46315</v>
      </c>
      <c r="F498" t="inlineStr">
        <is>
          <t>UPPSALA LÄN</t>
        </is>
      </c>
      <c r="G498" t="inlineStr">
        <is>
          <t>HEBY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39688-2026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46315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öst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46315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öst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46315</v>
      </c>
      <c r="F501" t="inlineStr">
        <is>
          <t>UPPSALA LÄN</t>
        </is>
      </c>
      <c r="G501" t="inlineStr">
        <is>
          <t>HEBY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52955-2022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44875</v>
      </c>
      <c r="E502" s="1" t="n">
        <v>46315</v>
      </c>
      <c r="F502" t="inlineStr">
        <is>
          <t>UPPSALA LÄN</t>
        </is>
      </c>
      <c r="G502" t="inlineStr">
        <is>
          <t>HEBY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46289</v>
      </c>
      <c r="E503" s="1" t="n">
        <v>46315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öst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39549-2026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46289</v>
      </c>
      <c r="E504" s="1" t="n">
        <v>46315</v>
      </c>
      <c r="F504" t="inlineStr">
        <is>
          <t>UPPSALA LÄN</t>
        </is>
      </c>
      <c r="G504" t="inlineStr">
        <is>
          <t>HEBY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40219-2026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46293</v>
      </c>
      <c r="E505" s="1" t="n">
        <v>46315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öst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46315</v>
      </c>
      <c r="F506" t="inlineStr">
        <is>
          <t>UPPSALA LÄN</t>
        </is>
      </c>
      <c r="G506" t="inlineStr">
        <is>
          <t>HEBY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46293</v>
      </c>
      <c r="E507" s="1" t="n">
        <v>46315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öst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31575-2023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45117</v>
      </c>
      <c r="E508" s="1" t="n">
        <v>46315</v>
      </c>
      <c r="F508" t="inlineStr">
        <is>
          <t>UPPSALA LÄN</t>
        </is>
      </c>
      <c r="G508" t="inlineStr">
        <is>
          <t>HEBY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40743-2026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46296</v>
      </c>
      <c r="E509" s="1" t="n">
        <v>46315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öst AB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40742-2026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46296</v>
      </c>
      <c r="E510" s="1" t="n">
        <v>46315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öst AB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14262-2025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46315</v>
      </c>
      <c r="F511" t="inlineStr">
        <is>
          <t>UPPSALA LÄN</t>
        </is>
      </c>
      <c r="G511" t="inlineStr">
        <is>
          <t>HEBY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41599-2023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45175</v>
      </c>
      <c r="E512" s="1" t="n">
        <v>46315</v>
      </c>
      <c r="F512" t="inlineStr">
        <is>
          <t>UPPSALA LÄN</t>
        </is>
      </c>
      <c r="G512" t="inlineStr">
        <is>
          <t>HEBY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40746-2026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46296</v>
      </c>
      <c r="E513" s="1" t="n">
        <v>46315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öst AB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54594-2024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45617</v>
      </c>
      <c r="E514" s="1" t="n">
        <v>46315</v>
      </c>
      <c r="F514" t="inlineStr">
        <is>
          <t>UPPSALA LÄN</t>
        </is>
      </c>
      <c r="G514" t="inlineStr">
        <is>
          <t>HEBY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40610-2026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46295</v>
      </c>
      <c r="E515" s="1" t="n">
        <v>46315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öst AB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46315</v>
      </c>
      <c r="F516" t="inlineStr">
        <is>
          <t>UPPSALA LÄN</t>
        </is>
      </c>
      <c r="G516" t="inlineStr">
        <is>
          <t>HEBY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40741-2026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46296</v>
      </c>
      <c r="E517" s="1" t="n">
        <v>46315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öst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46315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34281-2026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46315</v>
      </c>
      <c r="F519" t="inlineStr">
        <is>
          <t>UPPSALA LÄN</t>
        </is>
      </c>
      <c r="G519" t="inlineStr">
        <is>
          <t>HEBY</t>
        </is>
      </c>
      <c r="H519" t="inlineStr">
        <is>
          <t>Allmännings- och besparingsskogar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46315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46296</v>
      </c>
      <c r="E521" s="1" t="n">
        <v>46315</v>
      </c>
      <c r="F521" t="inlineStr">
        <is>
          <t>UPPSALA LÄN</t>
        </is>
      </c>
      <c r="G521" t="inlineStr">
        <is>
          <t>HEBY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34270-2026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46253</v>
      </c>
      <c r="E522" s="1" t="n">
        <v>46315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45747</v>
      </c>
      <c r="E523" s="1" t="n">
        <v>46315</v>
      </c>
      <c r="F523" t="inlineStr">
        <is>
          <t>UPPSALA LÄN</t>
        </is>
      </c>
      <c r="G523" t="inlineStr">
        <is>
          <t>HEBY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46315</v>
      </c>
      <c r="F524" t="inlineStr">
        <is>
          <t>UPPSALA LÄN</t>
        </is>
      </c>
      <c r="G524" t="inlineStr">
        <is>
          <t>HEBY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46315</v>
      </c>
      <c r="F525" t="inlineStr">
        <is>
          <t>UPPSALA LÄN</t>
        </is>
      </c>
      <c r="G525" t="inlineStr">
        <is>
          <t>HEBY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46315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46315</v>
      </c>
      <c r="F527" t="inlineStr">
        <is>
          <t>UPPSALA LÄN</t>
        </is>
      </c>
      <c r="G527" t="inlineStr">
        <is>
          <t>HEBY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34547-2026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46315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46315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45317</v>
      </c>
      <c r="E530" s="1" t="n">
        <v>46315</v>
      </c>
      <c r="F530" t="inlineStr">
        <is>
          <t>UPPSALA LÄN</t>
        </is>
      </c>
      <c r="G530" t="inlineStr">
        <is>
          <t>HEBY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41312-2026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46300</v>
      </c>
      <c r="E531" s="1" t="n">
        <v>46315</v>
      </c>
      <c r="F531" t="inlineStr">
        <is>
          <t>UPPSALA LÄN</t>
        </is>
      </c>
      <c r="G531" t="inlineStr">
        <is>
          <t>HEBY</t>
        </is>
      </c>
      <c r="I531" t="n">
        <v>17.5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14437-2024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45394</v>
      </c>
      <c r="E532" s="1" t="n">
        <v>46315</v>
      </c>
      <c r="F532" t="inlineStr">
        <is>
          <t>UPPSALA LÄN</t>
        </is>
      </c>
      <c r="G532" t="inlineStr">
        <is>
          <t>HEBY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34544-2026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46315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46315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37975-2026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46280</v>
      </c>
      <c r="E535" s="1" t="n">
        <v>46315</v>
      </c>
      <c r="F535" t="inlineStr">
        <is>
          <t>UPPSALA LÄN</t>
        </is>
      </c>
      <c r="G535" t="inlineStr">
        <is>
          <t>HEBY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46315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46315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45355</v>
      </c>
      <c r="E538" s="1" t="n">
        <v>46315</v>
      </c>
      <c r="F538" t="inlineStr">
        <is>
          <t>UPPSALA LÄN</t>
        </is>
      </c>
      <c r="G538" t="inlineStr">
        <is>
          <t>HEBY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46315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46315</v>
      </c>
      <c r="F540" t="inlineStr">
        <is>
          <t>UPPSALA LÄN</t>
        </is>
      </c>
      <c r="G540" t="inlineStr">
        <is>
          <t>HEBY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13213-2022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44644</v>
      </c>
      <c r="E541" s="1" t="n">
        <v>46315</v>
      </c>
      <c r="F541" t="inlineStr">
        <is>
          <t>UPPSALA LÄN</t>
        </is>
      </c>
      <c r="G541" t="inlineStr">
        <is>
          <t>HEBY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40994-2026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46297</v>
      </c>
      <c r="E542" s="1" t="n">
        <v>46315</v>
      </c>
      <c r="F542" t="inlineStr">
        <is>
          <t>UPPSALA LÄN</t>
        </is>
      </c>
      <c r="G542" t="inlineStr">
        <is>
          <t>HEBY</t>
        </is>
      </c>
      <c r="I542" t="n">
        <v>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46301</v>
      </c>
      <c r="E543" s="1" t="n">
        <v>46315</v>
      </c>
      <c r="F543" t="inlineStr">
        <is>
          <t>UPPSALA LÄN</t>
        </is>
      </c>
      <c r="G543" t="inlineStr">
        <is>
          <t>HEBY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41332-2026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46301</v>
      </c>
      <c r="E544" s="1" t="n">
        <v>46315</v>
      </c>
      <c r="F544" t="inlineStr">
        <is>
          <t>UPPSALA LÄN</t>
        </is>
      </c>
      <c r="G544" t="inlineStr">
        <is>
          <t>HEBY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41607-2026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46302</v>
      </c>
      <c r="E545" s="1" t="n">
        <v>46315</v>
      </c>
      <c r="F545" t="inlineStr">
        <is>
          <t>UPPSALA LÄN</t>
        </is>
      </c>
      <c r="G545" t="inlineStr">
        <is>
          <t>HEBY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46301</v>
      </c>
      <c r="E546" s="1" t="n">
        <v>46315</v>
      </c>
      <c r="F546" t="inlineStr">
        <is>
          <t>UPPSALA LÄN</t>
        </is>
      </c>
      <c r="G546" t="inlineStr">
        <is>
          <t>HEBY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46315</v>
      </c>
      <c r="F547" t="inlineStr">
        <is>
          <t>UPPSALA LÄN</t>
        </is>
      </c>
      <c r="G547" t="inlineStr">
        <is>
          <t>HEBY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34696-2026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46315</v>
      </c>
      <c r="F548" t="inlineStr">
        <is>
          <t>UPPSALA LÄN</t>
        </is>
      </c>
      <c r="G548" t="inlineStr">
        <is>
          <t>HEBY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46302</v>
      </c>
      <c r="E549" s="1" t="n">
        <v>46315</v>
      </c>
      <c r="F549" t="inlineStr">
        <is>
          <t>UPPSALA LÄN</t>
        </is>
      </c>
      <c r="G549" t="inlineStr">
        <is>
          <t>HEBY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41556-2023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45175</v>
      </c>
      <c r="E550" s="1" t="n">
        <v>46315</v>
      </c>
      <c r="F550" t="inlineStr">
        <is>
          <t>UPPSALA LÄN</t>
        </is>
      </c>
      <c r="G550" t="inlineStr">
        <is>
          <t>HEBY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46315</v>
      </c>
      <c r="F551" t="inlineStr">
        <is>
          <t>UPPSALA LÄN</t>
        </is>
      </c>
      <c r="G551" t="inlineStr">
        <is>
          <t>HEBY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46301</v>
      </c>
      <c r="E552" s="1" t="n">
        <v>46315</v>
      </c>
      <c r="F552" t="inlineStr">
        <is>
          <t>UPPSALA LÄN</t>
        </is>
      </c>
      <c r="G552" t="inlineStr">
        <is>
          <t>HEBY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44946</v>
      </c>
      <c r="E553" s="1" t="n">
        <v>46315</v>
      </c>
      <c r="F553" t="inlineStr">
        <is>
          <t>UPPSALA LÄN</t>
        </is>
      </c>
      <c r="G553" t="inlineStr">
        <is>
          <t>HEBY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41599-2026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46302</v>
      </c>
      <c r="E554" s="1" t="n">
        <v>46315</v>
      </c>
      <c r="F554" t="inlineStr">
        <is>
          <t>UPPSALA LÄN</t>
        </is>
      </c>
      <c r="G554" t="inlineStr">
        <is>
          <t>HEBY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46315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33734-2023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45133</v>
      </c>
      <c r="E556" s="1" t="n">
        <v>46315</v>
      </c>
      <c r="F556" t="inlineStr">
        <is>
          <t>UPPSALA LÄN</t>
        </is>
      </c>
      <c r="G556" t="inlineStr">
        <is>
          <t>HEBY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46315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48948-2023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46315</v>
      </c>
      <c r="F558" t="inlineStr">
        <is>
          <t>UPPSALA LÄN</t>
        </is>
      </c>
      <c r="G558" t="inlineStr">
        <is>
          <t>HEBY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46315</v>
      </c>
      <c r="F559" t="inlineStr">
        <is>
          <t>UPPSALA LÄN</t>
        </is>
      </c>
      <c r="G559" t="inlineStr">
        <is>
          <t>HEBY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45797</v>
      </c>
      <c r="E560" s="1" t="n">
        <v>46315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10.6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46315</v>
      </c>
      <c r="F561" t="inlineStr">
        <is>
          <t>UPPSALA LÄN</t>
        </is>
      </c>
      <c r="G561" t="inlineStr">
        <is>
          <t>HEBY</t>
        </is>
      </c>
      <c r="H561" t="inlineStr">
        <is>
          <t>Övriga Aktiebolag</t>
        </is>
      </c>
      <c r="I561" t="n">
        <v>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46315</v>
      </c>
      <c r="F562" t="inlineStr">
        <is>
          <t>UPPSALA LÄN</t>
        </is>
      </c>
      <c r="G562" t="inlineStr">
        <is>
          <t>HEBY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41912-2026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46303</v>
      </c>
      <c r="E563" s="1" t="n">
        <v>46315</v>
      </c>
      <c r="F563" t="inlineStr">
        <is>
          <t>UPPSALA LÄN</t>
        </is>
      </c>
      <c r="G563" t="inlineStr">
        <is>
          <t>HEBY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38831-2024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45547</v>
      </c>
      <c r="E564" s="1" t="n">
        <v>46315</v>
      </c>
      <c r="F564" t="inlineStr">
        <is>
          <t>UPPSALA LÄN</t>
        </is>
      </c>
      <c r="G564" t="inlineStr">
        <is>
          <t>HEBY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40491-2026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46295</v>
      </c>
      <c r="E565" s="1" t="n">
        <v>46315</v>
      </c>
      <c r="F565" t="inlineStr">
        <is>
          <t>UPPSALA LÄN</t>
        </is>
      </c>
      <c r="G565" t="inlineStr">
        <is>
          <t>HEBY</t>
        </is>
      </c>
      <c r="H565" t="inlineStr">
        <is>
          <t>Allmännings- och besparingsskogar</t>
        </is>
      </c>
      <c r="I565" t="n">
        <v>10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22333-2025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45786</v>
      </c>
      <c r="E566" s="1" t="n">
        <v>46315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46315</v>
      </c>
      <c r="F567" t="inlineStr">
        <is>
          <t>UPPSALA LÄN</t>
        </is>
      </c>
      <c r="G567" t="inlineStr">
        <is>
          <t>HEBY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45804</v>
      </c>
      <c r="E568" s="1" t="n">
        <v>46315</v>
      </c>
      <c r="F568" t="inlineStr">
        <is>
          <t>UPPSALA LÄN</t>
        </is>
      </c>
      <c r="G568" t="inlineStr">
        <is>
          <t>HEBY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45803</v>
      </c>
      <c r="E569" s="1" t="n">
        <v>46315</v>
      </c>
      <c r="F569" t="inlineStr">
        <is>
          <t>UPPSALA LÄN</t>
        </is>
      </c>
      <c r="G569" t="inlineStr">
        <is>
          <t>HEBY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7497-2025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45705</v>
      </c>
      <c r="E570" s="1" t="n">
        <v>46315</v>
      </c>
      <c r="F570" t="inlineStr">
        <is>
          <t>UPPSALA LÄN</t>
        </is>
      </c>
      <c r="G570" t="inlineStr">
        <is>
          <t>HEBY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45390</v>
      </c>
      <c r="E571" s="1" t="n">
        <v>46315</v>
      </c>
      <c r="F571" t="inlineStr">
        <is>
          <t>UPPSALA LÄN</t>
        </is>
      </c>
      <c r="G571" t="inlineStr">
        <is>
          <t>HEBY</t>
        </is>
      </c>
      <c r="I571" t="n">
        <v>15.8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41216-2025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45898</v>
      </c>
      <c r="E572" s="1" t="n">
        <v>46315</v>
      </c>
      <c r="F572" t="inlineStr">
        <is>
          <t>UPPSALA LÄN</t>
        </is>
      </c>
      <c r="G572" t="inlineStr">
        <is>
          <t>HEBY</t>
        </is>
      </c>
      <c r="I572" t="n">
        <v>14.8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14884-2024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45398</v>
      </c>
      <c r="E573" s="1" t="n">
        <v>46315</v>
      </c>
      <c r="F573" t="inlineStr">
        <is>
          <t>UPPSALA LÄN</t>
        </is>
      </c>
      <c r="G573" t="inlineStr">
        <is>
          <t>HEBY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45680</v>
      </c>
      <c r="E574" s="1" t="n">
        <v>46315</v>
      </c>
      <c r="F574" t="inlineStr">
        <is>
          <t>UPPSALA LÄN</t>
        </is>
      </c>
      <c r="G574" t="inlineStr">
        <is>
          <t>HEBY</t>
        </is>
      </c>
      <c r="I574" t="n">
        <v>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44984</v>
      </c>
      <c r="E575" s="1" t="n">
        <v>46315</v>
      </c>
      <c r="F575" t="inlineStr">
        <is>
          <t>UPPSALA LÄN</t>
        </is>
      </c>
      <c r="G575" t="inlineStr">
        <is>
          <t>HEBY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45519</v>
      </c>
      <c r="E576" s="1" t="n">
        <v>46315</v>
      </c>
      <c r="F576" t="inlineStr">
        <is>
          <t>UPPSALA LÄN</t>
        </is>
      </c>
      <c r="G576" t="inlineStr">
        <is>
          <t>HEBY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35435-2026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46262</v>
      </c>
      <c r="E577" s="1" t="n">
        <v>46315</v>
      </c>
      <c r="F577" t="inlineStr">
        <is>
          <t>UPPSALA LÄN</t>
        </is>
      </c>
      <c r="G577" t="inlineStr">
        <is>
          <t>HEBY</t>
        </is>
      </c>
      <c r="I577" t="n">
        <v>6.3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25525-2023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45089</v>
      </c>
      <c r="E578" s="1" t="n">
        <v>46315</v>
      </c>
      <c r="F578" t="inlineStr">
        <is>
          <t>UPPSALA LÄN</t>
        </is>
      </c>
      <c r="G578" t="inlineStr">
        <is>
          <t>HEBY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56795-2024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45628</v>
      </c>
      <c r="E579" s="1" t="n">
        <v>46315</v>
      </c>
      <c r="F579" t="inlineStr">
        <is>
          <t>UPPSALA LÄN</t>
        </is>
      </c>
      <c r="G579" t="inlineStr">
        <is>
          <t>HEBY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8199-2025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45708</v>
      </c>
      <c r="E580" s="1" t="n">
        <v>46315</v>
      </c>
      <c r="F580" t="inlineStr">
        <is>
          <t>UPPSALA LÄN</t>
        </is>
      </c>
      <c r="G580" t="inlineStr">
        <is>
          <t>HEBY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49536-2024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45596</v>
      </c>
      <c r="E581" s="1" t="n">
        <v>46315</v>
      </c>
      <c r="F581" t="inlineStr">
        <is>
          <t>UPPSALA LÄN</t>
        </is>
      </c>
      <c r="G581" t="inlineStr">
        <is>
          <t>HEBY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42334-2026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46307</v>
      </c>
      <c r="E582" s="1" t="n">
        <v>46315</v>
      </c>
      <c r="F582" t="inlineStr">
        <is>
          <t>UPPSALA LÄN</t>
        </is>
      </c>
      <c r="G582" t="inlineStr">
        <is>
          <t>HEBY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45818</v>
      </c>
      <c r="E583" s="1" t="n">
        <v>46315</v>
      </c>
      <c r="F583" t="inlineStr">
        <is>
          <t>UPPSALA LÄN</t>
        </is>
      </c>
      <c r="G583" t="inlineStr">
        <is>
          <t>HEBY</t>
        </is>
      </c>
      <c r="H583" t="inlineStr">
        <is>
          <t>Kyrkan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28561-2025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46315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42240-2026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46307</v>
      </c>
      <c r="E585" s="1" t="n">
        <v>46315</v>
      </c>
      <c r="F585" t="inlineStr">
        <is>
          <t>UPPSALA LÄN</t>
        </is>
      </c>
      <c r="G585" t="inlineStr">
        <is>
          <t>HEBY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46315</v>
      </c>
      <c r="F586" t="inlineStr">
        <is>
          <t>UPPSALA LÄN</t>
        </is>
      </c>
      <c r="G586" t="inlineStr">
        <is>
          <t>HEBY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45820</v>
      </c>
      <c r="E587" s="1" t="n">
        <v>46315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45825</v>
      </c>
      <c r="E588" s="1" t="n">
        <v>46315</v>
      </c>
      <c r="F588" t="inlineStr">
        <is>
          <t>UPPSALA LÄN</t>
        </is>
      </c>
      <c r="G588" t="inlineStr">
        <is>
          <t>HEBY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45826</v>
      </c>
      <c r="E589" s="1" t="n">
        <v>46315</v>
      </c>
      <c r="F589" t="inlineStr">
        <is>
          <t>UPPSALA LÄN</t>
        </is>
      </c>
      <c r="G589" t="inlineStr">
        <is>
          <t>HEBY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38818-2026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46286</v>
      </c>
      <c r="E590" s="1" t="n">
        <v>46315</v>
      </c>
      <c r="F590" t="inlineStr">
        <is>
          <t>UPPSALA LÄN</t>
        </is>
      </c>
      <c r="G590" t="inlineStr">
        <is>
          <t>HEBY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31058-2025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45832</v>
      </c>
      <c r="E591" s="1" t="n">
        <v>46315</v>
      </c>
      <c r="F591" t="inlineStr">
        <is>
          <t>UPPSALA LÄN</t>
        </is>
      </c>
      <c r="G591" t="inlineStr">
        <is>
          <t>HEBY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19132-2025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46315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43037-2026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46315</v>
      </c>
      <c r="F593" t="inlineStr">
        <is>
          <t>UPPSALA LÄN</t>
        </is>
      </c>
      <c r="G593" t="inlineStr">
        <is>
          <t>HEBY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43040-2026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46311</v>
      </c>
      <c r="E594" s="1" t="n">
        <v>46315</v>
      </c>
      <c r="F594" t="inlineStr">
        <is>
          <t>UPPSALA LÄN</t>
        </is>
      </c>
      <c r="G594" t="inlineStr">
        <is>
          <t>HEBY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45764</v>
      </c>
      <c r="E595" s="1" t="n">
        <v>46315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43.4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46315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43184-2026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46312</v>
      </c>
      <c r="E597" s="1" t="n">
        <v>46315</v>
      </c>
      <c r="F597" t="inlineStr">
        <is>
          <t>UPPSALA LÄN</t>
        </is>
      </c>
      <c r="G597" t="inlineStr">
        <is>
          <t>HEBY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43282-2026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46314</v>
      </c>
      <c r="E598" s="1" t="n">
        <v>46315</v>
      </c>
      <c r="F598" t="inlineStr">
        <is>
          <t>UPPSALA LÄN</t>
        </is>
      </c>
      <c r="G598" t="inlineStr">
        <is>
          <t>HEBY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43289-2026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46314</v>
      </c>
      <c r="E599" s="1" t="n">
        <v>46315</v>
      </c>
      <c r="F599" t="inlineStr">
        <is>
          <t>UPPSALA LÄN</t>
        </is>
      </c>
      <c r="G599" t="inlineStr">
        <is>
          <t>HEBY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46311</v>
      </c>
      <c r="E600" s="1" t="n">
        <v>46315</v>
      </c>
      <c r="F600" t="inlineStr">
        <is>
          <t>UPPSALA LÄN</t>
        </is>
      </c>
      <c r="G600" t="inlineStr">
        <is>
          <t>HEBY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43139-2026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46311</v>
      </c>
      <c r="E601" s="1" t="n">
        <v>46315</v>
      </c>
      <c r="F601" t="inlineStr">
        <is>
          <t>UPPSALA LÄN</t>
        </is>
      </c>
      <c r="G601" t="inlineStr">
        <is>
          <t>HEBY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46315</v>
      </c>
      <c r="F602" t="inlineStr">
        <is>
          <t>UPPSALA LÄN</t>
        </is>
      </c>
      <c r="G602" t="inlineStr">
        <is>
          <t>HEBY</t>
        </is>
      </c>
      <c r="H602" t="inlineStr">
        <is>
          <t>Kyrkan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45838</v>
      </c>
      <c r="E603" s="1" t="n">
        <v>46315</v>
      </c>
      <c r="F603" t="inlineStr">
        <is>
          <t>UPPSALA LÄN</t>
        </is>
      </c>
      <c r="G603" t="inlineStr">
        <is>
          <t>HEBY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43270-2026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46314</v>
      </c>
      <c r="E604" s="1" t="n">
        <v>46315</v>
      </c>
      <c r="F604" t="inlineStr">
        <is>
          <t>UPPSALA LÄN</t>
        </is>
      </c>
      <c r="G604" t="inlineStr">
        <is>
          <t>HEBY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43182-2026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46312</v>
      </c>
      <c r="E605" s="1" t="n">
        <v>46315</v>
      </c>
      <c r="F605" t="inlineStr">
        <is>
          <t>UPPSALA LÄN</t>
        </is>
      </c>
      <c r="G605" t="inlineStr">
        <is>
          <t>HEBY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43242-2026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46314</v>
      </c>
      <c r="E606" s="1" t="n">
        <v>46315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öst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43244-2026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46314</v>
      </c>
      <c r="E607" s="1" t="n">
        <v>46315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öst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34072-2025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45845</v>
      </c>
      <c r="E608" s="1" t="n">
        <v>46315</v>
      </c>
      <c r="F608" t="inlineStr">
        <is>
          <t>UPPSALA LÄN</t>
        </is>
      </c>
      <c r="G608" t="inlineStr">
        <is>
          <t>HEBY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29747-2025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46315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väst AB</t>
        </is>
      </c>
      <c r="I609" t="n">
        <v>11.8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46315</v>
      </c>
      <c r="F610" t="inlineStr">
        <is>
          <t>UPPSALA LÄN</t>
        </is>
      </c>
      <c r="G610" t="inlineStr">
        <is>
          <t>HEBY</t>
        </is>
      </c>
      <c r="H610" t="inlineStr">
        <is>
          <t>Kyrkan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36684-2026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46315</v>
      </c>
      <c r="F611" t="inlineStr">
        <is>
          <t>UPPSALA LÄN</t>
        </is>
      </c>
      <c r="G611" t="inlineStr">
        <is>
          <t>HEBY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34559-2025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45847</v>
      </c>
      <c r="E612" s="1" t="n">
        <v>46315</v>
      </c>
      <c r="F612" t="inlineStr">
        <is>
          <t>UPPSALA LÄN</t>
        </is>
      </c>
      <c r="G612" t="inlineStr">
        <is>
          <t>HEBY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46315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43276-2026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46314</v>
      </c>
      <c r="E614" s="1" t="n">
        <v>46315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öst AB</t>
        </is>
      </c>
      <c r="I614" t="n">
        <v>8.800000000000001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46314</v>
      </c>
      <c r="E615" s="1" t="n">
        <v>46315</v>
      </c>
      <c r="F615" t="inlineStr">
        <is>
          <t>UPPSALA LÄN</t>
        </is>
      </c>
      <c r="G615" t="inlineStr">
        <is>
          <t>HEBY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43302-2026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46314</v>
      </c>
      <c r="E616" s="1" t="n">
        <v>46315</v>
      </c>
      <c r="F616" t="inlineStr">
        <is>
          <t>UPPSALA LÄN</t>
        </is>
      </c>
      <c r="G616" t="inlineStr">
        <is>
          <t>HEBY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35265-2025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45852</v>
      </c>
      <c r="E617" s="1" t="n">
        <v>46315</v>
      </c>
      <c r="F617" t="inlineStr">
        <is>
          <t>UPPSALA LÄN</t>
        </is>
      </c>
      <c r="G617" t="inlineStr">
        <is>
          <t>HEBY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45852</v>
      </c>
      <c r="E618" s="1" t="n">
        <v>46315</v>
      </c>
      <c r="F618" t="inlineStr">
        <is>
          <t>UPPSALA LÄN</t>
        </is>
      </c>
      <c r="G618" t="inlineStr">
        <is>
          <t>HEBY</t>
        </is>
      </c>
      <c r="H618" t="inlineStr">
        <is>
          <t>Kyrkan</t>
        </is>
      </c>
      <c r="I618" t="n">
        <v>10.3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36454-2026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46269</v>
      </c>
      <c r="E619" s="1" t="n">
        <v>46315</v>
      </c>
      <c r="F619" t="inlineStr">
        <is>
          <t>UPPSALA LÄN</t>
        </is>
      </c>
      <c r="G619" t="inlineStr">
        <is>
          <t>HEBY</t>
        </is>
      </c>
      <c r="I619" t="n">
        <v>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46272</v>
      </c>
      <c r="E620" s="1" t="n">
        <v>46315</v>
      </c>
      <c r="F620" t="inlineStr">
        <is>
          <t>UPPSALA LÄN</t>
        </is>
      </c>
      <c r="G620" t="inlineStr">
        <is>
          <t>HEBY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20995-2025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45777</v>
      </c>
      <c r="E621" s="1" t="n">
        <v>46315</v>
      </c>
      <c r="F621" t="inlineStr">
        <is>
          <t>UPPSALA LÄN</t>
        </is>
      </c>
      <c r="G621" t="inlineStr">
        <is>
          <t>HEBY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1334-2022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44629</v>
      </c>
      <c r="E622" s="1" t="n">
        <v>46315</v>
      </c>
      <c r="F622" t="inlineStr">
        <is>
          <t>UPPSALA LÄN</t>
        </is>
      </c>
      <c r="G622" t="inlineStr">
        <is>
          <t>HEBY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10324-2021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44546</v>
      </c>
      <c r="E623" s="1" t="n">
        <v>46315</v>
      </c>
      <c r="F623" t="inlineStr">
        <is>
          <t>UPPSALA LÄN</t>
        </is>
      </c>
      <c r="G623" t="inlineStr">
        <is>
          <t>HEBY</t>
        </is>
      </c>
      <c r="H623" t="inlineStr">
        <is>
          <t>Bergvik skog väst AB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517-2022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44588</v>
      </c>
      <c r="E624" s="1" t="n">
        <v>46315</v>
      </c>
      <c r="F624" t="inlineStr">
        <is>
          <t>UPPSALA LÄN</t>
        </is>
      </c>
      <c r="G624" t="inlineStr">
        <is>
          <t>HEBY</t>
        </is>
      </c>
      <c r="H624" t="inlineStr">
        <is>
          <t>Bergvik skog öst AB</t>
        </is>
      </c>
      <c r="I624" t="n">
        <v>30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2310-2022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44684</v>
      </c>
      <c r="E625" s="1" t="n">
        <v>46315</v>
      </c>
      <c r="F625" t="inlineStr">
        <is>
          <t>UPPSALA LÄN</t>
        </is>
      </c>
      <c r="G625" t="inlineStr">
        <is>
          <t>HEBY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1330-2022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44629</v>
      </c>
      <c r="E626" s="1" t="n">
        <v>46315</v>
      </c>
      <c r="F626" t="inlineStr">
        <is>
          <t>UPPSALA LÄN</t>
        </is>
      </c>
      <c r="G626" t="inlineStr">
        <is>
          <t>HEBY</t>
        </is>
      </c>
      <c r="I626" t="n">
        <v>25.1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  <c r="Z626">
        <f>HYPERLINK("https://klasma.github.io/Logging_0331/knärot/S 1330-2022 karta knärot.png", "S 1330-2022")</f>
        <v/>
      </c>
      <c r="AA626">
        <f>HYPERLINK("https://klasma.github.io/Logging_0331/klagomål/S 1330-2022 FSC-klagomål.docx", "S 1330-2022")</f>
        <v/>
      </c>
      <c r="AB626">
        <f>HYPERLINK("https://klasma.github.io/Logging_0331/klagomålsmail/S 1330-2022 FSC-klagomål mail.docx", "S 1330-2022")</f>
        <v/>
      </c>
      <c r="AC626">
        <f>HYPERLINK("https://klasma.github.io/Logging_0331/tillsyn/S 1330-2022 tillsynsbegäran.docx", "S 1330-2022")</f>
        <v/>
      </c>
      <c r="AD626">
        <f>HYPERLINK("https://klasma.github.io/Logging_0331/tillsynsmail/S 1330-2022 tillsynsbegäran mail.docx", "S 1330-2022")</f>
        <v/>
      </c>
    </row>
    <row r="627" ht="15" customHeight="1">
      <c r="A627" t="inlineStr">
        <is>
          <t>S 3256-2023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45191</v>
      </c>
      <c r="E627" s="1" t="n">
        <v>46315</v>
      </c>
      <c r="F627" t="inlineStr">
        <is>
          <t>UPPSALA LÄN</t>
        </is>
      </c>
      <c r="G627" t="inlineStr">
        <is>
          <t>HEBY</t>
        </is>
      </c>
      <c r="H627" t="inlineStr">
        <is>
          <t>Bergvik skog väst AB</t>
        </is>
      </c>
      <c r="I627" t="n">
        <v>20.9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4466-2022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44788</v>
      </c>
      <c r="E628" s="1" t="n">
        <v>46315</v>
      </c>
      <c r="F628" t="inlineStr">
        <is>
          <t>UPPSALA LÄN</t>
        </is>
      </c>
      <c r="G628" t="inlineStr">
        <is>
          <t>HEBY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4423-2024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45590</v>
      </c>
      <c r="E629" s="1" t="n">
        <v>46315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47.6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1385-2024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45411</v>
      </c>
      <c r="E630" s="1" t="n">
        <v>46315</v>
      </c>
      <c r="F630" t="inlineStr">
        <is>
          <t>UPPSALA LÄN</t>
        </is>
      </c>
      <c r="G630" t="inlineStr">
        <is>
          <t>HEBY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2797-2024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45485</v>
      </c>
      <c r="E631" s="1" t="n">
        <v>46315</v>
      </c>
      <c r="F631" t="inlineStr">
        <is>
          <t>UPPSALA LÄN</t>
        </is>
      </c>
      <c r="G631" t="inlineStr">
        <is>
          <t>HEBY</t>
        </is>
      </c>
      <c r="H631" t="inlineStr">
        <is>
          <t>Bergvik skog väst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398-2025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45699</v>
      </c>
      <c r="E632" s="1" t="n">
        <v>46315</v>
      </c>
      <c r="F632" t="inlineStr">
        <is>
          <t>UPPSALA LÄN</t>
        </is>
      </c>
      <c r="G632" t="inlineStr">
        <is>
          <t>HEBY</t>
        </is>
      </c>
      <c r="H632" t="inlineStr">
        <is>
          <t>Bergvik skog öst AB</t>
        </is>
      </c>
      <c r="I632" t="n">
        <v>23.3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1386-2024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45411</v>
      </c>
      <c r="E633" s="1" t="n">
        <v>46315</v>
      </c>
      <c r="F633" t="inlineStr">
        <is>
          <t>UPPSALA LÄN</t>
        </is>
      </c>
      <c r="G633" t="inlineStr">
        <is>
          <t>HEBY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4464-2022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44788</v>
      </c>
      <c r="E634" s="1" t="n">
        <v>46315</v>
      </c>
      <c r="F634" t="inlineStr">
        <is>
          <t>UPPSALA LÄN</t>
        </is>
      </c>
      <c r="G634" t="inlineStr">
        <is>
          <t>HEBY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3301-2025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45987</v>
      </c>
      <c r="E635" s="1" t="n">
        <v>46315</v>
      </c>
      <c r="F635" t="inlineStr">
        <is>
          <t>UPPSALA LÄN</t>
        </is>
      </c>
      <c r="G635" t="inlineStr">
        <is>
          <t>HEBY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3478-2025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46000</v>
      </c>
      <c r="E636" s="1" t="n">
        <v>46315</v>
      </c>
      <c r="F636" t="inlineStr">
        <is>
          <t>UPPSALA LÄN</t>
        </is>
      </c>
      <c r="G636" t="inlineStr">
        <is>
          <t>HEBY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598-2026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46085</v>
      </c>
      <c r="E637" s="1" t="n">
        <v>46315</v>
      </c>
      <c r="F637" t="inlineStr">
        <is>
          <t>UPPSALA LÄN</t>
        </is>
      </c>
      <c r="G637" t="inlineStr">
        <is>
          <t>HEBY</t>
        </is>
      </c>
      <c r="H637" t="inlineStr">
        <is>
          <t>Bergvik skog väst AB</t>
        </is>
      </c>
      <c r="I637" t="n">
        <v>43.4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1818-2026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46190</v>
      </c>
      <c r="E638" s="1" t="n">
        <v>46315</v>
      </c>
      <c r="F638" t="inlineStr">
        <is>
          <t>UPPSALA LÄN</t>
        </is>
      </c>
      <c r="G638" t="inlineStr">
        <is>
          <t>HEBY</t>
        </is>
      </c>
      <c r="H638" t="inlineStr">
        <is>
          <t>Kommuner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2346-2026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46273</v>
      </c>
      <c r="E639" s="1" t="n">
        <v>46315</v>
      </c>
      <c r="F639" t="inlineStr">
        <is>
          <t>UPPSALA LÄN</t>
        </is>
      </c>
      <c r="G639" t="inlineStr">
        <is>
          <t>HEBY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2026-10-20T01:55:28Z</dcterms:modified>
</cp:coreProperties>
</file>
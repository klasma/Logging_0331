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46311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46311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46311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46311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46311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46311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46311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46311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46311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46311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46311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46311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46311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44525-2022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44840</v>
      </c>
      <c r="E24" s="1" t="n">
        <v>46311</v>
      </c>
      <c r="F24" t="inlineStr">
        <is>
          <t>UPPSALA LÄN</t>
        </is>
      </c>
      <c r="G24" t="inlineStr">
        <is>
          <t>HEBY</t>
        </is>
      </c>
      <c r="I24" t="n">
        <v>1.8</v>
      </c>
      <c r="J24" t="n">
        <v>1</v>
      </c>
      <c r="K24" t="n">
        <v>3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Knärot
Bronshjon
Thomsons trägnagare
Vedticka</t>
        </is>
      </c>
      <c r="W24">
        <f>HYPERLINK("https://klasma.github.io/Logging_0331/artfynd/A 44525-2022 artfynd.xlsx", "A 44525-2022")</f>
        <v/>
      </c>
      <c r="X24">
        <f>HYPERLINK("https://klasma.github.io/Logging_0331/kartor/A 44525-2022 karta.png", "A 44525-2022")</f>
        <v/>
      </c>
      <c r="Y24">
        <f>HYPERLINK("https://klasma.github.io/Logging_0331/kartor_geotiff/A 44525-2022 georefererad karta.tif", "A 44525-2022")</f>
        <v/>
      </c>
      <c r="Z24">
        <f>HYPERLINK("https://klasma.github.io/Logging_0331/knärot/A 44525-2022 karta knärot.png", "A 44525-2022")</f>
        <v/>
      </c>
      <c r="AA24">
        <f>HYPERLINK("https://klasma.github.io/Logging_0331/klagomål/A 44525-2022 FSC-klagomål.docx", "A 44525-2022")</f>
        <v/>
      </c>
      <c r="AB24">
        <f>HYPERLINK("https://klasma.github.io/Logging_0331/klagomålsmail/A 44525-2022 FSC-klagomål mail.docx", "A 44525-2022")</f>
        <v/>
      </c>
      <c r="AC24">
        <f>HYPERLINK("https://klasma.github.io/Logging_0331/tillsyn/A 44525-2022 tillsynsbegäran.docx", "A 44525-2022")</f>
        <v/>
      </c>
      <c r="AD24">
        <f>HYPERLINK("https://klasma.github.io/Logging_0331/tillsynsmail/A 44525-2022 tillsynsbegäran mail.docx", "A 44525-2022")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46311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46311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46311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32785-2023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46311</v>
      </c>
      <c r="F28" t="inlineStr">
        <is>
          <t>UPPSALA LÄN</t>
        </is>
      </c>
      <c r="G28" t="inlineStr">
        <is>
          <t>HEBY</t>
        </is>
      </c>
      <c r="I28" t="n">
        <v>3.1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5</v>
      </c>
      <c r="U28" t="n">
        <v>3</v>
      </c>
      <c r="V28" s="2" t="inlineStr">
        <is>
          <t>Garnlav
Talltita
Spillkråka
Huggorm</t>
        </is>
      </c>
      <c r="W28">
        <f>HYPERLINK("https://klasma.github.io/Logging_0331/artfynd/A 32785-2023 artfynd.xlsx", "A 32785-2023")</f>
        <v/>
      </c>
      <c r="X28">
        <f>HYPERLINK("https://klasma.github.io/Logging_0331/kartor/A 32785-2023 karta.png", "A 32785-2023")</f>
        <v/>
      </c>
      <c r="Y28">
        <f>HYPERLINK("https://klasma.github.io/Logging_0331/kartor_geotiff/A 32785-2023 georefererad karta.tif", "A 32785-2023")</f>
        <v/>
      </c>
      <c r="AA28">
        <f>HYPERLINK("https://klasma.github.io/Logging_0331/klagomål/A 32785-2023 FSC-klagomål.docx", "A 32785-2023")</f>
        <v/>
      </c>
      <c r="AB28">
        <f>HYPERLINK("https://klasma.github.io/Logging_0331/klagomålsmail/A 32785-2023 FSC-klagomål mail.docx", "A 32785-2023")</f>
        <v/>
      </c>
      <c r="AC28">
        <f>HYPERLINK("https://klasma.github.io/Logging_0331/tillsyn/A 32785-2023 tillsynsbegäran.docx", "A 32785-2023")</f>
        <v/>
      </c>
      <c r="AD28">
        <f>HYPERLINK("https://klasma.github.io/Logging_0331/tillsynsmail/A 32785-2023 tillsynsbegäran mail.docx", "A 32785-2023")</f>
        <v/>
      </c>
      <c r="AE28">
        <f>HYPERLINK("https://klasma.github.io/Logging_0331/fåglar/A 32785-2023 prioriterade fågelarter.docx", "A 32785-2023")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46311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46311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46311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46311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46311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46311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46311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46311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46311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46311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46311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46311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46311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46311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46311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46311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46311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25632-2026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46311</v>
      </c>
      <c r="F46" t="inlineStr">
        <is>
          <t>UPPSALA LÄN</t>
        </is>
      </c>
      <c r="G46" t="inlineStr">
        <is>
          <t>HEBY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Tjäder
Havsörn</t>
        </is>
      </c>
      <c r="W46">
        <f>HYPERLINK("https://klasma.github.io/Logging_0331/artfynd/A 25632-2026 artfynd.xlsx", "A 25632-2026")</f>
        <v/>
      </c>
      <c r="X46">
        <f>HYPERLINK("https://klasma.github.io/Logging_0331/kartor/A 25632-2026 karta.png", "A 25632-2026")</f>
        <v/>
      </c>
      <c r="Y46">
        <f>HYPERLINK("https://klasma.github.io/Logging_0331/kartor_geotiff/A 25632-2026 georefererad karta.tif", "A 25632-2026")</f>
        <v/>
      </c>
      <c r="AA46">
        <f>HYPERLINK("https://klasma.github.io/Logging_0331/klagomål/A 25632-2026 FSC-klagomål.docx", "A 25632-2026")</f>
        <v/>
      </c>
      <c r="AB46">
        <f>HYPERLINK("https://klasma.github.io/Logging_0331/klagomålsmail/A 25632-2026 FSC-klagomål mail.docx", "A 25632-2026")</f>
        <v/>
      </c>
      <c r="AC46">
        <f>HYPERLINK("https://klasma.github.io/Logging_0331/tillsyn/A 25632-2026 tillsynsbegäran.docx", "A 25632-2026")</f>
        <v/>
      </c>
      <c r="AD46">
        <f>HYPERLINK("https://klasma.github.io/Logging_0331/tillsynsmail/A 25632-2026 tillsynsbegäran mail.docx", "A 25632-2026")</f>
        <v/>
      </c>
      <c r="AE46">
        <f>HYPERLINK("https://klasma.github.io/Logging_0331/fåglar/A 25632-2026 prioriterade fågelarter.docx", "A 25632-2026")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46311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46311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46311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46311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46311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46311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46311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17006-2024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45411</v>
      </c>
      <c r="E55" s="1" t="n">
        <v>46311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14.6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HYPERLINK("https://klasma.github.io/Logging_0331/artfynd/A 17006-2024 artfynd.xlsx", "A 17006-2024")</f>
        <v/>
      </c>
      <c r="X55">
        <f>HYPERLINK("https://klasma.github.io/Logging_0331/kartor/A 17006-2024 karta.png", "A 17006-2024")</f>
        <v/>
      </c>
      <c r="Y55">
        <f>HYPERLINK("https://klasma.github.io/Logging_0331/kartor_geotiff/A 17006-2024 georefererad karta.tif", "A 17006-2024")</f>
        <v/>
      </c>
      <c r="AA55">
        <f>HYPERLINK("https://klasma.github.io/Logging_0331/klagomål/A 17006-2024 FSC-klagomål.docx", "A 17006-2024")</f>
        <v/>
      </c>
      <c r="AB55">
        <f>HYPERLINK("https://klasma.github.io/Logging_0331/klagomålsmail/A 17006-2024 FSC-klagomål mail.docx", "A 17006-2024")</f>
        <v/>
      </c>
      <c r="AC55">
        <f>HYPERLINK("https://klasma.github.io/Logging_0331/tillsyn/A 17006-2024 tillsynsbegäran.docx", "A 17006-2024")</f>
        <v/>
      </c>
      <c r="AD55">
        <f>HYPERLINK("https://klasma.github.io/Logging_0331/tillsynsmail/A 17006-2024 tillsynsbegäran mail.docx", "A 17006-2024")</f>
        <v/>
      </c>
      <c r="AE55">
        <f>HYPERLINK("https://klasma.github.io/Logging_0331/fåglar/A 17006-2024 prioriterade fågelarter.docx", "A 17006-2024")</f>
        <v/>
      </c>
    </row>
    <row r="56" ht="15" customHeight="1">
      <c r="A56" t="inlineStr">
        <is>
          <t>A 24562-2023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45083</v>
      </c>
      <c r="E56" s="1" t="n">
        <v>46311</v>
      </c>
      <c r="F56" t="inlineStr">
        <is>
          <t>UPPSALA LÄN</t>
        </is>
      </c>
      <c r="G56" t="inlineStr">
        <is>
          <t>HEBY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HYPERLINK("https://klasma.github.io/Logging_0331/artfynd/A 24562-2023 artfynd.xlsx", "A 24562-2023")</f>
        <v/>
      </c>
      <c r="X56">
        <f>HYPERLINK("https://klasma.github.io/Logging_0331/kartor/A 24562-2023 karta.png", "A 24562-2023")</f>
        <v/>
      </c>
      <c r="Y56">
        <f>HYPERLINK("https://klasma.github.io/Logging_0331/kartor_geotiff/A 24562-2023 georefererad karta.tif", "A 24562-2023")</f>
        <v/>
      </c>
      <c r="AA56">
        <f>HYPERLINK("https://klasma.github.io/Logging_0331/klagomål/A 24562-2023 FSC-klagomål.docx", "A 24562-2023")</f>
        <v/>
      </c>
      <c r="AB56">
        <f>HYPERLINK("https://klasma.github.io/Logging_0331/klagomålsmail/A 24562-2023 FSC-klagomål mail.docx", "A 24562-2023")</f>
        <v/>
      </c>
      <c r="AC56">
        <f>HYPERLINK("https://klasma.github.io/Logging_0331/tillsyn/A 24562-2023 tillsynsbegäran.docx", "A 24562-2023")</f>
        <v/>
      </c>
      <c r="AD56">
        <f>HYPERLINK("https://klasma.github.io/Logging_0331/tillsynsmail/A 24562-2023 tillsynsbegäran mail.docx", "A 24562-2023")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46311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8624-2024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46311</v>
      </c>
      <c r="F58" t="inlineStr">
        <is>
          <t>UPPSALA LÄN</t>
        </is>
      </c>
      <c r="G58" t="inlineStr">
        <is>
          <t>HEBY</t>
        </is>
      </c>
      <c r="I58" t="n">
        <v>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11</v>
      </c>
      <c r="U58" t="n">
        <v>0</v>
      </c>
      <c r="V58" s="2" t="inlineStr">
        <is>
          <t>Motaggsvamp</t>
        </is>
      </c>
      <c r="W58">
        <f>HYPERLINK("https://klasma.github.io/Logging_0331/artfynd/A 8624-2024 artfynd.xlsx", "A 8624-2024")</f>
        <v/>
      </c>
      <c r="X58">
        <f>HYPERLINK("https://klasma.github.io/Logging_0331/kartor/A 8624-2024 karta.png", "A 8624-2024")</f>
        <v/>
      </c>
      <c r="Y58">
        <f>HYPERLINK("https://klasma.github.io/Logging_0331/kartor_geotiff/A 8624-2024 georefererad karta.tif", "A 8624-2024")</f>
        <v/>
      </c>
      <c r="AA58">
        <f>HYPERLINK("https://klasma.github.io/Logging_0331/klagomål/A 8624-2024 FSC-klagomål.docx", "A 8624-2024")</f>
        <v/>
      </c>
      <c r="AB58">
        <f>HYPERLINK("https://klasma.github.io/Logging_0331/klagomålsmail/A 8624-2024 FSC-klagomål mail.docx", "A 8624-2024")</f>
        <v/>
      </c>
      <c r="AC58">
        <f>HYPERLINK("https://klasma.github.io/Logging_0331/tillsyn/A 8624-2024 tillsynsbegäran.docx", "A 8624-2024")</f>
        <v/>
      </c>
      <c r="AD58">
        <f>HYPERLINK("https://klasma.github.io/Logging_0331/tillsynsmail/A 8624-2024 tillsynsbegäran mail.docx", "A 8624-2024")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46311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46311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46311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46311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46311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46311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53992-2023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46311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HYPERLINK("https://klasma.github.io/Logging_0331/artfynd/A 53992-2023 artfynd.xlsx", "A 53992-2023")</f>
        <v/>
      </c>
      <c r="X65">
        <f>HYPERLINK("https://klasma.github.io/Logging_0331/kartor/A 53992-2023 karta.png", "A 53992-2023")</f>
        <v/>
      </c>
      <c r="Y65">
        <f>HYPERLINK("https://klasma.github.io/Logging_0331/kartor_geotiff/A 53992-2023 georefererad karta.tif", "A 53992-2023")</f>
        <v/>
      </c>
      <c r="AA65">
        <f>HYPERLINK("https://klasma.github.io/Logging_0331/klagomål/A 53992-2023 FSC-klagomål.docx", "A 53992-2023")</f>
        <v/>
      </c>
      <c r="AB65">
        <f>HYPERLINK("https://klasma.github.io/Logging_0331/klagomålsmail/A 53992-2023 FSC-klagomål mail.docx", "A 53992-2023")</f>
        <v/>
      </c>
      <c r="AC65">
        <f>HYPERLINK("https://klasma.github.io/Logging_0331/tillsyn/A 53992-2023 tillsynsbegäran.docx", "A 53992-2023")</f>
        <v/>
      </c>
      <c r="AD65">
        <f>HYPERLINK("https://klasma.github.io/Logging_0331/tillsynsmail/A 53992-2023 tillsynsbegäran mail.docx", "A 53992-2023")</f>
        <v/>
      </c>
    </row>
    <row r="66" ht="15" customHeight="1">
      <c r="A66" t="inlineStr">
        <is>
          <t>A 63940-2023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45278</v>
      </c>
      <c r="E66" s="1" t="n">
        <v>46311</v>
      </c>
      <c r="F66" t="inlineStr">
        <is>
          <t>UPPSALA LÄN</t>
        </is>
      </c>
      <c r="G66" t="inlineStr">
        <is>
          <t>HEBY</t>
        </is>
      </c>
      <c r="I66" t="n">
        <v>2.4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Gullpudra</t>
        </is>
      </c>
      <c r="W66">
        <f>HYPERLINK("https://klasma.github.io/Logging_0331/artfynd/A 63940-2023 artfynd.xlsx", "A 63940-2023")</f>
        <v/>
      </c>
      <c r="X66">
        <f>HYPERLINK("https://klasma.github.io/Logging_0331/kartor/A 63940-2023 karta.png", "A 63940-2023")</f>
        <v/>
      </c>
      <c r="Y66">
        <f>HYPERLINK("https://klasma.github.io/Logging_0331/kartor_geotiff/A 63940-2023 georefererad karta.tif", "A 63940-2023")</f>
        <v/>
      </c>
      <c r="AA66">
        <f>HYPERLINK("https://klasma.github.io/Logging_0331/klagomål/A 63940-2023 FSC-klagomål.docx", "A 63940-2023")</f>
        <v/>
      </c>
      <c r="AB66">
        <f>HYPERLINK("https://klasma.github.io/Logging_0331/klagomålsmail/A 63940-2023 FSC-klagomål mail.docx", "A 63940-2023")</f>
        <v/>
      </c>
      <c r="AC66">
        <f>HYPERLINK("https://klasma.github.io/Logging_0331/tillsyn/A 63940-2023 tillsynsbegäran.docx", "A 63940-2023")</f>
        <v/>
      </c>
      <c r="AD66">
        <f>HYPERLINK("https://klasma.github.io/Logging_0331/tillsynsmail/A 63940-2023 tillsynsbegäran mail.docx", "A 63940-2023")</f>
        <v/>
      </c>
    </row>
    <row r="67" ht="15" customHeight="1">
      <c r="A67" t="inlineStr">
        <is>
          <t>A 27871-2023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46311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HYPERLINK("https://klasma.github.io/Logging_0331/artfynd/A 27871-2023 artfynd.xlsx", "A 27871-2023")</f>
        <v/>
      </c>
      <c r="X67">
        <f>HYPERLINK("https://klasma.github.io/Logging_0331/kartor/A 27871-2023 karta.png", "A 27871-2023")</f>
        <v/>
      </c>
      <c r="Y67">
        <f>HYPERLINK("https://klasma.github.io/Logging_0331/kartor_geotiff/A 27871-2023 georefererad karta.tif", "A 27871-2023")</f>
        <v/>
      </c>
      <c r="AA67">
        <f>HYPERLINK("https://klasma.github.io/Logging_0331/klagomål/A 27871-2023 FSC-klagomål.docx", "A 27871-2023")</f>
        <v/>
      </c>
      <c r="AB67">
        <f>HYPERLINK("https://klasma.github.io/Logging_0331/klagomålsmail/A 27871-2023 FSC-klagomål mail.docx", "A 27871-2023")</f>
        <v/>
      </c>
      <c r="AC67">
        <f>HYPERLINK("https://klasma.github.io/Logging_0331/tillsyn/A 27871-2023 tillsynsbegäran.docx", "A 27871-2023")</f>
        <v/>
      </c>
      <c r="AD67">
        <f>HYPERLINK("https://klasma.github.io/Logging_0331/tillsynsmail/A 27871-2023 tillsynsbegäran mail.docx", "A 27871-2023")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46311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46311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49707-2023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45208</v>
      </c>
      <c r="E70" s="1" t="n">
        <v>46311</v>
      </c>
      <c r="F70" t="inlineStr">
        <is>
          <t>UPPSALA LÄN</t>
        </is>
      </c>
      <c r="G70" t="inlineStr">
        <is>
          <t>HEBY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Granbarkgnagare</t>
        </is>
      </c>
      <c r="W70">
        <f>HYPERLINK("https://klasma.github.io/Logging_0331/artfynd/A 49707-2023 artfynd.xlsx", "A 49707-2023")</f>
        <v/>
      </c>
      <c r="X70">
        <f>HYPERLINK("https://klasma.github.io/Logging_0331/kartor/A 49707-2023 karta.png", "A 49707-2023")</f>
        <v/>
      </c>
      <c r="Y70">
        <f>HYPERLINK("https://klasma.github.io/Logging_0331/kartor_geotiff/A 49707-2023 georefererad karta.tif", "A 49707-2023")</f>
        <v/>
      </c>
      <c r="AA70">
        <f>HYPERLINK("https://klasma.github.io/Logging_0331/klagomål/A 49707-2023 FSC-klagomål.docx", "A 49707-2023")</f>
        <v/>
      </c>
      <c r="AB70">
        <f>HYPERLINK("https://klasma.github.io/Logging_0331/klagomålsmail/A 49707-2023 FSC-klagomål mail.docx", "A 49707-2023")</f>
        <v/>
      </c>
      <c r="AC70">
        <f>HYPERLINK("https://klasma.github.io/Logging_0331/tillsyn/A 49707-2023 tillsynsbegäran.docx", "A 49707-2023")</f>
        <v/>
      </c>
      <c r="AD70">
        <f>HYPERLINK("https://klasma.github.io/Logging_0331/tillsynsmail/A 49707-2023 tillsynsbegäran mail.docx", "A 49707-2023")</f>
        <v/>
      </c>
    </row>
    <row r="71" ht="15" customHeight="1">
      <c r="A71" t="inlineStr">
        <is>
          <t>A 19555-2025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45770</v>
      </c>
      <c r="E71" s="1" t="n">
        <v>46311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Sparvuggla</t>
        </is>
      </c>
      <c r="W71">
        <f>HYPERLINK("https://klasma.github.io/Logging_0331/artfynd/A 19555-2025 artfynd.xlsx", "A 19555-2025")</f>
        <v/>
      </c>
      <c r="X71">
        <f>HYPERLINK("https://klasma.github.io/Logging_0331/kartor/A 19555-2025 karta.png", "A 19555-2025")</f>
        <v/>
      </c>
      <c r="Y71">
        <f>HYPERLINK("https://klasma.github.io/Logging_0331/kartor_geotiff/A 19555-2025 georefererad karta.tif", "A 19555-2025")</f>
        <v/>
      </c>
      <c r="AA71">
        <f>HYPERLINK("https://klasma.github.io/Logging_0331/klagomål/A 19555-2025 FSC-klagomål.docx", "A 19555-2025")</f>
        <v/>
      </c>
      <c r="AB71">
        <f>HYPERLINK("https://klasma.github.io/Logging_0331/klagomålsmail/A 19555-2025 FSC-klagomål mail.docx", "A 19555-2025")</f>
        <v/>
      </c>
      <c r="AC71">
        <f>HYPERLINK("https://klasma.github.io/Logging_0331/tillsyn/A 19555-2025 tillsynsbegäran.docx", "A 19555-2025")</f>
        <v/>
      </c>
      <c r="AD71">
        <f>HYPERLINK("https://klasma.github.io/Logging_0331/tillsynsmail/A 19555-2025 tillsynsbegäran mail.docx", "A 19555-2025")</f>
        <v/>
      </c>
      <c r="AE71">
        <f>HYPERLINK("https://klasma.github.io/Logging_0331/fåglar/A 19555-2025 prioriterade fågelarter.docx", "A 19555-2025")</f>
        <v/>
      </c>
    </row>
    <row r="72" ht="15" customHeight="1">
      <c r="A72" t="inlineStr">
        <is>
          <t>A 61598-2021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46311</v>
      </c>
      <c r="F72" t="inlineStr">
        <is>
          <t>UPPSALA LÄN</t>
        </is>
      </c>
      <c r="G72" t="inlineStr">
        <is>
          <t>HEBY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Trana</t>
        </is>
      </c>
      <c r="W72">
        <f>HYPERLINK("https://klasma.github.io/Logging_0331/artfynd/A 61598-2021 artfynd.xlsx", "A 61598-2021")</f>
        <v/>
      </c>
      <c r="X72">
        <f>HYPERLINK("https://klasma.github.io/Logging_0331/kartor/A 61598-2021 karta.png", "A 61598-2021")</f>
        <v/>
      </c>
      <c r="Y72">
        <f>HYPERLINK("https://klasma.github.io/Logging_0331/kartor_geotiff/A 61598-2021 georefererad karta.tif", "A 61598-2021")</f>
        <v/>
      </c>
      <c r="AA72">
        <f>HYPERLINK("https://klasma.github.io/Logging_0331/klagomål/A 61598-2021 FSC-klagomål.docx", "A 61598-2021")</f>
        <v/>
      </c>
      <c r="AB72">
        <f>HYPERLINK("https://klasma.github.io/Logging_0331/klagomålsmail/A 61598-2021 FSC-klagomål mail.docx", "A 61598-2021")</f>
        <v/>
      </c>
      <c r="AC72">
        <f>HYPERLINK("https://klasma.github.io/Logging_0331/tillsyn/A 61598-2021 tillsynsbegäran.docx", "A 61598-2021")</f>
        <v/>
      </c>
      <c r="AD72">
        <f>HYPERLINK("https://klasma.github.io/Logging_0331/tillsynsmail/A 61598-2021 tillsynsbegäran mail.docx", "A 61598-2021")</f>
        <v/>
      </c>
      <c r="AE72">
        <f>HYPERLINK("https://klasma.github.io/Logging_0331/fåglar/A 61598-2021 prioriterade fågelarter.docx", "A 61598-2021")</f>
        <v/>
      </c>
    </row>
    <row r="73" ht="15" customHeight="1">
      <c r="A73" t="inlineStr">
        <is>
          <t>A 55663-2024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45622</v>
      </c>
      <c r="E73" s="1" t="n">
        <v>46311</v>
      </c>
      <c r="F73" t="inlineStr">
        <is>
          <t>UPPSALA LÄN</t>
        </is>
      </c>
      <c r="G73" t="inlineStr">
        <is>
          <t>HEBY</t>
        </is>
      </c>
      <c r="H73" t="inlineStr">
        <is>
          <t>Bergvik skog väst AB</t>
        </is>
      </c>
      <c r="I73" t="n">
        <v>4.5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Ullticka</t>
        </is>
      </c>
      <c r="W73">
        <f>HYPERLINK("https://klasma.github.io/Logging_0331/artfynd/A 55663-2024 artfynd.xlsx", "A 55663-2024")</f>
        <v/>
      </c>
      <c r="X73">
        <f>HYPERLINK("https://klasma.github.io/Logging_0331/kartor/A 55663-2024 karta.png", "A 55663-2024")</f>
        <v/>
      </c>
      <c r="Y73">
        <f>HYPERLINK("https://klasma.github.io/Logging_0331/kartor_geotiff/A 55663-2024 georefererad karta.tif", "A 55663-2024")</f>
        <v/>
      </c>
      <c r="AA73">
        <f>HYPERLINK("https://klasma.github.io/Logging_0331/klagomål/A 55663-2024 FSC-klagomål.docx", "A 55663-2024")</f>
        <v/>
      </c>
      <c r="AB73">
        <f>HYPERLINK("https://klasma.github.io/Logging_0331/klagomålsmail/A 55663-2024 FSC-klagomål mail.docx", "A 55663-2024")</f>
        <v/>
      </c>
      <c r="AC73">
        <f>HYPERLINK("https://klasma.github.io/Logging_0331/tillsyn/A 55663-2024 tillsynsbegäran.docx", "A 55663-2024")</f>
        <v/>
      </c>
      <c r="AD73">
        <f>HYPERLINK("https://klasma.github.io/Logging_0331/tillsynsmail/A 55663-2024 tillsynsbegäran mail.docx", "A 55663-2024")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46311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31885-2026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46231</v>
      </c>
      <c r="E75" s="1" t="n">
        <v>46311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Platt spretmossa</t>
        </is>
      </c>
      <c r="W75">
        <f>HYPERLINK("https://klasma.github.io/Logging_0331/artfynd/A 31885-2026 artfynd.xlsx", "A 31885-2026")</f>
        <v/>
      </c>
      <c r="X75">
        <f>HYPERLINK("https://klasma.github.io/Logging_0331/kartor/A 31885-2026 karta.png", "A 31885-2026")</f>
        <v/>
      </c>
      <c r="Y75">
        <f>HYPERLINK("https://klasma.github.io/Logging_0331/kartor_geotiff/A 31885-2026 georefererad karta.tif", "A 31885-2026")</f>
        <v/>
      </c>
      <c r="AA75">
        <f>HYPERLINK("https://klasma.github.io/Logging_0331/klagomål/A 31885-2026 FSC-klagomål.docx", "A 31885-2026")</f>
        <v/>
      </c>
      <c r="AB75">
        <f>HYPERLINK("https://klasma.github.io/Logging_0331/klagomålsmail/A 31885-2026 FSC-klagomål mail.docx", "A 31885-2026")</f>
        <v/>
      </c>
      <c r="AC75">
        <f>HYPERLINK("https://klasma.github.io/Logging_0331/tillsyn/A 31885-2026 tillsynsbegäran.docx", "A 31885-2026")</f>
        <v/>
      </c>
      <c r="AD75">
        <f>HYPERLINK("https://klasma.github.io/Logging_0331/tillsynsmail/A 31885-2026 tillsynsbegäran mail.docx", "A 31885-2026")</f>
        <v/>
      </c>
    </row>
    <row r="76" ht="15" customHeight="1">
      <c r="A76" t="inlineStr">
        <is>
          <t>A 17697-2024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46311</v>
      </c>
      <c r="F76" t="inlineStr">
        <is>
          <t>UPPSALA LÄN</t>
        </is>
      </c>
      <c r="G76" t="inlineStr">
        <is>
          <t>HEBY</t>
        </is>
      </c>
      <c r="I76" t="n">
        <v>0.6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HYPERLINK("https://klasma.github.io/Logging_0331/artfynd/A 17697-2024 artfynd.xlsx", "A 17697-2024")</f>
        <v/>
      </c>
      <c r="X76">
        <f>HYPERLINK("https://klasma.github.io/Logging_0331/kartor/A 17697-2024 karta.png", "A 17697-2024")</f>
        <v/>
      </c>
      <c r="Y76">
        <f>HYPERLINK("https://klasma.github.io/Logging_0331/kartor_geotiff/A 17697-2024 georefererad karta.tif", "A 17697-2024")</f>
        <v/>
      </c>
      <c r="AA76">
        <f>HYPERLINK("https://klasma.github.io/Logging_0331/klagomål/A 17697-2024 FSC-klagomål.docx", "A 17697-2024")</f>
        <v/>
      </c>
      <c r="AB76">
        <f>HYPERLINK("https://klasma.github.io/Logging_0331/klagomålsmail/A 17697-2024 FSC-klagomål mail.docx", "A 17697-2024")</f>
        <v/>
      </c>
      <c r="AC76">
        <f>HYPERLINK("https://klasma.github.io/Logging_0331/tillsyn/A 17697-2024 tillsynsbegäran.docx", "A 17697-2024")</f>
        <v/>
      </c>
      <c r="AD76">
        <f>HYPERLINK("https://klasma.github.io/Logging_0331/tillsynsmail/A 17697-2024 tillsynsbegäran mail.docx", "A 17697-2024")</f>
        <v/>
      </c>
    </row>
    <row r="77" ht="15" customHeight="1">
      <c r="A77" t="inlineStr">
        <is>
          <t>A 40506-2026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46295</v>
      </c>
      <c r="E77" s="1" t="n">
        <v>46311</v>
      </c>
      <c r="F77" t="inlineStr">
        <is>
          <t>UPPSALA LÄN</t>
        </is>
      </c>
      <c r="G77" t="inlineStr">
        <is>
          <t>HEBY</t>
        </is>
      </c>
      <c r="H77" t="inlineStr">
        <is>
          <t>Allmännings- och besparingsskogar</t>
        </is>
      </c>
      <c r="I77" t="n">
        <v>7.1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Röd glada</t>
        </is>
      </c>
      <c r="W77">
        <f>HYPERLINK("https://klasma.github.io/Logging_0331/artfynd/A 40506-2026 artfynd.xlsx", "A 40506-2026")</f>
        <v/>
      </c>
      <c r="X77">
        <f>HYPERLINK("https://klasma.github.io/Logging_0331/kartor/A 40506-2026 karta.png", "A 40506-2026")</f>
        <v/>
      </c>
      <c r="Y77">
        <f>HYPERLINK("https://klasma.github.io/Logging_0331/kartor_geotiff/A 40506-2026 georefererad karta.tif", "A 40506-2026")</f>
        <v/>
      </c>
      <c r="AA77">
        <f>HYPERLINK("https://klasma.github.io/Logging_0331/klagomål/A 40506-2026 FSC-klagomål.docx", "A 40506-2026")</f>
        <v/>
      </c>
      <c r="AB77">
        <f>HYPERLINK("https://klasma.github.io/Logging_0331/klagomålsmail/A 40506-2026 FSC-klagomål mail.docx", "A 40506-2026")</f>
        <v/>
      </c>
      <c r="AC77">
        <f>HYPERLINK("https://klasma.github.io/Logging_0331/tillsyn/A 40506-2026 tillsynsbegäran.docx", "A 40506-2026")</f>
        <v/>
      </c>
      <c r="AD77">
        <f>HYPERLINK("https://klasma.github.io/Logging_0331/tillsynsmail/A 40506-2026 tillsynsbegäran mail.docx", "A 40506-2026")</f>
        <v/>
      </c>
      <c r="AE77">
        <f>HYPERLINK("https://klasma.github.io/Logging_0331/fåglar/A 40506-2026 prioriterade fågelarter.docx", "A 40506-2026")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46311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9358-2026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46311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HYPERLINK("https://klasma.github.io/Logging_0331/artfynd/A 9358-2026 artfynd.xlsx", "A 9358-2026")</f>
        <v/>
      </c>
      <c r="X79">
        <f>HYPERLINK("https://klasma.github.io/Logging_0331/kartor/A 9358-2026 karta.png", "A 9358-2026")</f>
        <v/>
      </c>
      <c r="Y79">
        <f>HYPERLINK("https://klasma.github.io/Logging_0331/kartor_geotiff/A 9358-2026 georefererad karta.tif", "A 9358-2026")</f>
        <v/>
      </c>
      <c r="AA79">
        <f>HYPERLINK("https://klasma.github.io/Logging_0331/klagomål/A 9358-2026 FSC-klagomål.docx", "A 9358-2026")</f>
        <v/>
      </c>
      <c r="AB79">
        <f>HYPERLINK("https://klasma.github.io/Logging_0331/klagomålsmail/A 9358-2026 FSC-klagomål mail.docx", "A 9358-2026")</f>
        <v/>
      </c>
      <c r="AC79">
        <f>HYPERLINK("https://klasma.github.io/Logging_0331/tillsyn/A 9358-2026 tillsynsbegäran.docx", "A 9358-2026")</f>
        <v/>
      </c>
      <c r="AD79">
        <f>HYPERLINK("https://klasma.github.io/Logging_0331/tillsynsmail/A 9358-2026 tillsynsbegäran mail.docx", "A 9358-2026")</f>
        <v/>
      </c>
    </row>
    <row r="80" ht="15" customHeight="1">
      <c r="A80" t="inlineStr">
        <is>
          <t>A 42736-2026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46309</v>
      </c>
      <c r="E80" s="1" t="n">
        <v>46311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HYPERLINK("https://klasma.github.io/Logging_0331/artfynd/A 42736-2026 artfynd.xlsx", "A 42736-2026")</f>
        <v/>
      </c>
      <c r="X80">
        <f>HYPERLINK("https://klasma.github.io/Logging_0331/kartor/A 42736-2026 karta.png", "A 42736-2026")</f>
        <v/>
      </c>
      <c r="Y80">
        <f>HYPERLINK("https://klasma.github.io/Logging_0331/kartor_geotiff/A 42736-2026 georefererad karta.tif", "A 42736-2026")</f>
        <v/>
      </c>
      <c r="AA80">
        <f>HYPERLINK("https://klasma.github.io/Logging_0331/klagomål/A 42736-2026 FSC-klagomål.docx", "A 42736-2026")</f>
        <v/>
      </c>
      <c r="AB80">
        <f>HYPERLINK("https://klasma.github.io/Logging_0331/klagomålsmail/A 42736-2026 FSC-klagomål mail.docx", "A 42736-2026")</f>
        <v/>
      </c>
      <c r="AC80">
        <f>HYPERLINK("https://klasma.github.io/Logging_0331/tillsyn/A 42736-2026 tillsynsbegäran.docx", "A 42736-2026")</f>
        <v/>
      </c>
      <c r="AD80">
        <f>HYPERLINK("https://klasma.github.io/Logging_0331/tillsynsmail/A 42736-2026 tillsynsbegäran mail.docx", "A 42736-2026")</f>
        <v/>
      </c>
    </row>
    <row r="81" ht="15" customHeight="1">
      <c r="A81" t="inlineStr">
        <is>
          <t>A 9455-2026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46071</v>
      </c>
      <c r="E81" s="1" t="n">
        <v>46311</v>
      </c>
      <c r="F81" t="inlineStr">
        <is>
          <t>UPPSALA LÄN</t>
        </is>
      </c>
      <c r="G81" t="inlineStr">
        <is>
          <t>HEBY</t>
        </is>
      </c>
      <c r="I81" t="n">
        <v>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Kungsspindling</t>
        </is>
      </c>
      <c r="W81">
        <f>HYPERLINK("https://klasma.github.io/Logging_0331/artfynd/A 9455-2026 artfynd.xlsx", "A 9455-2026")</f>
        <v/>
      </c>
      <c r="X81">
        <f>HYPERLINK("https://klasma.github.io/Logging_0331/kartor/A 9455-2026 karta.png", "A 9455-2026")</f>
        <v/>
      </c>
      <c r="Y81">
        <f>HYPERLINK("https://klasma.github.io/Logging_0331/kartor_geotiff/A 9455-2026 georefererad karta.tif", "A 9455-2026")</f>
        <v/>
      </c>
      <c r="AA81">
        <f>HYPERLINK("https://klasma.github.io/Logging_0331/klagomål/A 9455-2026 FSC-klagomål.docx", "A 9455-2026")</f>
        <v/>
      </c>
      <c r="AB81">
        <f>HYPERLINK("https://klasma.github.io/Logging_0331/klagomålsmail/A 9455-2026 FSC-klagomål mail.docx", "A 9455-2026")</f>
        <v/>
      </c>
      <c r="AC81">
        <f>HYPERLINK("https://klasma.github.io/Logging_0331/tillsyn/A 9455-2026 tillsynsbegäran.docx", "A 9455-2026")</f>
        <v/>
      </c>
      <c r="AD81">
        <f>HYPERLINK("https://klasma.github.io/Logging_0331/tillsynsmail/A 9455-2026 tillsynsbegäran mail.docx", "A 9455-2026")</f>
        <v/>
      </c>
    </row>
    <row r="82" ht="15" customHeight="1">
      <c r="A82" t="inlineStr">
        <is>
          <t>A 11560-2026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46084</v>
      </c>
      <c r="E82" s="1" t="n">
        <v>46311</v>
      </c>
      <c r="F82" t="inlineStr">
        <is>
          <t>UPPSALA LÄN</t>
        </is>
      </c>
      <c r="G82" t="inlineStr">
        <is>
          <t>HEBY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vattensalamander</t>
        </is>
      </c>
      <c r="W82">
        <f>HYPERLINK("https://klasma.github.io/Logging_0331/artfynd/A 11560-2026 artfynd.xlsx", "A 11560-2026")</f>
        <v/>
      </c>
      <c r="X82">
        <f>HYPERLINK("https://klasma.github.io/Logging_0331/kartor/A 11560-2026 karta.png", "A 11560-2026")</f>
        <v/>
      </c>
      <c r="Y82">
        <f>HYPERLINK("https://klasma.github.io/Logging_0331/kartor_geotiff/A 11560-2026 georefererad karta.tif", "A 11560-2026")</f>
        <v/>
      </c>
      <c r="AA82">
        <f>HYPERLINK("https://klasma.github.io/Logging_0331/klagomål/A 11560-2026 FSC-klagomål.docx", "A 11560-2026")</f>
        <v/>
      </c>
      <c r="AB82">
        <f>HYPERLINK("https://klasma.github.io/Logging_0331/klagomålsmail/A 11560-2026 FSC-klagomål mail.docx", "A 11560-2026")</f>
        <v/>
      </c>
      <c r="AC82">
        <f>HYPERLINK("https://klasma.github.io/Logging_0331/tillsyn/A 11560-2026 tillsynsbegäran.docx", "A 11560-2026")</f>
        <v/>
      </c>
      <c r="AD82">
        <f>HYPERLINK("https://klasma.github.io/Logging_0331/tillsynsmail/A 11560-2026 tillsynsbegäran mail.docx", "A 11560-2026")</f>
        <v/>
      </c>
    </row>
    <row r="83" ht="15" customHeight="1">
      <c r="A83" t="inlineStr">
        <is>
          <t>A 11841-2026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46085</v>
      </c>
      <c r="E83" s="1" t="n">
        <v>46311</v>
      </c>
      <c r="F83" t="inlineStr">
        <is>
          <t>UPPSALA LÄN</t>
        </is>
      </c>
      <c r="G83" t="inlineStr">
        <is>
          <t>HEBY</t>
        </is>
      </c>
      <c r="I83" t="n">
        <v>1.1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Stor aspticka</t>
        </is>
      </c>
      <c r="W83">
        <f>HYPERLINK("https://klasma.github.io/Logging_0331/artfynd/A 11841-2026 artfynd.xlsx", "A 11841-2026")</f>
        <v/>
      </c>
      <c r="X83">
        <f>HYPERLINK("https://klasma.github.io/Logging_0331/kartor/A 11841-2026 karta.png", "A 11841-2026")</f>
        <v/>
      </c>
      <c r="Y83">
        <f>HYPERLINK("https://klasma.github.io/Logging_0331/kartor_geotiff/A 11841-2026 georefererad karta.tif", "A 11841-2026")</f>
        <v/>
      </c>
      <c r="AA83">
        <f>HYPERLINK("https://klasma.github.io/Logging_0331/klagomål/A 11841-2026 FSC-klagomål.docx", "A 11841-2026")</f>
        <v/>
      </c>
      <c r="AB83">
        <f>HYPERLINK("https://klasma.github.io/Logging_0331/klagomålsmail/A 11841-2026 FSC-klagomål mail.docx", "A 11841-2026")</f>
        <v/>
      </c>
      <c r="AC83">
        <f>HYPERLINK("https://klasma.github.io/Logging_0331/tillsyn/A 11841-2026 tillsynsbegäran.docx", "A 11841-2026")</f>
        <v/>
      </c>
      <c r="AD83">
        <f>HYPERLINK("https://klasma.github.io/Logging_0331/tillsynsmail/A 11841-2026 tillsynsbegäran mail.docx", "A 11841-2026")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46311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46311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46311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46311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46311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46311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46311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46311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46311</v>
      </c>
      <c r="F92" t="inlineStr">
        <is>
          <t>UPPSALA LÄN</t>
        </is>
      </c>
      <c r="G92" t="inlineStr">
        <is>
          <t>HEBY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46311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46311</v>
      </c>
      <c r="F94" t="inlineStr">
        <is>
          <t>UPPSALA LÄN</t>
        </is>
      </c>
      <c r="G94" t="inlineStr">
        <is>
          <t>HEBY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46311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44585</v>
      </c>
      <c r="E96" s="1" t="n">
        <v>46311</v>
      </c>
      <c r="F96" t="inlineStr">
        <is>
          <t>UPPSALA LÄN</t>
        </is>
      </c>
      <c r="G96" t="inlineStr">
        <is>
          <t>HEBY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46311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46311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46311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46311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46311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46311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46311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46311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46311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46311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46311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46311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46311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46311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46311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46311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46311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46311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46311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46311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46311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46311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46311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46311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46311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46311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44650</v>
      </c>
      <c r="E123" s="1" t="n">
        <v>46311</v>
      </c>
      <c r="F123" t="inlineStr">
        <is>
          <t>UPPSALA LÄN</t>
        </is>
      </c>
      <c r="G123" t="inlineStr">
        <is>
          <t>HEBY</t>
        </is>
      </c>
      <c r="H123" t="inlineStr">
        <is>
          <t>Bergvik skog öst AB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46311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44722</v>
      </c>
      <c r="E125" s="1" t="n">
        <v>46311</v>
      </c>
      <c r="F125" t="inlineStr">
        <is>
          <t>UPPSALA LÄN</t>
        </is>
      </c>
      <c r="G125" t="inlineStr">
        <is>
          <t>HEBY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44700</v>
      </c>
      <c r="E126" s="1" t="n">
        <v>46311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46311</v>
      </c>
      <c r="F127" t="inlineStr">
        <is>
          <t>UPPSALA LÄN</t>
        </is>
      </c>
      <c r="G127" t="inlineStr">
        <is>
          <t>HEBY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51091-2023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45218</v>
      </c>
      <c r="E128" s="1" t="n">
        <v>46311</v>
      </c>
      <c r="F128" t="inlineStr">
        <is>
          <t>UPPSALA LÄN</t>
        </is>
      </c>
      <c r="G128" t="inlineStr">
        <is>
          <t>HEBY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44532</v>
      </c>
      <c r="E129" s="1" t="n">
        <v>46311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44573</v>
      </c>
      <c r="E130" s="1" t="n">
        <v>46311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73385-2021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46311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46311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46311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46311</v>
      </c>
      <c r="F134" t="inlineStr">
        <is>
          <t>UPPSALA LÄN</t>
        </is>
      </c>
      <c r="G134" t="inlineStr">
        <is>
          <t>HEBY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45547</v>
      </c>
      <c r="E135" s="1" t="n">
        <v>46311</v>
      </c>
      <c r="F135" t="inlineStr">
        <is>
          <t>UPPSALA LÄN</t>
        </is>
      </c>
      <c r="G135" t="inlineStr">
        <is>
          <t>HEBY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45804</v>
      </c>
      <c r="E136" s="1" t="n">
        <v>46311</v>
      </c>
      <c r="F136" t="inlineStr">
        <is>
          <t>UPPSALA LÄN</t>
        </is>
      </c>
      <c r="G136" t="inlineStr">
        <is>
          <t>HEBY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46311</v>
      </c>
      <c r="F137" t="inlineStr">
        <is>
          <t>UPPSALA LÄN</t>
        </is>
      </c>
      <c r="G137" t="inlineStr">
        <is>
          <t>HEBY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25969-2025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46311</v>
      </c>
      <c r="F138" t="inlineStr">
        <is>
          <t>UPPSALA LÄN</t>
        </is>
      </c>
      <c r="G138" t="inlineStr">
        <is>
          <t>HEBY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46311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46311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45688</v>
      </c>
      <c r="E141" s="1" t="n">
        <v>46311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44769</v>
      </c>
      <c r="E142" s="1" t="n">
        <v>46311</v>
      </c>
      <c r="F142" t="inlineStr">
        <is>
          <t>UPPSALA LÄN</t>
        </is>
      </c>
      <c r="G142" t="inlineStr">
        <is>
          <t>HEBY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46311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46311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46311</v>
      </c>
      <c r="F145" t="inlineStr">
        <is>
          <t>UPPSALA LÄN</t>
        </is>
      </c>
      <c r="G145" t="inlineStr">
        <is>
          <t>HEBY</t>
        </is>
      </c>
      <c r="I145" t="n">
        <v>15.8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45398</v>
      </c>
      <c r="E146" s="1" t="n">
        <v>46311</v>
      </c>
      <c r="F146" t="inlineStr">
        <is>
          <t>UPPSALA LÄN</t>
        </is>
      </c>
      <c r="G146" t="inlineStr">
        <is>
          <t>HEBY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46311</v>
      </c>
      <c r="F147" t="inlineStr">
        <is>
          <t>UPPSALA LÄN</t>
        </is>
      </c>
      <c r="G147" t="inlineStr">
        <is>
          <t>HEBY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46311</v>
      </c>
      <c r="F148" t="inlineStr">
        <is>
          <t>UPPSALA LÄN</t>
        </is>
      </c>
      <c r="G148" t="inlineStr">
        <is>
          <t>HEBY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44984</v>
      </c>
      <c r="E149" s="1" t="n">
        <v>46311</v>
      </c>
      <c r="F149" t="inlineStr">
        <is>
          <t>UPPSALA LÄN</t>
        </is>
      </c>
      <c r="G149" t="inlineStr">
        <is>
          <t>HEBY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33366-2024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45519</v>
      </c>
      <c r="E150" s="1" t="n">
        <v>46311</v>
      </c>
      <c r="F150" t="inlineStr">
        <is>
          <t>UPPSALA LÄN</t>
        </is>
      </c>
      <c r="G150" t="inlineStr">
        <is>
          <t>HEBY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46311</v>
      </c>
      <c r="F151" t="inlineStr">
        <is>
          <t>UPPSALA LÄN</t>
        </is>
      </c>
      <c r="G151" t="inlineStr">
        <is>
          <t>HEBY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45331</v>
      </c>
      <c r="E152" s="1" t="n">
        <v>46311</v>
      </c>
      <c r="F152" t="inlineStr">
        <is>
          <t>UPPSALA LÄN</t>
        </is>
      </c>
      <c r="G152" t="inlineStr">
        <is>
          <t>HEBY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46311</v>
      </c>
      <c r="F153" t="inlineStr">
        <is>
          <t>UPPSALA LÄN</t>
        </is>
      </c>
      <c r="G153" t="inlineStr">
        <is>
          <t>HEBY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46311</v>
      </c>
      <c r="F154" t="inlineStr">
        <is>
          <t>UPPSALA LÄN</t>
        </is>
      </c>
      <c r="G154" t="inlineStr">
        <is>
          <t>HEBY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46311</v>
      </c>
      <c r="F155" t="inlineStr">
        <is>
          <t>UPPSALA LÄN</t>
        </is>
      </c>
      <c r="G155" t="inlineStr">
        <is>
          <t>HEBY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46311</v>
      </c>
      <c r="F156" t="inlineStr">
        <is>
          <t>UPPSALA LÄN</t>
        </is>
      </c>
      <c r="G156" t="inlineStr">
        <is>
          <t>HEBY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46311</v>
      </c>
      <c r="F157" t="inlineStr">
        <is>
          <t>UPPSALA LÄN</t>
        </is>
      </c>
      <c r="G157" t="inlineStr">
        <is>
          <t>HEBY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46311</v>
      </c>
      <c r="F158" t="inlineStr">
        <is>
          <t>UPPSALA LÄN</t>
        </is>
      </c>
      <c r="G158" t="inlineStr">
        <is>
          <t>HEBY</t>
        </is>
      </c>
      <c r="H158" t="inlineStr">
        <is>
          <t>Kyrkan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46311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70976-2021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44538</v>
      </c>
      <c r="E160" s="1" t="n">
        <v>46311</v>
      </c>
      <c r="F160" t="inlineStr">
        <is>
          <t>UPPSALA LÄN</t>
        </is>
      </c>
      <c r="G160" t="inlineStr">
        <is>
          <t>HEBY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13679-2024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46311</v>
      </c>
      <c r="F161" t="inlineStr">
        <is>
          <t>UPPSALA LÄN</t>
        </is>
      </c>
      <c r="G161" t="inlineStr">
        <is>
          <t>HEBY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46311</v>
      </c>
      <c r="F162" t="inlineStr">
        <is>
          <t>UPPSALA LÄN</t>
        </is>
      </c>
      <c r="G162" t="inlineStr">
        <is>
          <t>HEBY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46311</v>
      </c>
      <c r="F163" t="inlineStr">
        <is>
          <t>UPPSALA LÄN</t>
        </is>
      </c>
      <c r="G163" t="inlineStr">
        <is>
          <t>HEBY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46311</v>
      </c>
      <c r="F164" t="inlineStr">
        <is>
          <t>UPPSALA LÄN</t>
        </is>
      </c>
      <c r="G164" t="inlineStr">
        <is>
          <t>HEBY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46311</v>
      </c>
      <c r="F165" t="inlineStr">
        <is>
          <t>UPPSALA LÄN</t>
        </is>
      </c>
      <c r="G165" t="inlineStr">
        <is>
          <t>HEBY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46311</v>
      </c>
      <c r="F166" t="inlineStr">
        <is>
          <t>UPPSALA LÄN</t>
        </is>
      </c>
      <c r="G166" t="inlineStr">
        <is>
          <t>HEBY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46311</v>
      </c>
      <c r="F167" t="inlineStr">
        <is>
          <t>UPPSALA LÄN</t>
        </is>
      </c>
      <c r="G167" t="inlineStr">
        <is>
          <t>HEBY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46311</v>
      </c>
      <c r="F168" t="inlineStr">
        <is>
          <t>UPPSALA LÄN</t>
        </is>
      </c>
      <c r="G168" t="inlineStr">
        <is>
          <t>HEBY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46311</v>
      </c>
      <c r="F169" t="inlineStr">
        <is>
          <t>UPPSALA LÄN</t>
        </is>
      </c>
      <c r="G169" t="inlineStr">
        <is>
          <t>HEBY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50859-2022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44862</v>
      </c>
      <c r="E170" s="1" t="n">
        <v>46311</v>
      </c>
      <c r="F170" t="inlineStr">
        <is>
          <t>UPPSALA LÄN</t>
        </is>
      </c>
      <c r="G170" t="inlineStr">
        <is>
          <t>HEBY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44568</v>
      </c>
      <c r="E171" s="1" t="n">
        <v>46311</v>
      </c>
      <c r="F171" t="inlineStr">
        <is>
          <t>UPPSALA LÄN</t>
        </is>
      </c>
      <c r="G171" t="inlineStr">
        <is>
          <t>HEBY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46311</v>
      </c>
      <c r="F172" t="inlineStr">
        <is>
          <t>UPPSALA LÄN</t>
        </is>
      </c>
      <c r="G172" t="inlineStr">
        <is>
          <t>HEBY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46311</v>
      </c>
      <c r="F173" t="inlineStr">
        <is>
          <t>UPPSALA LÄN</t>
        </is>
      </c>
      <c r="G173" t="inlineStr">
        <is>
          <t>HEBY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44865</v>
      </c>
      <c r="E174" s="1" t="n">
        <v>46311</v>
      </c>
      <c r="F174" t="inlineStr">
        <is>
          <t>UPPSALA LÄN</t>
        </is>
      </c>
      <c r="G174" t="inlineStr">
        <is>
          <t>HEBY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46311</v>
      </c>
      <c r="F175" t="inlineStr">
        <is>
          <t>UPPSALA LÄN</t>
        </is>
      </c>
      <c r="G175" t="inlineStr">
        <is>
          <t>HEBY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46311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44849</v>
      </c>
      <c r="E177" s="1" t="n">
        <v>46311</v>
      </c>
      <c r="F177" t="inlineStr">
        <is>
          <t>UPPSALA LÄN</t>
        </is>
      </c>
      <c r="G177" t="inlineStr">
        <is>
          <t>HEBY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44823</v>
      </c>
      <c r="E178" s="1" t="n">
        <v>46311</v>
      </c>
      <c r="F178" t="inlineStr">
        <is>
          <t>UPPSALA LÄN</t>
        </is>
      </c>
      <c r="G178" t="inlineStr">
        <is>
          <t>HEBY</t>
        </is>
      </c>
      <c r="H178" t="inlineStr">
        <is>
          <t>Övriga Aktiebolag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58332-2023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45250</v>
      </c>
      <c r="E179" s="1" t="n">
        <v>46311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46311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43.4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46311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46311</v>
      </c>
      <c r="F182" t="inlineStr">
        <is>
          <t>UPPSALA LÄN</t>
        </is>
      </c>
      <c r="G182" t="inlineStr">
        <is>
          <t>HEBY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46311</v>
      </c>
      <c r="F183" t="inlineStr">
        <is>
          <t>UPPSALA LÄN</t>
        </is>
      </c>
      <c r="G183" t="inlineStr">
        <is>
          <t>HEBY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46311</v>
      </c>
      <c r="F184" t="inlineStr">
        <is>
          <t>UPPSALA LÄN</t>
        </is>
      </c>
      <c r="G184" t="inlineStr">
        <is>
          <t>HEBY</t>
        </is>
      </c>
      <c r="H184" t="inlineStr">
        <is>
          <t>Övriga Aktiebolag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46311</v>
      </c>
      <c r="F185" t="inlineStr">
        <is>
          <t>UPPSALA LÄN</t>
        </is>
      </c>
      <c r="G185" t="inlineStr">
        <is>
          <t>HEBY</t>
        </is>
      </c>
      <c r="I185" t="n">
        <v>10.3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44833</v>
      </c>
      <c r="E186" s="1" t="n">
        <v>46311</v>
      </c>
      <c r="F186" t="inlineStr">
        <is>
          <t>UPPSALA LÄN</t>
        </is>
      </c>
      <c r="G186" t="inlineStr">
        <is>
          <t>HEBY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66055-2021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44517</v>
      </c>
      <c r="E187" s="1" t="n">
        <v>46311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öst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46311</v>
      </c>
      <c r="F188" t="inlineStr">
        <is>
          <t>UPPSALA LÄN</t>
        </is>
      </c>
      <c r="G188" t="inlineStr">
        <is>
          <t>HEBY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46311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11.8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46311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46311</v>
      </c>
      <c r="F191" t="inlineStr">
        <is>
          <t>UPPSALA LÄN</t>
        </is>
      </c>
      <c r="G191" t="inlineStr">
        <is>
          <t>HEBY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72180-2021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46311</v>
      </c>
      <c r="F192" t="inlineStr">
        <is>
          <t>UPPSALA LÄN</t>
        </is>
      </c>
      <c r="G192" t="inlineStr">
        <is>
          <t>HEBY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45847</v>
      </c>
      <c r="E193" s="1" t="n">
        <v>46311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46311</v>
      </c>
      <c r="F194" t="inlineStr">
        <is>
          <t>UPPSALA LÄN</t>
        </is>
      </c>
      <c r="G194" t="inlineStr">
        <is>
          <t>HEBY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46311</v>
      </c>
      <c r="F195" t="inlineStr">
        <is>
          <t>UPPSALA LÄN</t>
        </is>
      </c>
      <c r="G195" t="inlineStr">
        <is>
          <t>HEBY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46311</v>
      </c>
      <c r="F196" t="inlineStr">
        <is>
          <t>UPPSALA LÄN</t>
        </is>
      </c>
      <c r="G196" t="inlineStr">
        <is>
          <t>HEBY</t>
        </is>
      </c>
      <c r="H196" t="inlineStr">
        <is>
          <t>Allmännings- och besparingsskogar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45852</v>
      </c>
      <c r="E197" s="1" t="n">
        <v>46311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46311</v>
      </c>
      <c r="F198" t="inlineStr">
        <is>
          <t>UPPSALA LÄN</t>
        </is>
      </c>
      <c r="G198" t="inlineStr">
        <is>
          <t>HEBY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45852</v>
      </c>
      <c r="E199" s="1" t="n">
        <v>46311</v>
      </c>
      <c r="F199" t="inlineStr">
        <is>
          <t>UPPSALA LÄN</t>
        </is>
      </c>
      <c r="G199" t="inlineStr">
        <is>
          <t>HEBY</t>
        </is>
      </c>
      <c r="H199" t="inlineStr">
        <is>
          <t>Kyrkan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44925</v>
      </c>
      <c r="E200" s="1" t="n">
        <v>46311</v>
      </c>
      <c r="F200" t="inlineStr">
        <is>
          <t>UPPSALA LÄN</t>
        </is>
      </c>
      <c r="G200" t="inlineStr">
        <is>
          <t>HEBY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46311</v>
      </c>
      <c r="F201" t="inlineStr">
        <is>
          <t>UPPSALA LÄN</t>
        </is>
      </c>
      <c r="G201" t="inlineStr">
        <is>
          <t>HEBY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46311</v>
      </c>
      <c r="F202" t="inlineStr">
        <is>
          <t>UPPSALA LÄN</t>
        </is>
      </c>
      <c r="G202" t="inlineStr">
        <is>
          <t>HEBY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46311</v>
      </c>
      <c r="F203" t="inlineStr">
        <is>
          <t>UPPSALA LÄN</t>
        </is>
      </c>
      <c r="G203" t="inlineStr">
        <is>
          <t>HEBY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46311</v>
      </c>
      <c r="F204" t="inlineStr">
        <is>
          <t>UPPSALA LÄN</t>
        </is>
      </c>
      <c r="G204" t="inlineStr">
        <is>
          <t>HEBY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69377-2021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46311</v>
      </c>
      <c r="F205" t="inlineStr">
        <is>
          <t>UPPSALA LÄN</t>
        </is>
      </c>
      <c r="G205" t="inlineStr">
        <is>
          <t>HEBY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45339</v>
      </c>
      <c r="E206" s="1" t="n">
        <v>46311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45502</v>
      </c>
      <c r="E207" s="1" t="n">
        <v>46311</v>
      </c>
      <c r="F207" t="inlineStr">
        <is>
          <t>UPPSALA LÄN</t>
        </is>
      </c>
      <c r="G207" t="inlineStr">
        <is>
          <t>HEBY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73622-2021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46311</v>
      </c>
      <c r="F208" t="inlineStr">
        <is>
          <t>UPPSALA LÄN</t>
        </is>
      </c>
      <c r="G208" t="inlineStr">
        <is>
          <t>HEBY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46311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16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46311</v>
      </c>
      <c r="F210" t="inlineStr">
        <is>
          <t>UPPSALA LÄN</t>
        </is>
      </c>
      <c r="G210" t="inlineStr">
        <is>
          <t>HEBY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46311</v>
      </c>
      <c r="F211" t="inlineStr">
        <is>
          <t>UPPSALA LÄN</t>
        </is>
      </c>
      <c r="G211" t="inlineStr">
        <is>
          <t>HEBY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46311</v>
      </c>
      <c r="F212" t="inlineStr">
        <is>
          <t>UPPSALA LÄN</t>
        </is>
      </c>
      <c r="G212" t="inlineStr">
        <is>
          <t>HEBY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46311</v>
      </c>
      <c r="F213" t="inlineStr">
        <is>
          <t>UPPSALA LÄN</t>
        </is>
      </c>
      <c r="G213" t="inlineStr">
        <is>
          <t>HEBY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46311</v>
      </c>
      <c r="F214" t="inlineStr">
        <is>
          <t>UPPSALA LÄN</t>
        </is>
      </c>
      <c r="G214" t="inlineStr">
        <is>
          <t>HEBY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45439</v>
      </c>
      <c r="E215" s="1" t="n">
        <v>46311</v>
      </c>
      <c r="F215" t="inlineStr">
        <is>
          <t>UPPSALA LÄN</t>
        </is>
      </c>
      <c r="G215" t="inlineStr">
        <is>
          <t>HEBY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46311</v>
      </c>
      <c r="F216" t="inlineStr">
        <is>
          <t>UPPSALA LÄN</t>
        </is>
      </c>
      <c r="G216" t="inlineStr">
        <is>
          <t>HEBY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64899-2021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44512</v>
      </c>
      <c r="E217" s="1" t="n">
        <v>46311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öst AB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44568</v>
      </c>
      <c r="E218" s="1" t="n">
        <v>46311</v>
      </c>
      <c r="F218" t="inlineStr">
        <is>
          <t>UPPSALA LÄN</t>
        </is>
      </c>
      <c r="G218" t="inlineStr">
        <is>
          <t>HEBY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46311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60722-2022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44913</v>
      </c>
      <c r="E220" s="1" t="n">
        <v>46311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46311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45098</v>
      </c>
      <c r="E222" s="1" t="n">
        <v>46311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46311</v>
      </c>
      <c r="F223" t="inlineStr">
        <is>
          <t>UPPSALA LÄN</t>
        </is>
      </c>
      <c r="G223" t="inlineStr">
        <is>
          <t>HEBY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46311</v>
      </c>
      <c r="F224" t="inlineStr">
        <is>
          <t>UPPSALA LÄN</t>
        </is>
      </c>
      <c r="G224" t="inlineStr">
        <is>
          <t>HEBY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46311</v>
      </c>
      <c r="F225" t="inlineStr">
        <is>
          <t>UPPSALA LÄN</t>
        </is>
      </c>
      <c r="G225" t="inlineStr">
        <is>
          <t>HEBY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45532</v>
      </c>
      <c r="E226" s="1" t="n">
        <v>46311</v>
      </c>
      <c r="F226" t="inlineStr">
        <is>
          <t>UPPSALA LÄN</t>
        </is>
      </c>
      <c r="G226" t="inlineStr">
        <is>
          <t>HEBY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46311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44586</v>
      </c>
      <c r="E228" s="1" t="n">
        <v>46311</v>
      </c>
      <c r="F228" t="inlineStr">
        <is>
          <t>UPPSALA LÄN</t>
        </is>
      </c>
      <c r="G228" t="inlineStr">
        <is>
          <t>HEBY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46311</v>
      </c>
      <c r="F229" t="inlineStr">
        <is>
          <t>UPPSALA LÄN</t>
        </is>
      </c>
      <c r="G229" t="inlineStr">
        <is>
          <t>HEBY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46311</v>
      </c>
      <c r="F230" t="inlineStr">
        <is>
          <t>UPPSALA LÄN</t>
        </is>
      </c>
      <c r="G230" t="inlineStr">
        <is>
          <t>HEBY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46311</v>
      </c>
      <c r="F231" t="inlineStr">
        <is>
          <t>UPPSALA LÄN</t>
        </is>
      </c>
      <c r="G231" t="inlineStr">
        <is>
          <t>HEBY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46311</v>
      </c>
      <c r="F232" t="inlineStr">
        <is>
          <t>UPPSALA LÄN</t>
        </is>
      </c>
      <c r="G232" t="inlineStr">
        <is>
          <t>HEBY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46311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44903</v>
      </c>
      <c r="E234" s="1" t="n">
        <v>46311</v>
      </c>
      <c r="F234" t="inlineStr">
        <is>
          <t>UPPSALA LÄN</t>
        </is>
      </c>
      <c r="G234" t="inlineStr">
        <is>
          <t>HEBY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45511</v>
      </c>
      <c r="E235" s="1" t="n">
        <v>46311</v>
      </c>
      <c r="F235" t="inlineStr">
        <is>
          <t>UPPSALA LÄN</t>
        </is>
      </c>
      <c r="G235" t="inlineStr">
        <is>
          <t>HEBY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46311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46311</v>
      </c>
      <c r="F237" t="inlineStr">
        <is>
          <t>UPPSALA LÄN</t>
        </is>
      </c>
      <c r="G237" t="inlineStr">
        <is>
          <t>HEBY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44574</v>
      </c>
      <c r="E238" s="1" t="n">
        <v>46311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46311</v>
      </c>
      <c r="F239" t="inlineStr">
        <is>
          <t>UPPSALA LÄN</t>
        </is>
      </c>
      <c r="G239" t="inlineStr">
        <is>
          <t>HEBY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45519</v>
      </c>
      <c r="E240" s="1" t="n">
        <v>46311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46311</v>
      </c>
      <c r="F241" t="inlineStr">
        <is>
          <t>UPPSALA LÄN</t>
        </is>
      </c>
      <c r="G241" t="inlineStr">
        <is>
          <t>HEBY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45119</v>
      </c>
      <c r="E242" s="1" t="n">
        <v>46311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66.90000000000001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46110</v>
      </c>
      <c r="E243" s="1" t="n">
        <v>46311</v>
      </c>
      <c r="F243" t="inlineStr">
        <is>
          <t>UPPSALA LÄN</t>
        </is>
      </c>
      <c r="G243" t="inlineStr">
        <is>
          <t>HEBY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46311</v>
      </c>
      <c r="F244" t="inlineStr">
        <is>
          <t>UPPSALA LÄN</t>
        </is>
      </c>
      <c r="G244" t="inlineStr">
        <is>
          <t>HEBY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44620</v>
      </c>
      <c r="E245" s="1" t="n">
        <v>46311</v>
      </c>
      <c r="F245" t="inlineStr">
        <is>
          <t>UPPSALA LÄN</t>
        </is>
      </c>
      <c r="G245" t="inlineStr">
        <is>
          <t>HEBY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46311</v>
      </c>
      <c r="F246" t="inlineStr">
        <is>
          <t>UPPSALA LÄN</t>
        </is>
      </c>
      <c r="G246" t="inlineStr">
        <is>
          <t>HEBY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46311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44613</v>
      </c>
      <c r="E248" s="1" t="n">
        <v>46311</v>
      </c>
      <c r="F248" t="inlineStr">
        <is>
          <t>UPPSALA LÄN</t>
        </is>
      </c>
      <c r="G248" t="inlineStr">
        <is>
          <t>HEBY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16506-2026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46112</v>
      </c>
      <c r="E249" s="1" t="n">
        <v>46311</v>
      </c>
      <c r="F249" t="inlineStr">
        <is>
          <t>UPPSALA LÄN</t>
        </is>
      </c>
      <c r="G249" t="inlineStr">
        <is>
          <t>HEBY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46311</v>
      </c>
      <c r="F250" t="inlineStr">
        <is>
          <t>UPPSALA LÄN</t>
        </is>
      </c>
      <c r="G250" t="inlineStr">
        <is>
          <t>HEBY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16515-2026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46311</v>
      </c>
      <c r="F251" t="inlineStr">
        <is>
          <t>UPPSALA LÄN</t>
        </is>
      </c>
      <c r="G251" t="inlineStr">
        <is>
          <t>HEBY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46311</v>
      </c>
      <c r="F252" t="inlineStr">
        <is>
          <t>UPPSALA LÄN</t>
        </is>
      </c>
      <c r="G252" t="inlineStr">
        <is>
          <t>HEBY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46112</v>
      </c>
      <c r="E253" s="1" t="n">
        <v>46311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46311</v>
      </c>
      <c r="F254" t="inlineStr">
        <is>
          <t>UPPSALA LÄN</t>
        </is>
      </c>
      <c r="G254" t="inlineStr">
        <is>
          <t>HEBY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44873</v>
      </c>
      <c r="E255" s="1" t="n">
        <v>46311</v>
      </c>
      <c r="F255" t="inlineStr">
        <is>
          <t>UPPSALA LÄN</t>
        </is>
      </c>
      <c r="G255" t="inlineStr">
        <is>
          <t>HEBY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46311</v>
      </c>
      <c r="F256" t="inlineStr">
        <is>
          <t>UPPSALA LÄN</t>
        </is>
      </c>
      <c r="G256" t="inlineStr">
        <is>
          <t>HEBY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46311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45331</v>
      </c>
      <c r="E258" s="1" t="n">
        <v>46311</v>
      </c>
      <c r="F258" t="inlineStr">
        <is>
          <t>UPPSALA LÄN</t>
        </is>
      </c>
      <c r="G258" t="inlineStr">
        <is>
          <t>HEBY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74215-2021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44558</v>
      </c>
      <c r="E259" s="1" t="n">
        <v>46311</v>
      </c>
      <c r="F259" t="inlineStr">
        <is>
          <t>UPPSALA LÄN</t>
        </is>
      </c>
      <c r="G259" t="inlineStr">
        <is>
          <t>HEBY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45331</v>
      </c>
      <c r="E260" s="1" t="n">
        <v>46311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46311</v>
      </c>
      <c r="F261" t="inlineStr">
        <is>
          <t>UPPSALA LÄN</t>
        </is>
      </c>
      <c r="G261" t="inlineStr">
        <is>
          <t>HEBY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45050</v>
      </c>
      <c r="E262" s="1" t="n">
        <v>46311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44943</v>
      </c>
      <c r="E263" s="1" t="n">
        <v>46311</v>
      </c>
      <c r="F263" t="inlineStr">
        <is>
          <t>UPPSALA LÄN</t>
        </is>
      </c>
      <c r="G263" t="inlineStr">
        <is>
          <t>HEBY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44944</v>
      </c>
      <c r="E264" s="1" t="n">
        <v>46311</v>
      </c>
      <c r="F264" t="inlineStr">
        <is>
          <t>UPPSALA LÄN</t>
        </is>
      </c>
      <c r="G264" t="inlineStr">
        <is>
          <t>HEBY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44944</v>
      </c>
      <c r="E265" s="1" t="n">
        <v>46311</v>
      </c>
      <c r="F265" t="inlineStr">
        <is>
          <t>UPPSALA LÄN</t>
        </is>
      </c>
      <c r="G265" t="inlineStr">
        <is>
          <t>HEBY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46311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46311</v>
      </c>
      <c r="F267" t="inlineStr">
        <is>
          <t>UPPSALA LÄN</t>
        </is>
      </c>
      <c r="G267" t="inlineStr">
        <is>
          <t>HEBY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40924-2023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46311</v>
      </c>
      <c r="F268" t="inlineStr">
        <is>
          <t>UPPSALA LÄN</t>
        </is>
      </c>
      <c r="G268" t="inlineStr">
        <is>
          <t>HEBY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45173</v>
      </c>
      <c r="E269" s="1" t="n">
        <v>46311</v>
      </c>
      <c r="F269" t="inlineStr">
        <is>
          <t>UPPSALA LÄN</t>
        </is>
      </c>
      <c r="G269" t="inlineStr">
        <is>
          <t>HEBY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46311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46311</v>
      </c>
      <c r="F271" t="inlineStr">
        <is>
          <t>UPPSALA LÄN</t>
        </is>
      </c>
      <c r="G271" t="inlineStr">
        <is>
          <t>HEBY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46311</v>
      </c>
      <c r="F272" t="inlineStr">
        <is>
          <t>UPPSALA LÄN</t>
        </is>
      </c>
      <c r="G272" t="inlineStr">
        <is>
          <t>HEBY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46311</v>
      </c>
      <c r="F273" t="inlineStr">
        <is>
          <t>UPPSALA LÄN</t>
        </is>
      </c>
      <c r="G273" t="inlineStr">
        <is>
          <t>HEBY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46311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46311</v>
      </c>
      <c r="F275" t="inlineStr">
        <is>
          <t>UPPSALA LÄN</t>
        </is>
      </c>
      <c r="G275" t="inlineStr">
        <is>
          <t>HEBY</t>
        </is>
      </c>
      <c r="H275" t="inlineStr">
        <is>
          <t>Kyrkan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61453-2022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44916</v>
      </c>
      <c r="E276" s="1" t="n">
        <v>46311</v>
      </c>
      <c r="F276" t="inlineStr">
        <is>
          <t>UPPSALA LÄN</t>
        </is>
      </c>
      <c r="G276" t="inlineStr">
        <is>
          <t>HEBY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46311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46311</v>
      </c>
      <c r="F278" t="inlineStr">
        <is>
          <t>UPPSALA LÄN</t>
        </is>
      </c>
      <c r="G278" t="inlineStr">
        <is>
          <t>HEBY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45599</v>
      </c>
      <c r="E279" s="1" t="n">
        <v>46311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45364</v>
      </c>
      <c r="E280" s="1" t="n">
        <v>46311</v>
      </c>
      <c r="F280" t="inlineStr">
        <is>
          <t>UPPSALA LÄN</t>
        </is>
      </c>
      <c r="G280" t="inlineStr">
        <is>
          <t>HEBY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46311</v>
      </c>
      <c r="F281" t="inlineStr">
        <is>
          <t>UPPSALA LÄN</t>
        </is>
      </c>
      <c r="G281" t="inlineStr">
        <is>
          <t>HEBY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46311</v>
      </c>
      <c r="F282" t="inlineStr">
        <is>
          <t>UPPSALA LÄN</t>
        </is>
      </c>
      <c r="G282" t="inlineStr">
        <is>
          <t>HEBY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46311</v>
      </c>
      <c r="F283" t="inlineStr">
        <is>
          <t>UPPSALA LÄN</t>
        </is>
      </c>
      <c r="G283" t="inlineStr">
        <is>
          <t>HEBY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46311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46311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46311</v>
      </c>
      <c r="F286" t="inlineStr">
        <is>
          <t>UPPSALA LÄN</t>
        </is>
      </c>
      <c r="G286" t="inlineStr">
        <is>
          <t>HEBY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44888</v>
      </c>
      <c r="E287" s="1" t="n">
        <v>46311</v>
      </c>
      <c r="F287" t="inlineStr">
        <is>
          <t>UPPSALA LÄN</t>
        </is>
      </c>
      <c r="G287" t="inlineStr">
        <is>
          <t>HEBY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45006</v>
      </c>
      <c r="E288" s="1" t="n">
        <v>46311</v>
      </c>
      <c r="F288" t="inlineStr">
        <is>
          <t>UPPSALA LÄN</t>
        </is>
      </c>
      <c r="G288" t="inlineStr">
        <is>
          <t>HEBY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46311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45674</v>
      </c>
      <c r="E290" s="1" t="n">
        <v>46311</v>
      </c>
      <c r="F290" t="inlineStr">
        <is>
          <t>UPPSALA LÄN</t>
        </is>
      </c>
      <c r="G290" t="inlineStr">
        <is>
          <t>HEBY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44802</v>
      </c>
      <c r="E291" s="1" t="n">
        <v>46311</v>
      </c>
      <c r="F291" t="inlineStr">
        <is>
          <t>UPPSALA LÄN</t>
        </is>
      </c>
      <c r="G291" t="inlineStr">
        <is>
          <t>HEBY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35875-2022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44802</v>
      </c>
      <c r="E292" s="1" t="n">
        <v>46311</v>
      </c>
      <c r="F292" t="inlineStr">
        <is>
          <t>UPPSALA LÄN</t>
        </is>
      </c>
      <c r="G292" t="inlineStr">
        <is>
          <t>HEBY</t>
        </is>
      </c>
      <c r="I292" t="n">
        <v>12.1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44701</v>
      </c>
      <c r="E293" s="1" t="n">
        <v>46311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46311</v>
      </c>
      <c r="F294" t="inlineStr">
        <is>
          <t>UPPSALA LÄN</t>
        </is>
      </c>
      <c r="G294" t="inlineStr">
        <is>
          <t>HEBY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10414-2022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44623</v>
      </c>
      <c r="E295" s="1" t="n">
        <v>46311</v>
      </c>
      <c r="F295" t="inlineStr">
        <is>
          <t>UPPSALA LÄN</t>
        </is>
      </c>
      <c r="G295" t="inlineStr">
        <is>
          <t>HEBY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46311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46311</v>
      </c>
      <c r="F297" t="inlineStr">
        <is>
          <t>UPPSALA LÄN</t>
        </is>
      </c>
      <c r="G297" t="inlineStr">
        <is>
          <t>HEBY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45422</v>
      </c>
      <c r="E298" s="1" t="n">
        <v>46311</v>
      </c>
      <c r="F298" t="inlineStr">
        <is>
          <t>UPPSALA LÄN</t>
        </is>
      </c>
      <c r="G298" t="inlineStr">
        <is>
          <t>HEBY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19718-2023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45050</v>
      </c>
      <c r="E299" s="1" t="n">
        <v>46311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8181-2022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44609</v>
      </c>
      <c r="E300" s="1" t="n">
        <v>46311</v>
      </c>
      <c r="F300" t="inlineStr">
        <is>
          <t>UPPSALA LÄN</t>
        </is>
      </c>
      <c r="G300" t="inlineStr">
        <is>
          <t>HEBY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19990-2022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44697</v>
      </c>
      <c r="E301" s="1" t="n">
        <v>46311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46311</v>
      </c>
      <c r="F302" t="inlineStr">
        <is>
          <t>UPPSALA LÄN</t>
        </is>
      </c>
      <c r="G302" t="inlineStr">
        <is>
          <t>HEBY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45317</v>
      </c>
      <c r="E303" s="1" t="n">
        <v>46311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46311</v>
      </c>
      <c r="F304" t="inlineStr">
        <is>
          <t>UPPSALA LÄN</t>
        </is>
      </c>
      <c r="G304" t="inlineStr">
        <is>
          <t>HEBY</t>
        </is>
      </c>
      <c r="H304" t="inlineStr">
        <is>
          <t>Allmännings- och besparingsskogar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46311</v>
      </c>
      <c r="F305" t="inlineStr">
        <is>
          <t>UPPSALA LÄN</t>
        </is>
      </c>
      <c r="G305" t="inlineStr">
        <is>
          <t>HEBY</t>
        </is>
      </c>
      <c r="H305" t="inlineStr">
        <is>
          <t>Övriga Aktiebolag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46311</v>
      </c>
      <c r="F306" t="inlineStr">
        <is>
          <t>UPPSALA LÄN</t>
        </is>
      </c>
      <c r="G306" t="inlineStr">
        <is>
          <t>HEBY</t>
        </is>
      </c>
      <c r="H306" t="inlineStr">
        <is>
          <t>Övriga Aktiebolag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46311</v>
      </c>
      <c r="F307" t="inlineStr">
        <is>
          <t>UPPSALA LÄN</t>
        </is>
      </c>
      <c r="G307" t="inlineStr">
        <is>
          <t>HEBY</t>
        </is>
      </c>
      <c r="H307" t="inlineStr">
        <is>
          <t>Kyrkan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59486-2021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44491</v>
      </c>
      <c r="E308" s="1" t="n">
        <v>46311</v>
      </c>
      <c r="F308" t="inlineStr">
        <is>
          <t>UPPSALA LÄN</t>
        </is>
      </c>
      <c r="G308" t="inlineStr">
        <is>
          <t>HEBY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46311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46311</v>
      </c>
      <c r="F310" t="inlineStr">
        <is>
          <t>UPPSALA LÄN</t>
        </is>
      </c>
      <c r="G310" t="inlineStr">
        <is>
          <t>HEBY</t>
        </is>
      </c>
      <c r="H310" t="inlineStr">
        <is>
          <t>Övriga Aktiebolag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46311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46311</v>
      </c>
      <c r="F312" t="inlineStr">
        <is>
          <t>UPPSALA LÄN</t>
        </is>
      </c>
      <c r="G312" t="inlineStr">
        <is>
          <t>HEBY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46311</v>
      </c>
      <c r="F313" t="inlineStr">
        <is>
          <t>UPPSALA LÄN</t>
        </is>
      </c>
      <c r="G313" t="inlineStr">
        <is>
          <t>HEBY</t>
        </is>
      </c>
      <c r="H313" t="inlineStr">
        <is>
          <t>Kyrkan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46311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45821-2023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46311</v>
      </c>
      <c r="F315" t="inlineStr">
        <is>
          <t>UPPSALA LÄN</t>
        </is>
      </c>
      <c r="G315" t="inlineStr">
        <is>
          <t>HEBY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46311</v>
      </c>
      <c r="F316" t="inlineStr">
        <is>
          <t>UPPSALA LÄN</t>
        </is>
      </c>
      <c r="G316" t="inlineStr">
        <is>
          <t>HEBY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46311</v>
      </c>
      <c r="F317" t="inlineStr">
        <is>
          <t>UPPSALA LÄN</t>
        </is>
      </c>
      <c r="G317" t="inlineStr">
        <is>
          <t>HEBY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20459-2026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46311</v>
      </c>
      <c r="F318" t="inlineStr">
        <is>
          <t>UPPSALA LÄN</t>
        </is>
      </c>
      <c r="G318" t="inlineStr">
        <is>
          <t>HEBY</t>
        </is>
      </c>
      <c r="H318" t="inlineStr">
        <is>
          <t>Övriga Aktiebolag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46311</v>
      </c>
      <c r="F319" t="inlineStr">
        <is>
          <t>UPPSALA LÄN</t>
        </is>
      </c>
      <c r="G319" t="inlineStr">
        <is>
          <t>HEBY</t>
        </is>
      </c>
      <c r="H319" t="inlineStr">
        <is>
          <t>Allmännings- och besparingsskogar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46311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45133</v>
      </c>
      <c r="E321" s="1" t="n">
        <v>46311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46311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70158-2021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44533</v>
      </c>
      <c r="E323" s="1" t="n">
        <v>46311</v>
      </c>
      <c r="F323" t="inlineStr">
        <is>
          <t>UPPSALA LÄN</t>
        </is>
      </c>
      <c r="G323" t="inlineStr">
        <is>
          <t>HEBY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19896-2022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44697</v>
      </c>
      <c r="E324" s="1" t="n">
        <v>46311</v>
      </c>
      <c r="F324" t="inlineStr">
        <is>
          <t>UPPSALA LÄN</t>
        </is>
      </c>
      <c r="G324" t="inlineStr">
        <is>
          <t>HEBY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45009-2022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44841</v>
      </c>
      <c r="E325" s="1" t="n">
        <v>46311</v>
      </c>
      <c r="F325" t="inlineStr">
        <is>
          <t>UPPSALA LÄN</t>
        </is>
      </c>
      <c r="G325" t="inlineStr">
        <is>
          <t>HEBY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34593-2023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45138</v>
      </c>
      <c r="E326" s="1" t="n">
        <v>46311</v>
      </c>
      <c r="F326" t="inlineStr">
        <is>
          <t>UPPSALA LÄN</t>
        </is>
      </c>
      <c r="G326" t="inlineStr">
        <is>
          <t>HEBY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46311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44694</v>
      </c>
      <c r="E328" s="1" t="n">
        <v>46311</v>
      </c>
      <c r="F328" t="inlineStr">
        <is>
          <t>UPPSALA LÄN</t>
        </is>
      </c>
      <c r="G328" t="inlineStr">
        <is>
          <t>HEBY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45294</v>
      </c>
      <c r="E329" s="1" t="n">
        <v>46311</v>
      </c>
      <c r="F329" t="inlineStr">
        <is>
          <t>UPPSALA LÄN</t>
        </is>
      </c>
      <c r="G329" t="inlineStr">
        <is>
          <t>HEBY</t>
        </is>
      </c>
      <c r="H329" t="inlineStr">
        <is>
          <t>Kommuner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46311</v>
      </c>
      <c r="F330" t="inlineStr">
        <is>
          <t>UPPSALA LÄN</t>
        </is>
      </c>
      <c r="G330" t="inlineStr">
        <is>
          <t>HEBY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45946</v>
      </c>
      <c r="E331" s="1" t="n">
        <v>46311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46311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33379-2022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44788</v>
      </c>
      <c r="E333" s="1" t="n">
        <v>46311</v>
      </c>
      <c r="F333" t="inlineStr">
        <is>
          <t>UPPSALA LÄN</t>
        </is>
      </c>
      <c r="G333" t="inlineStr">
        <is>
          <t>HEBY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44802</v>
      </c>
      <c r="E334" s="1" t="n">
        <v>46311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46311</v>
      </c>
      <c r="F335" t="inlineStr">
        <is>
          <t>UPPSALA LÄN</t>
        </is>
      </c>
      <c r="G335" t="inlineStr">
        <is>
          <t>HEBY</t>
        </is>
      </c>
      <c r="H335" t="inlineStr">
        <is>
          <t>Övriga Aktiebolag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46311</v>
      </c>
      <c r="F336" t="inlineStr">
        <is>
          <t>UPPSALA LÄN</t>
        </is>
      </c>
      <c r="G336" t="inlineStr">
        <is>
          <t>HEBY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46311</v>
      </c>
      <c r="F337" t="inlineStr">
        <is>
          <t>UPPSALA LÄN</t>
        </is>
      </c>
      <c r="G337" t="inlineStr">
        <is>
          <t>HEBY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46311</v>
      </c>
      <c r="F338" t="inlineStr">
        <is>
          <t>UPPSALA LÄN</t>
        </is>
      </c>
      <c r="G338" t="inlineStr">
        <is>
          <t>HEBY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46311</v>
      </c>
      <c r="F339" t="inlineStr">
        <is>
          <t>UPPSALA LÄN</t>
        </is>
      </c>
      <c r="G339" t="inlineStr">
        <is>
          <t>HEBY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44752</v>
      </c>
      <c r="E340" s="1" t="n">
        <v>46311</v>
      </c>
      <c r="F340" t="inlineStr">
        <is>
          <t>UPPSALA LÄN</t>
        </is>
      </c>
      <c r="G340" t="inlineStr">
        <is>
          <t>HEBY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21302-2023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46311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20719-2026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46311</v>
      </c>
      <c r="F342" t="inlineStr">
        <is>
          <t>UPPSALA LÄN</t>
        </is>
      </c>
      <c r="G342" t="inlineStr">
        <is>
          <t>HEBY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45175</v>
      </c>
      <c r="E343" s="1" t="n">
        <v>46311</v>
      </c>
      <c r="F343" t="inlineStr">
        <is>
          <t>UPPSALA LÄN</t>
        </is>
      </c>
      <c r="G343" t="inlineStr">
        <is>
          <t>HEBY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44791</v>
      </c>
      <c r="E344" s="1" t="n">
        <v>46311</v>
      </c>
      <c r="F344" t="inlineStr">
        <is>
          <t>UPPSALA LÄN</t>
        </is>
      </c>
      <c r="G344" t="inlineStr">
        <is>
          <t>HEBY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45181</v>
      </c>
      <c r="E345" s="1" t="n">
        <v>46311</v>
      </c>
      <c r="F345" t="inlineStr">
        <is>
          <t>UPPSALA LÄN</t>
        </is>
      </c>
      <c r="G345" t="inlineStr">
        <is>
          <t>HEBY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45030</v>
      </c>
      <c r="E346" s="1" t="n">
        <v>46311</v>
      </c>
      <c r="F346" t="inlineStr">
        <is>
          <t>UPPSALA LÄN</t>
        </is>
      </c>
      <c r="G346" t="inlineStr">
        <is>
          <t>HEBY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37782-2022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44810</v>
      </c>
      <c r="E347" s="1" t="n">
        <v>46311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46311</v>
      </c>
      <c r="F348" t="inlineStr">
        <is>
          <t>UPPSALA LÄN</t>
        </is>
      </c>
      <c r="G348" t="inlineStr">
        <is>
          <t>HEBY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44984</v>
      </c>
      <c r="E349" s="1" t="n">
        <v>46311</v>
      </c>
      <c r="F349" t="inlineStr">
        <is>
          <t>UPPSALA LÄN</t>
        </is>
      </c>
      <c r="G349" t="inlineStr">
        <is>
          <t>HEBY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45114</v>
      </c>
      <c r="E350" s="1" t="n">
        <v>46311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44754</v>
      </c>
      <c r="E351" s="1" t="n">
        <v>46311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öst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45132</v>
      </c>
      <c r="E352" s="1" t="n">
        <v>46311</v>
      </c>
      <c r="F352" t="inlineStr">
        <is>
          <t>UPPSALA LÄN</t>
        </is>
      </c>
      <c r="G352" t="inlineStr">
        <is>
          <t>HEBY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45132</v>
      </c>
      <c r="E353" s="1" t="n">
        <v>46311</v>
      </c>
      <c r="F353" t="inlineStr">
        <is>
          <t>UPPSALA LÄN</t>
        </is>
      </c>
      <c r="G353" t="inlineStr">
        <is>
          <t>HEBY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44694</v>
      </c>
      <c r="E354" s="1" t="n">
        <v>46311</v>
      </c>
      <c r="F354" t="inlineStr">
        <is>
          <t>UPPSALA LÄN</t>
        </is>
      </c>
      <c r="G354" t="inlineStr">
        <is>
          <t>HEBY</t>
        </is>
      </c>
      <c r="I354" t="n">
        <v>22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33707-2023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46311</v>
      </c>
      <c r="F355" t="inlineStr">
        <is>
          <t>UPPSALA LÄN</t>
        </is>
      </c>
      <c r="G355" t="inlineStr">
        <is>
          <t>HEBY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44734</v>
      </c>
      <c r="E356" s="1" t="n">
        <v>46311</v>
      </c>
      <c r="F356" t="inlineStr">
        <is>
          <t>UPPSALA LÄN</t>
        </is>
      </c>
      <c r="G356" t="inlineStr">
        <is>
          <t>HEBY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46311</v>
      </c>
      <c r="F357" t="inlineStr">
        <is>
          <t>UPPSALA LÄN</t>
        </is>
      </c>
      <c r="G357" t="inlineStr">
        <is>
          <t>HEBY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46311</v>
      </c>
      <c r="F358" t="inlineStr">
        <is>
          <t>UPPSALA LÄN</t>
        </is>
      </c>
      <c r="G358" t="inlineStr">
        <is>
          <t>HEBY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46311</v>
      </c>
      <c r="F359" t="inlineStr">
        <is>
          <t>UPPSALA LÄN</t>
        </is>
      </c>
      <c r="G359" t="inlineStr">
        <is>
          <t>HEBY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46311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45294</v>
      </c>
      <c r="E361" s="1" t="n">
        <v>46311</v>
      </c>
      <c r="F361" t="inlineStr">
        <is>
          <t>UPPSALA LÄN</t>
        </is>
      </c>
      <c r="G361" t="inlineStr">
        <is>
          <t>HEBY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45092</v>
      </c>
      <c r="E362" s="1" t="n">
        <v>46311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45092</v>
      </c>
      <c r="E363" s="1" t="n">
        <v>46311</v>
      </c>
      <c r="F363" t="inlineStr">
        <is>
          <t>UPPSALA LÄN</t>
        </is>
      </c>
      <c r="G363" t="inlineStr">
        <is>
          <t>HEBY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45317</v>
      </c>
      <c r="E364" s="1" t="n">
        <v>46311</v>
      </c>
      <c r="F364" t="inlineStr">
        <is>
          <t>UPPSALA LÄN</t>
        </is>
      </c>
      <c r="G364" t="inlineStr">
        <is>
          <t>HEBY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45805</v>
      </c>
      <c r="E365" s="1" t="n">
        <v>46311</v>
      </c>
      <c r="F365" t="inlineStr">
        <is>
          <t>UPPSALA LÄN</t>
        </is>
      </c>
      <c r="G365" t="inlineStr">
        <is>
          <t>HEBY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45743</v>
      </c>
      <c r="E366" s="1" t="n">
        <v>46311</v>
      </c>
      <c r="F366" t="inlineStr">
        <is>
          <t>UPPSALA LÄN</t>
        </is>
      </c>
      <c r="G366" t="inlineStr">
        <is>
          <t>HEBY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26085-2022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46311</v>
      </c>
      <c r="F367" t="inlineStr">
        <is>
          <t>UPPSALA LÄN</t>
        </is>
      </c>
      <c r="G367" t="inlineStr">
        <is>
          <t>HEBY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45770</v>
      </c>
      <c r="E368" s="1" t="n">
        <v>46311</v>
      </c>
      <c r="F368" t="inlineStr">
        <is>
          <t>UPPSALA LÄN</t>
        </is>
      </c>
      <c r="G368" t="inlineStr">
        <is>
          <t>HEBY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45351</v>
      </c>
      <c r="E369" s="1" t="n">
        <v>46311</v>
      </c>
      <c r="F369" t="inlineStr">
        <is>
          <t>UPPSALA LÄN</t>
        </is>
      </c>
      <c r="G369" t="inlineStr">
        <is>
          <t>HEBY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44753</v>
      </c>
      <c r="E370" s="1" t="n">
        <v>46311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46311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46311</v>
      </c>
      <c r="F372" t="inlineStr">
        <is>
          <t>UPPSALA LÄN</t>
        </is>
      </c>
      <c r="G372" t="inlineStr">
        <is>
          <t>HEBY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46311</v>
      </c>
      <c r="F373" t="inlineStr">
        <is>
          <t>UPPSALA LÄN</t>
        </is>
      </c>
      <c r="G373" t="inlineStr">
        <is>
          <t>HEBY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46311</v>
      </c>
      <c r="F374" t="inlineStr">
        <is>
          <t>UPPSALA LÄN</t>
        </is>
      </c>
      <c r="G374" t="inlineStr">
        <is>
          <t>HEBY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46311</v>
      </c>
      <c r="F375" t="inlineStr">
        <is>
          <t>UPPSALA LÄN</t>
        </is>
      </c>
      <c r="G375" t="inlineStr">
        <is>
          <t>HEBY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45293</v>
      </c>
      <c r="E376" s="1" t="n">
        <v>46311</v>
      </c>
      <c r="F376" t="inlineStr">
        <is>
          <t>UPPSALA LÄN</t>
        </is>
      </c>
      <c r="G376" t="inlineStr">
        <is>
          <t>HEBY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46164</v>
      </c>
      <c r="E377" s="1" t="n">
        <v>46311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35.2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46311</v>
      </c>
      <c r="F378" t="inlineStr">
        <is>
          <t>UPPSALA LÄN</t>
        </is>
      </c>
      <c r="G378" t="inlineStr">
        <is>
          <t>HEBY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45693</v>
      </c>
      <c r="E379" s="1" t="n">
        <v>46311</v>
      </c>
      <c r="F379" t="inlineStr">
        <is>
          <t>UPPSALA LÄN</t>
        </is>
      </c>
      <c r="G379" t="inlineStr">
        <is>
          <t>HEBY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32245-2022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44781</v>
      </c>
      <c r="E380" s="1" t="n">
        <v>46311</v>
      </c>
      <c r="F380" t="inlineStr">
        <is>
          <t>UPPSALA LÄN</t>
        </is>
      </c>
      <c r="G380" t="inlineStr">
        <is>
          <t>HEBY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45128</v>
      </c>
      <c r="E381" s="1" t="n">
        <v>46311</v>
      </c>
      <c r="F381" t="inlineStr">
        <is>
          <t>UPPSALA LÄN</t>
        </is>
      </c>
      <c r="G381" t="inlineStr">
        <is>
          <t>HEBY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24212-2026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46311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46311</v>
      </c>
      <c r="F383" t="inlineStr">
        <is>
          <t>UPPSALA LÄN</t>
        </is>
      </c>
      <c r="G383" t="inlineStr">
        <is>
          <t>HEBY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46169</v>
      </c>
      <c r="E384" s="1" t="n">
        <v>46311</v>
      </c>
      <c r="F384" t="inlineStr">
        <is>
          <t>UPPSALA LÄN</t>
        </is>
      </c>
      <c r="G384" t="inlineStr">
        <is>
          <t>HEBY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46311</v>
      </c>
      <c r="F385" t="inlineStr">
        <is>
          <t>UPPSALA LÄN</t>
        </is>
      </c>
      <c r="G385" t="inlineStr">
        <is>
          <t>HEBY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55019-2025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46311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44732</v>
      </c>
      <c r="E387" s="1" t="n">
        <v>46311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46311</v>
      </c>
      <c r="F388" t="inlineStr">
        <is>
          <t>UPPSALA LÄN</t>
        </is>
      </c>
      <c r="G388" t="inlineStr">
        <is>
          <t>HEBY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46408-2024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46311</v>
      </c>
      <c r="F389" t="inlineStr">
        <is>
          <t>UPPSALA LÄN</t>
        </is>
      </c>
      <c r="G389" t="inlineStr">
        <is>
          <t>HEBY</t>
        </is>
      </c>
      <c r="H389" t="inlineStr">
        <is>
          <t>Bergvik skog väst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44914</v>
      </c>
      <c r="E390" s="1" t="n">
        <v>46311</v>
      </c>
      <c r="F390" t="inlineStr">
        <is>
          <t>UPPSALA LÄN</t>
        </is>
      </c>
      <c r="G390" t="inlineStr">
        <is>
          <t>HEBY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46311</v>
      </c>
      <c r="F391" t="inlineStr">
        <is>
          <t>UPPSALA LÄN</t>
        </is>
      </c>
      <c r="G391" t="inlineStr">
        <is>
          <t>HEBY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16167-2024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45406</v>
      </c>
      <c r="E392" s="1" t="n">
        <v>46311</v>
      </c>
      <c r="F392" t="inlineStr">
        <is>
          <t>UPPSALA LÄN</t>
        </is>
      </c>
      <c r="G392" t="inlineStr">
        <is>
          <t>HEBY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46311</v>
      </c>
      <c r="F393" t="inlineStr">
        <is>
          <t>UPPSALA LÄN</t>
        </is>
      </c>
      <c r="G393" t="inlineStr">
        <is>
          <t>HEBY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60461-2022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46311</v>
      </c>
      <c r="F394" t="inlineStr">
        <is>
          <t>UPPSALA LÄN</t>
        </is>
      </c>
      <c r="G394" t="inlineStr">
        <is>
          <t>HEBY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46311</v>
      </c>
      <c r="F395" t="inlineStr">
        <is>
          <t>UPPSALA LÄN</t>
        </is>
      </c>
      <c r="G395" t="inlineStr">
        <is>
          <t>HEBY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44694</v>
      </c>
      <c r="E396" s="1" t="n">
        <v>46311</v>
      </c>
      <c r="F396" t="inlineStr">
        <is>
          <t>UPPSALA LÄN</t>
        </is>
      </c>
      <c r="G396" t="inlineStr">
        <is>
          <t>HEBY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46311</v>
      </c>
      <c r="F397" t="inlineStr">
        <is>
          <t>UPPSALA LÄN</t>
        </is>
      </c>
      <c r="G397" t="inlineStr">
        <is>
          <t>HEBY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44978</v>
      </c>
      <c r="E398" s="1" t="n">
        <v>46311</v>
      </c>
      <c r="F398" t="inlineStr">
        <is>
          <t>UPPSALA LÄN</t>
        </is>
      </c>
      <c r="G398" t="inlineStr">
        <is>
          <t>HEBY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60295-2021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44495</v>
      </c>
      <c r="E399" s="1" t="n">
        <v>46311</v>
      </c>
      <c r="F399" t="inlineStr">
        <is>
          <t>UPPSALA LÄN</t>
        </is>
      </c>
      <c r="G399" t="inlineStr">
        <is>
          <t>HEBY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45572</v>
      </c>
      <c r="E400" s="1" t="n">
        <v>46311</v>
      </c>
      <c r="F400" t="inlineStr">
        <is>
          <t>UPPSALA LÄN</t>
        </is>
      </c>
      <c r="G400" t="inlineStr">
        <is>
          <t>HEBY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44659</v>
      </c>
      <c r="E401" s="1" t="n">
        <v>46311</v>
      </c>
      <c r="F401" t="inlineStr">
        <is>
          <t>UPPSALA LÄN</t>
        </is>
      </c>
      <c r="G401" t="inlineStr">
        <is>
          <t>HEBY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8856-2022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44614</v>
      </c>
      <c r="E402" s="1" t="n">
        <v>46311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46311</v>
      </c>
      <c r="F403" t="inlineStr">
        <is>
          <t>UPPSALA LÄN</t>
        </is>
      </c>
      <c r="G403" t="inlineStr">
        <is>
          <t>HEBY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46311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46311</v>
      </c>
      <c r="F405" t="inlineStr">
        <is>
          <t>UPPSALA LÄN</t>
        </is>
      </c>
      <c r="G405" t="inlineStr">
        <is>
          <t>HEBY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46311</v>
      </c>
      <c r="F406" t="inlineStr">
        <is>
          <t>UPPSALA LÄN</t>
        </is>
      </c>
      <c r="G406" t="inlineStr">
        <is>
          <t>HEBY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6866-2022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44602</v>
      </c>
      <c r="E407" s="1" t="n">
        <v>46311</v>
      </c>
      <c r="F407" t="inlineStr">
        <is>
          <t>UPPSALA LÄN</t>
        </is>
      </c>
      <c r="G407" t="inlineStr">
        <is>
          <t>HEBY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46311</v>
      </c>
      <c r="F408" t="inlineStr">
        <is>
          <t>UPPSALA LÄN</t>
        </is>
      </c>
      <c r="G408" t="inlineStr">
        <is>
          <t>HEBY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18148-2022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44684</v>
      </c>
      <c r="E409" s="1" t="n">
        <v>46311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41.8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66873-2021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44522</v>
      </c>
      <c r="E410" s="1" t="n">
        <v>46311</v>
      </c>
      <c r="F410" t="inlineStr">
        <is>
          <t>UPPSALA LÄN</t>
        </is>
      </c>
      <c r="G410" t="inlineStr">
        <is>
          <t>HEBY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29387-2022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44753</v>
      </c>
      <c r="E411" s="1" t="n">
        <v>46311</v>
      </c>
      <c r="F411" t="inlineStr">
        <is>
          <t>UPPSALA LÄN</t>
        </is>
      </c>
      <c r="G411" t="inlineStr">
        <is>
          <t>HEBY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45006</v>
      </c>
      <c r="E412" s="1" t="n">
        <v>46311</v>
      </c>
      <c r="F412" t="inlineStr">
        <is>
          <t>UPPSALA LÄN</t>
        </is>
      </c>
      <c r="G412" t="inlineStr">
        <is>
          <t>HEBY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25995-2022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46311</v>
      </c>
      <c r="F413" t="inlineStr">
        <is>
          <t>UPPSALA LÄN</t>
        </is>
      </c>
      <c r="G413" t="inlineStr">
        <is>
          <t>HEBY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45083</v>
      </c>
      <c r="E414" s="1" t="n">
        <v>46311</v>
      </c>
      <c r="F414" t="inlineStr">
        <is>
          <t>UPPSALA LÄN</t>
        </is>
      </c>
      <c r="G414" t="inlineStr">
        <is>
          <t>HEBY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46311</v>
      </c>
      <c r="F415" t="inlineStr">
        <is>
          <t>UPPSALA LÄN</t>
        </is>
      </c>
      <c r="G415" t="inlineStr">
        <is>
          <t>HEBY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20882-2022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44701</v>
      </c>
      <c r="E416" s="1" t="n">
        <v>46311</v>
      </c>
      <c r="F416" t="inlineStr">
        <is>
          <t>UPPSALA LÄN</t>
        </is>
      </c>
      <c r="G416" t="inlineStr">
        <is>
          <t>HEBY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45013</v>
      </c>
      <c r="E417" s="1" t="n">
        <v>46311</v>
      </c>
      <c r="F417" t="inlineStr">
        <is>
          <t>UPPSALA LÄN</t>
        </is>
      </c>
      <c r="G417" t="inlineStr">
        <is>
          <t>HEBY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46311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44984</v>
      </c>
      <c r="E419" s="1" t="n">
        <v>46311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46311</v>
      </c>
      <c r="F420" t="inlineStr">
        <is>
          <t>UPPSALA LÄN</t>
        </is>
      </c>
      <c r="G420" t="inlineStr">
        <is>
          <t>HEBY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44984</v>
      </c>
      <c r="E421" s="1" t="n">
        <v>46311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50255-2025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45944</v>
      </c>
      <c r="E422" s="1" t="n">
        <v>46311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46311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46.8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44644</v>
      </c>
      <c r="E424" s="1" t="n">
        <v>46311</v>
      </c>
      <c r="F424" t="inlineStr">
        <is>
          <t>UPPSALA LÄN</t>
        </is>
      </c>
      <c r="G424" t="inlineStr">
        <is>
          <t>HEBY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46311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46311</v>
      </c>
      <c r="F426" t="inlineStr">
        <is>
          <t>UPPSALA LÄN</t>
        </is>
      </c>
      <c r="G426" t="inlineStr">
        <is>
          <t>HEBY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46311</v>
      </c>
      <c r="F427" t="inlineStr">
        <is>
          <t>UPPSALA LÄN</t>
        </is>
      </c>
      <c r="G427" t="inlineStr">
        <is>
          <t>HEBY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45639</v>
      </c>
      <c r="E428" s="1" t="n">
        <v>46311</v>
      </c>
      <c r="F428" t="inlineStr">
        <is>
          <t>UPPSALA LÄN</t>
        </is>
      </c>
      <c r="G428" t="inlineStr">
        <is>
          <t>HEBY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46311</v>
      </c>
      <c r="F429" t="inlineStr">
        <is>
          <t>UPPSALA LÄN</t>
        </is>
      </c>
      <c r="G429" t="inlineStr">
        <is>
          <t>HEBY</t>
        </is>
      </c>
      <c r="H429" t="inlineStr">
        <is>
          <t>Kyrkan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9497-2023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44981</v>
      </c>
      <c r="E430" s="1" t="n">
        <v>46311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60788-2022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44914</v>
      </c>
      <c r="E431" s="1" t="n">
        <v>46311</v>
      </c>
      <c r="F431" t="inlineStr">
        <is>
          <t>UPPSALA LÄN</t>
        </is>
      </c>
      <c r="G431" t="inlineStr">
        <is>
          <t>HEBY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46311</v>
      </c>
      <c r="F432" t="inlineStr">
        <is>
          <t>UPPSALA LÄN</t>
        </is>
      </c>
      <c r="G432" t="inlineStr">
        <is>
          <t>HEBY</t>
        </is>
      </c>
      <c r="H432" t="inlineStr">
        <is>
          <t>Kyrkan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45376</v>
      </c>
      <c r="E433" s="1" t="n">
        <v>46311</v>
      </c>
      <c r="F433" t="inlineStr">
        <is>
          <t>UPPSALA LÄN</t>
        </is>
      </c>
      <c r="G433" t="inlineStr">
        <is>
          <t>HEBY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51333-2025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46311</v>
      </c>
      <c r="F434" t="inlineStr">
        <is>
          <t>UPPSALA LÄN</t>
        </is>
      </c>
      <c r="G434" t="inlineStr">
        <is>
          <t>HEBY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59207-2023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45252</v>
      </c>
      <c r="E435" s="1" t="n">
        <v>46311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45111</v>
      </c>
      <c r="E436" s="1" t="n">
        <v>46311</v>
      </c>
      <c r="F436" t="inlineStr">
        <is>
          <t>UPPSALA LÄN</t>
        </is>
      </c>
      <c r="G436" t="inlineStr">
        <is>
          <t>HEBY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45952</v>
      </c>
      <c r="E437" s="1" t="n">
        <v>46311</v>
      </c>
      <c r="F437" t="inlineStr">
        <is>
          <t>UPPSALA LÄN</t>
        </is>
      </c>
      <c r="G437" t="inlineStr">
        <is>
          <t>HEBY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45952</v>
      </c>
      <c r="E438" s="1" t="n">
        <v>46311</v>
      </c>
      <c r="F438" t="inlineStr">
        <is>
          <t>UPPSALA LÄN</t>
        </is>
      </c>
      <c r="G438" t="inlineStr">
        <is>
          <t>HEBY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45951</v>
      </c>
      <c r="E439" s="1" t="n">
        <v>46311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45135</v>
      </c>
      <c r="E440" s="1" t="n">
        <v>46311</v>
      </c>
      <c r="F440" t="inlineStr">
        <is>
          <t>UPPSALA LÄN</t>
        </is>
      </c>
      <c r="G440" t="inlineStr">
        <is>
          <t>HEBY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33703-2023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45132</v>
      </c>
      <c r="E441" s="1" t="n">
        <v>46311</v>
      </c>
      <c r="F441" t="inlineStr">
        <is>
          <t>UPPSALA LÄN</t>
        </is>
      </c>
      <c r="G441" t="inlineStr">
        <is>
          <t>HEBY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31564-2023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45117</v>
      </c>
      <c r="E442" s="1" t="n">
        <v>46311</v>
      </c>
      <c r="F442" t="inlineStr">
        <is>
          <t>UPPSALA LÄN</t>
        </is>
      </c>
      <c r="G442" t="inlineStr">
        <is>
          <t>HEBY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52861-2025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46311</v>
      </c>
      <c r="F443" t="inlineStr">
        <is>
          <t>UPPSALA LÄN</t>
        </is>
      </c>
      <c r="G443" t="inlineStr">
        <is>
          <t>HEBY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46311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väst AB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53186-2025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45958</v>
      </c>
      <c r="E445" s="1" t="n">
        <v>46311</v>
      </c>
      <c r="F445" t="inlineStr">
        <is>
          <t>UPPSALA LÄN</t>
        </is>
      </c>
      <c r="G445" t="inlineStr">
        <is>
          <t>HEBY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46220</v>
      </c>
      <c r="E446" s="1" t="n">
        <v>46311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55.9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46223</v>
      </c>
      <c r="E447" s="1" t="n">
        <v>46311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46223</v>
      </c>
      <c r="E448" s="1" t="n">
        <v>46311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46224</v>
      </c>
      <c r="E449" s="1" t="n">
        <v>46311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45599</v>
      </c>
      <c r="E450" s="1" t="n">
        <v>46311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45344</v>
      </c>
      <c r="E451" s="1" t="n">
        <v>46311</v>
      </c>
      <c r="F451" t="inlineStr">
        <is>
          <t>UPPSALA LÄN</t>
        </is>
      </c>
      <c r="G451" t="inlineStr">
        <is>
          <t>HEBY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46272</v>
      </c>
      <c r="E452" s="1" t="n">
        <v>46311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46311</v>
      </c>
      <c r="F453" t="inlineStr">
        <is>
          <t>UPPSALA LÄN</t>
        </is>
      </c>
      <c r="G453" t="inlineStr">
        <is>
          <t>HEBY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46311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46311</v>
      </c>
      <c r="F455" t="inlineStr">
        <is>
          <t>UPPSALA LÄN</t>
        </is>
      </c>
      <c r="G455" t="inlineStr">
        <is>
          <t>HEBY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46311</v>
      </c>
      <c r="F456" t="inlineStr">
        <is>
          <t>UPPSALA LÄN</t>
        </is>
      </c>
      <c r="G456" t="inlineStr">
        <is>
          <t>HEBY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31890-2026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46311</v>
      </c>
      <c r="F457" t="inlineStr">
        <is>
          <t>UPPSALA LÄN</t>
        </is>
      </c>
      <c r="G457" t="inlineStr">
        <is>
          <t>HEBY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46231</v>
      </c>
      <c r="E458" s="1" t="n">
        <v>46311</v>
      </c>
      <c r="F458" t="inlineStr">
        <is>
          <t>UPPSALA LÄN</t>
        </is>
      </c>
      <c r="G458" t="inlineStr">
        <is>
          <t>HEBY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46311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46311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45551</v>
      </c>
      <c r="E461" s="1" t="n">
        <v>46311</v>
      </c>
      <c r="F461" t="inlineStr">
        <is>
          <t>UPPSALA LÄN</t>
        </is>
      </c>
      <c r="G461" t="inlineStr">
        <is>
          <t>HEBY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45519</v>
      </c>
      <c r="E462" s="1" t="n">
        <v>46311</v>
      </c>
      <c r="F462" t="inlineStr">
        <is>
          <t>UPPSALA LÄN</t>
        </is>
      </c>
      <c r="G462" t="inlineStr">
        <is>
          <t>HEBY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33381-2024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45519</v>
      </c>
      <c r="E463" s="1" t="n">
        <v>46311</v>
      </c>
      <c r="F463" t="inlineStr">
        <is>
          <t>UPPSALA LÄN</t>
        </is>
      </c>
      <c r="G463" t="inlineStr">
        <is>
          <t>HEBY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54635-2025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45966</v>
      </c>
      <c r="E464" s="1" t="n">
        <v>46311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58124-2022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46311</v>
      </c>
      <c r="F465" t="inlineStr">
        <is>
          <t>UPPSALA LÄN</t>
        </is>
      </c>
      <c r="G465" t="inlineStr">
        <is>
          <t>HEBY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45058</v>
      </c>
      <c r="E466" s="1" t="n">
        <v>46311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55018-2025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45967</v>
      </c>
      <c r="E467" s="1" t="n">
        <v>46311</v>
      </c>
      <c r="F467" t="inlineStr">
        <is>
          <t>UPPSALA LÄN</t>
        </is>
      </c>
      <c r="G467" t="inlineStr">
        <is>
          <t>HEBY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48956-2023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45209</v>
      </c>
      <c r="E468" s="1" t="n">
        <v>46311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46311</v>
      </c>
      <c r="F469" t="inlineStr">
        <is>
          <t>UPPSALA LÄN</t>
        </is>
      </c>
      <c r="G469" t="inlineStr">
        <is>
          <t>HEBY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38039-2026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46280</v>
      </c>
      <c r="E470" s="1" t="n">
        <v>46311</v>
      </c>
      <c r="F470" t="inlineStr">
        <is>
          <t>UPPSALA LÄN</t>
        </is>
      </c>
      <c r="G470" t="inlineStr">
        <is>
          <t>HEBY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55488-2025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45971</v>
      </c>
      <c r="E471" s="1" t="n">
        <v>46311</v>
      </c>
      <c r="F471" t="inlineStr">
        <is>
          <t>UPPSALA LÄN</t>
        </is>
      </c>
      <c r="G471" t="inlineStr">
        <is>
          <t>HEBY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55496-2025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45971</v>
      </c>
      <c r="E472" s="1" t="n">
        <v>46311</v>
      </c>
      <c r="F472" t="inlineStr">
        <is>
          <t>UPPSALA LÄN</t>
        </is>
      </c>
      <c r="G472" t="inlineStr">
        <is>
          <t>HEBY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46280</v>
      </c>
      <c r="E473" s="1" t="n">
        <v>46311</v>
      </c>
      <c r="F473" t="inlineStr">
        <is>
          <t>UPPSALA LÄN</t>
        </is>
      </c>
      <c r="G473" t="inlineStr">
        <is>
          <t>HEBY</t>
        </is>
      </c>
      <c r="H473" t="inlineStr">
        <is>
          <t>Sveaskog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46280</v>
      </c>
      <c r="E474" s="1" t="n">
        <v>46311</v>
      </c>
      <c r="F474" t="inlineStr">
        <is>
          <t>UPPSALA LÄN</t>
        </is>
      </c>
      <c r="G474" t="inlineStr">
        <is>
          <t>HEBY</t>
        </is>
      </c>
      <c r="H474" t="inlineStr">
        <is>
          <t>Sveaskog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45972</v>
      </c>
      <c r="E475" s="1" t="n">
        <v>46311</v>
      </c>
      <c r="F475" t="inlineStr">
        <is>
          <t>UPPSALA LÄN</t>
        </is>
      </c>
      <c r="G475" t="inlineStr">
        <is>
          <t>HEBY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46237</v>
      </c>
      <c r="E476" s="1" t="n">
        <v>46311</v>
      </c>
      <c r="F476" t="inlineStr">
        <is>
          <t>UPPSALA LÄN</t>
        </is>
      </c>
      <c r="G476" t="inlineStr">
        <is>
          <t>HEBY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32290-2026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46237</v>
      </c>
      <c r="E477" s="1" t="n">
        <v>46311</v>
      </c>
      <c r="F477" t="inlineStr">
        <is>
          <t>UPPSALA LÄN</t>
        </is>
      </c>
      <c r="G477" t="inlineStr">
        <is>
          <t>HEBY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46311</v>
      </c>
      <c r="F478" t="inlineStr">
        <is>
          <t>UPPSALA LÄN</t>
        </is>
      </c>
      <c r="G478" t="inlineStr">
        <is>
          <t>HEBY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37794-2026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46278</v>
      </c>
      <c r="E479" s="1" t="n">
        <v>46311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44979</v>
      </c>
      <c r="E480" s="1" t="n">
        <v>46311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46311</v>
      </c>
      <c r="F481" t="inlineStr">
        <is>
          <t>UPPSALA LÄN</t>
        </is>
      </c>
      <c r="G481" t="inlineStr">
        <is>
          <t>HEBY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45713</v>
      </c>
      <c r="E482" s="1" t="n">
        <v>46311</v>
      </c>
      <c r="F482" t="inlineStr">
        <is>
          <t>UPPSALA LÄN</t>
        </is>
      </c>
      <c r="G482" t="inlineStr">
        <is>
          <t>HEBY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45321</v>
      </c>
      <c r="E483" s="1" t="n">
        <v>46311</v>
      </c>
      <c r="F483" t="inlineStr">
        <is>
          <t>UPPSALA LÄN</t>
        </is>
      </c>
      <c r="G483" t="inlineStr">
        <is>
          <t>HEBY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46311</v>
      </c>
      <c r="F484" t="inlineStr">
        <is>
          <t>UPPSALA LÄN</t>
        </is>
      </c>
      <c r="G484" t="inlineStr">
        <is>
          <t>HEBY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46311</v>
      </c>
      <c r="F485" t="inlineStr">
        <is>
          <t>UPPSALA LÄN</t>
        </is>
      </c>
      <c r="G485" t="inlineStr">
        <is>
          <t>HEBY</t>
        </is>
      </c>
      <c r="H485" t="inlineStr">
        <is>
          <t>Kyrkan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46238</v>
      </c>
      <c r="E486" s="1" t="n">
        <v>46311</v>
      </c>
      <c r="F486" t="inlineStr">
        <is>
          <t>UPPSALA LÄN</t>
        </is>
      </c>
      <c r="G486" t="inlineStr">
        <is>
          <t>HEBY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52955-2022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44875</v>
      </c>
      <c r="E487" s="1" t="n">
        <v>46311</v>
      </c>
      <c r="F487" t="inlineStr">
        <is>
          <t>UPPSALA LÄN</t>
        </is>
      </c>
      <c r="G487" t="inlineStr">
        <is>
          <t>HEBY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45980</v>
      </c>
      <c r="E488" s="1" t="n">
        <v>46311</v>
      </c>
      <c r="F488" t="inlineStr">
        <is>
          <t>UPPSALA LÄN</t>
        </is>
      </c>
      <c r="G488" t="inlineStr">
        <is>
          <t>HEBY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46311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46311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46311</v>
      </c>
      <c r="F491" t="inlineStr">
        <is>
          <t>UPPSALA LÄN</t>
        </is>
      </c>
      <c r="G491" t="inlineStr">
        <is>
          <t>HEBY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46311</v>
      </c>
      <c r="F492" t="inlineStr">
        <is>
          <t>UPPSALA LÄN</t>
        </is>
      </c>
      <c r="G492" t="inlineStr">
        <is>
          <t>HEBY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46311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46287</v>
      </c>
      <c r="E494" s="1" t="n">
        <v>46311</v>
      </c>
      <c r="F494" t="inlineStr">
        <is>
          <t>UPPSALA LÄN</t>
        </is>
      </c>
      <c r="G494" t="inlineStr">
        <is>
          <t>HEBY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45740</v>
      </c>
      <c r="E495" s="1" t="n">
        <v>46311</v>
      </c>
      <c r="F495" t="inlineStr">
        <is>
          <t>UPPSALA LÄN</t>
        </is>
      </c>
      <c r="G495" t="inlineStr">
        <is>
          <t>HEBY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45175</v>
      </c>
      <c r="E496" s="1" t="n">
        <v>46311</v>
      </c>
      <c r="F496" t="inlineStr">
        <is>
          <t>UPPSALA LÄN</t>
        </is>
      </c>
      <c r="G496" t="inlineStr">
        <is>
          <t>HEBY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54594-2024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45617</v>
      </c>
      <c r="E497" s="1" t="n">
        <v>46311</v>
      </c>
      <c r="F497" t="inlineStr">
        <is>
          <t>UPPSALA LÄN</t>
        </is>
      </c>
      <c r="G497" t="inlineStr">
        <is>
          <t>HEBY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46289</v>
      </c>
      <c r="E498" s="1" t="n">
        <v>46311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öst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39690-2026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46311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öst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39713-2026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46290</v>
      </c>
      <c r="E500" s="1" t="n">
        <v>46311</v>
      </c>
      <c r="F500" t="inlineStr">
        <is>
          <t>UPPSALA LÄN</t>
        </is>
      </c>
      <c r="G500" t="inlineStr">
        <is>
          <t>HEBY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46311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öst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46311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öst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46289</v>
      </c>
      <c r="E503" s="1" t="n">
        <v>46311</v>
      </c>
      <c r="F503" t="inlineStr">
        <is>
          <t>UPPSALA LÄN</t>
        </is>
      </c>
      <c r="G503" t="inlineStr">
        <is>
          <t>HEBY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46311</v>
      </c>
      <c r="F504" t="inlineStr">
        <is>
          <t>UPPSALA LÄN</t>
        </is>
      </c>
      <c r="G504" t="inlineStr">
        <is>
          <t>HEBY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51733-2025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45951</v>
      </c>
      <c r="E505" s="1" t="n">
        <v>46311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öst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39686-2026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46311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öst AB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46289</v>
      </c>
      <c r="E507" s="1" t="n">
        <v>46311</v>
      </c>
      <c r="F507" t="inlineStr">
        <is>
          <t>UPPSALA LÄN</t>
        </is>
      </c>
      <c r="G507" t="inlineStr">
        <is>
          <t>HEBY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45895</v>
      </c>
      <c r="E508" s="1" t="n">
        <v>46311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öst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45992</v>
      </c>
      <c r="E509" s="1" t="n">
        <v>46311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46293</v>
      </c>
      <c r="E510" s="1" t="n">
        <v>46311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öst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46311</v>
      </c>
      <c r="F511" t="inlineStr">
        <is>
          <t>UPPSALA LÄN</t>
        </is>
      </c>
      <c r="G511" t="inlineStr">
        <is>
          <t>HEBY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46311</v>
      </c>
      <c r="F512" t="inlineStr">
        <is>
          <t>UPPSALA LÄN</t>
        </is>
      </c>
      <c r="G512" t="inlineStr">
        <is>
          <t>HEBY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46293</v>
      </c>
      <c r="E513" s="1" t="n">
        <v>46311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öst AB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46296</v>
      </c>
      <c r="E514" s="1" t="n">
        <v>46311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46296</v>
      </c>
      <c r="E515" s="1" t="n">
        <v>46311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61884-2025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46311</v>
      </c>
      <c r="F516" t="inlineStr">
        <is>
          <t>UPPSALA LÄN</t>
        </is>
      </c>
      <c r="G516" t="inlineStr">
        <is>
          <t>HEBY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40746-2026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46296</v>
      </c>
      <c r="E517" s="1" t="n">
        <v>46311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61886-2025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46003</v>
      </c>
      <c r="E518" s="1" t="n">
        <v>46311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62042-2025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46005</v>
      </c>
      <c r="E519" s="1" t="n">
        <v>46311</v>
      </c>
      <c r="F519" t="inlineStr">
        <is>
          <t>UPPSALA LÄN</t>
        </is>
      </c>
      <c r="G519" t="inlineStr">
        <is>
          <t>HEBY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40610-2026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46311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öst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46296</v>
      </c>
      <c r="E521" s="1" t="n">
        <v>46311</v>
      </c>
      <c r="F521" t="inlineStr">
        <is>
          <t>UPPSALA LÄN</t>
        </is>
      </c>
      <c r="G521" t="inlineStr">
        <is>
          <t>HEBY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46003</v>
      </c>
      <c r="E522" s="1" t="n">
        <v>46311</v>
      </c>
      <c r="F522" t="inlineStr">
        <is>
          <t>UPPSALA LÄN</t>
        </is>
      </c>
      <c r="G522" t="inlineStr">
        <is>
          <t>HEBY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40741-2026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46296</v>
      </c>
      <c r="E523" s="1" t="n">
        <v>46311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öst AB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33943-2026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46311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45355</v>
      </c>
      <c r="E525" s="1" t="n">
        <v>46311</v>
      </c>
      <c r="F525" t="inlineStr">
        <is>
          <t>UPPSALA LÄN</t>
        </is>
      </c>
      <c r="G525" t="inlineStr">
        <is>
          <t>HEBY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46311</v>
      </c>
      <c r="F526" t="inlineStr">
        <is>
          <t>UPPSALA LÄN</t>
        </is>
      </c>
      <c r="G526" t="inlineStr">
        <is>
          <t>HEBY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34281-2026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46311</v>
      </c>
      <c r="F527" t="inlineStr">
        <is>
          <t>UPPSALA LÄN</t>
        </is>
      </c>
      <c r="G527" t="inlineStr">
        <is>
          <t>HEBY</t>
        </is>
      </c>
      <c r="H527" t="inlineStr">
        <is>
          <t>Allmännings- och besparingsskogar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46311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46007</v>
      </c>
      <c r="E529" s="1" t="n">
        <v>46311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46296</v>
      </c>
      <c r="E530" s="1" t="n">
        <v>46311</v>
      </c>
      <c r="F530" t="inlineStr">
        <is>
          <t>UPPSALA LÄN</t>
        </is>
      </c>
      <c r="G530" t="inlineStr">
        <is>
          <t>HEBY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34270-2026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46311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46311</v>
      </c>
      <c r="F532" t="inlineStr">
        <is>
          <t>UPPSALA LÄN</t>
        </is>
      </c>
      <c r="G532" t="inlineStr">
        <is>
          <t>HEBY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46311</v>
      </c>
      <c r="F533" t="inlineStr">
        <is>
          <t>UPPSALA LÄN</t>
        </is>
      </c>
      <c r="G533" t="inlineStr">
        <is>
          <t>HEBY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46311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46311</v>
      </c>
      <c r="F535" t="inlineStr">
        <is>
          <t>UPPSALA LÄN</t>
        </is>
      </c>
      <c r="G535" t="inlineStr">
        <is>
          <t>HEBY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13213-2022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44644</v>
      </c>
      <c r="E536" s="1" t="n">
        <v>46311</v>
      </c>
      <c r="F536" t="inlineStr">
        <is>
          <t>UPPSALA LÄN</t>
        </is>
      </c>
      <c r="G536" t="inlineStr">
        <is>
          <t>HEBY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46311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46311</v>
      </c>
      <c r="F538" t="inlineStr">
        <is>
          <t>UPPSALA LÄN</t>
        </is>
      </c>
      <c r="G538" t="inlineStr">
        <is>
          <t>HEBY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45317</v>
      </c>
      <c r="E539" s="1" t="n">
        <v>46311</v>
      </c>
      <c r="F539" t="inlineStr">
        <is>
          <t>UPPSALA LÄN</t>
        </is>
      </c>
      <c r="G539" t="inlineStr">
        <is>
          <t>HEBY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41312-2026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46300</v>
      </c>
      <c r="E540" s="1" t="n">
        <v>46311</v>
      </c>
      <c r="F540" t="inlineStr">
        <is>
          <t>UPPSALA LÄN</t>
        </is>
      </c>
      <c r="G540" t="inlineStr">
        <is>
          <t>HEBY</t>
        </is>
      </c>
      <c r="I540" t="n">
        <v>17.5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46311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46311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46311</v>
      </c>
      <c r="F543" t="inlineStr">
        <is>
          <t>UPPSALA LÄN</t>
        </is>
      </c>
      <c r="G543" t="inlineStr">
        <is>
          <t>HEBY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46311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46311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46311</v>
      </c>
      <c r="F546" t="inlineStr">
        <is>
          <t>UPPSALA LÄN</t>
        </is>
      </c>
      <c r="G546" t="inlineStr">
        <is>
          <t>HEBY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46311</v>
      </c>
      <c r="F547" t="inlineStr">
        <is>
          <t>UPPSALA LÄN</t>
        </is>
      </c>
      <c r="G547" t="inlineStr">
        <is>
          <t>HEBY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40994-2026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46297</v>
      </c>
      <c r="E548" s="1" t="n">
        <v>46311</v>
      </c>
      <c r="F548" t="inlineStr">
        <is>
          <t>UPPSALA LÄN</t>
        </is>
      </c>
      <c r="G548" t="inlineStr">
        <is>
          <t>HEBY</t>
        </is>
      </c>
      <c r="I548" t="n">
        <v>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46301</v>
      </c>
      <c r="E549" s="1" t="n">
        <v>46311</v>
      </c>
      <c r="F549" t="inlineStr">
        <is>
          <t>UPPSALA LÄN</t>
        </is>
      </c>
      <c r="G549" t="inlineStr">
        <is>
          <t>HEBY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46301</v>
      </c>
      <c r="E550" s="1" t="n">
        <v>46311</v>
      </c>
      <c r="F550" t="inlineStr">
        <is>
          <t>UPPSALA LÄN</t>
        </is>
      </c>
      <c r="G550" t="inlineStr">
        <is>
          <t>HEBY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46302</v>
      </c>
      <c r="E551" s="1" t="n">
        <v>46311</v>
      </c>
      <c r="F551" t="inlineStr">
        <is>
          <t>UPPSALA LÄN</t>
        </is>
      </c>
      <c r="G551" t="inlineStr">
        <is>
          <t>HEBY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46311</v>
      </c>
      <c r="F552" t="inlineStr">
        <is>
          <t>UPPSALA LÄN</t>
        </is>
      </c>
      <c r="G552" t="inlineStr">
        <is>
          <t>HEBY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45328</v>
      </c>
      <c r="E553" s="1" t="n">
        <v>46311</v>
      </c>
      <c r="F553" t="inlineStr">
        <is>
          <t>UPPSALA LÄN</t>
        </is>
      </c>
      <c r="G553" t="inlineStr">
        <is>
          <t>HEBY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33734-2023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45133</v>
      </c>
      <c r="E554" s="1" t="n">
        <v>46311</v>
      </c>
      <c r="F554" t="inlineStr">
        <is>
          <t>UPPSALA LÄN</t>
        </is>
      </c>
      <c r="G554" t="inlineStr">
        <is>
          <t>HEBY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46301</v>
      </c>
      <c r="E555" s="1" t="n">
        <v>46311</v>
      </c>
      <c r="F555" t="inlineStr">
        <is>
          <t>UPPSALA LÄN</t>
        </is>
      </c>
      <c r="G555" t="inlineStr">
        <is>
          <t>HEBY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45112</v>
      </c>
      <c r="E556" s="1" t="n">
        <v>46311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46023</v>
      </c>
      <c r="E557" s="1" t="n">
        <v>46311</v>
      </c>
      <c r="F557" t="inlineStr">
        <is>
          <t>UPPSALA LÄN</t>
        </is>
      </c>
      <c r="G557" t="inlineStr">
        <is>
          <t>HEBY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46311</v>
      </c>
      <c r="F558" t="inlineStr">
        <is>
          <t>UPPSALA LÄN</t>
        </is>
      </c>
      <c r="G558" t="inlineStr">
        <is>
          <t>HEBY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46311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46311</v>
      </c>
      <c r="F560" t="inlineStr">
        <is>
          <t>UPPSALA LÄN</t>
        </is>
      </c>
      <c r="G560" t="inlineStr">
        <is>
          <t>HEBY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46258</v>
      </c>
      <c r="E561" s="1" t="n">
        <v>46311</v>
      </c>
      <c r="F561" t="inlineStr">
        <is>
          <t>UPPSALA LÄN</t>
        </is>
      </c>
      <c r="G561" t="inlineStr">
        <is>
          <t>HEBY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46302</v>
      </c>
      <c r="E562" s="1" t="n">
        <v>46311</v>
      </c>
      <c r="F562" t="inlineStr">
        <is>
          <t>UPPSALA LÄN</t>
        </is>
      </c>
      <c r="G562" t="inlineStr">
        <is>
          <t>HEBY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46311</v>
      </c>
      <c r="F563" t="inlineStr">
        <is>
          <t>UPPSALA LÄN</t>
        </is>
      </c>
      <c r="G563" t="inlineStr">
        <is>
          <t>HEBY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45797</v>
      </c>
      <c r="E564" s="1" t="n">
        <v>46311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10.6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46301</v>
      </c>
      <c r="E565" s="1" t="n">
        <v>46311</v>
      </c>
      <c r="F565" t="inlineStr">
        <is>
          <t>UPPSALA LÄN</t>
        </is>
      </c>
      <c r="G565" t="inlineStr">
        <is>
          <t>HEBY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46302</v>
      </c>
      <c r="E566" s="1" t="n">
        <v>46311</v>
      </c>
      <c r="F566" t="inlineStr">
        <is>
          <t>UPPSALA LÄN</t>
        </is>
      </c>
      <c r="G566" t="inlineStr">
        <is>
          <t>HEBY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41599-2026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46302</v>
      </c>
      <c r="E567" s="1" t="n">
        <v>46311</v>
      </c>
      <c r="F567" t="inlineStr">
        <is>
          <t>UPPSALA LÄN</t>
        </is>
      </c>
      <c r="G567" t="inlineStr">
        <is>
          <t>HEBY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45827</v>
      </c>
      <c r="E568" s="1" t="n">
        <v>46311</v>
      </c>
      <c r="F568" t="inlineStr">
        <is>
          <t>UPPSALA LÄN</t>
        </is>
      </c>
      <c r="G568" t="inlineStr">
        <is>
          <t>HEBY</t>
        </is>
      </c>
      <c r="H568" t="inlineStr">
        <is>
          <t>Övriga Aktiebolag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46311</v>
      </c>
      <c r="F569" t="inlineStr">
        <is>
          <t>UPPSALA LÄN</t>
        </is>
      </c>
      <c r="G569" t="inlineStr">
        <is>
          <t>HEBY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41912-2026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46303</v>
      </c>
      <c r="E570" s="1" t="n">
        <v>46311</v>
      </c>
      <c r="F570" t="inlineStr">
        <is>
          <t>UPPSALA LÄN</t>
        </is>
      </c>
      <c r="G570" t="inlineStr">
        <is>
          <t>HEBY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40491-2026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46295</v>
      </c>
      <c r="E571" s="1" t="n">
        <v>46311</v>
      </c>
      <c r="F571" t="inlineStr">
        <is>
          <t>UPPSALA LÄN</t>
        </is>
      </c>
      <c r="G571" t="inlineStr">
        <is>
          <t>HEBY</t>
        </is>
      </c>
      <c r="H571" t="inlineStr">
        <is>
          <t>Allmännings- och besparingsskogar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22333-2025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45786</v>
      </c>
      <c r="E572" s="1" t="n">
        <v>46311</v>
      </c>
      <c r="F572" t="inlineStr">
        <is>
          <t>UPPSALA LÄN</t>
        </is>
      </c>
      <c r="G572" t="inlineStr">
        <is>
          <t>HEBY</t>
        </is>
      </c>
      <c r="H572" t="inlineStr">
        <is>
          <t>Kyrkan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45898</v>
      </c>
      <c r="E573" s="1" t="n">
        <v>46311</v>
      </c>
      <c r="F573" t="inlineStr">
        <is>
          <t>UPPSALA LÄN</t>
        </is>
      </c>
      <c r="G573" t="inlineStr">
        <is>
          <t>HEBY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46262</v>
      </c>
      <c r="E574" s="1" t="n">
        <v>46311</v>
      </c>
      <c r="F574" t="inlineStr">
        <is>
          <t>UPPSALA LÄN</t>
        </is>
      </c>
      <c r="G574" t="inlineStr">
        <is>
          <t>HEBY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46311</v>
      </c>
      <c r="F575" t="inlineStr">
        <is>
          <t>UPPSALA LÄN</t>
        </is>
      </c>
      <c r="G575" t="inlineStr">
        <is>
          <t>HEBY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42334-2026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46307</v>
      </c>
      <c r="E576" s="1" t="n">
        <v>46311</v>
      </c>
      <c r="F576" t="inlineStr">
        <is>
          <t>UPPSALA LÄN</t>
        </is>
      </c>
      <c r="G576" t="inlineStr">
        <is>
          <t>HEBY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46311</v>
      </c>
      <c r="F577" t="inlineStr">
        <is>
          <t>UPPSALA LÄN</t>
        </is>
      </c>
      <c r="G577" t="inlineStr">
        <is>
          <t>HEBY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46311</v>
      </c>
      <c r="F578" t="inlineStr">
        <is>
          <t>UPPSALA LÄN</t>
        </is>
      </c>
      <c r="G578" t="inlineStr">
        <is>
          <t>HEBY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46311</v>
      </c>
      <c r="F579" t="inlineStr">
        <is>
          <t>UPPSALA LÄN</t>
        </is>
      </c>
      <c r="G579" t="inlineStr">
        <is>
          <t>HEBY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46311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46051</v>
      </c>
      <c r="E581" s="1" t="n">
        <v>46311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46311</v>
      </c>
      <c r="F582" t="inlineStr">
        <is>
          <t>UPPSALA LÄN</t>
        </is>
      </c>
      <c r="G582" t="inlineStr">
        <is>
          <t>HEBY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42240-2026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46307</v>
      </c>
      <c r="E583" s="1" t="n">
        <v>46311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46311</v>
      </c>
      <c r="F584" t="inlineStr">
        <is>
          <t>UPPSALA LÄN</t>
        </is>
      </c>
      <c r="G584" t="inlineStr">
        <is>
          <t>HEBY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11555-2026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46084</v>
      </c>
      <c r="E585" s="1" t="n">
        <v>46311</v>
      </c>
      <c r="F585" t="inlineStr">
        <is>
          <t>UPPSALA LÄN</t>
        </is>
      </c>
      <c r="G585" t="inlineStr">
        <is>
          <t>HEBY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36359-2026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46268</v>
      </c>
      <c r="E586" s="1" t="n">
        <v>46311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46311</v>
      </c>
      <c r="F587" t="inlineStr">
        <is>
          <t>UPPSALA LÄN</t>
        </is>
      </c>
      <c r="G587" t="inlineStr">
        <is>
          <t>HEBY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46311</v>
      </c>
      <c r="F588" t="inlineStr">
        <is>
          <t>UPPSALA LÄN</t>
        </is>
      </c>
      <c r="G588" t="inlineStr">
        <is>
          <t>HEBY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46058</v>
      </c>
      <c r="E589" s="1" t="n">
        <v>46311</v>
      </c>
      <c r="F589" t="inlineStr">
        <is>
          <t>UPPSALA LÄN</t>
        </is>
      </c>
      <c r="G589" t="inlineStr">
        <is>
          <t>HEBY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46311</v>
      </c>
      <c r="F590" t="inlineStr">
        <is>
          <t>UPPSALA LÄN</t>
        </is>
      </c>
      <c r="G590" t="inlineStr">
        <is>
          <t>HEBY</t>
        </is>
      </c>
      <c r="H590" t="inlineStr">
        <is>
          <t>Kommuner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6969-2026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46057</v>
      </c>
      <c r="E591" s="1" t="n">
        <v>46311</v>
      </c>
      <c r="F591" t="inlineStr">
        <is>
          <t>UPPSALA LÄN</t>
        </is>
      </c>
      <c r="G591" t="inlineStr">
        <is>
          <t>HEBY</t>
        </is>
      </c>
      <c r="H591" t="inlineStr">
        <is>
          <t>Kommuner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46311</v>
      </c>
      <c r="F592" t="inlineStr">
        <is>
          <t>UPPSALA LÄN</t>
        </is>
      </c>
      <c r="G592" t="inlineStr">
        <is>
          <t>HEBY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46059</v>
      </c>
      <c r="E593" s="1" t="n">
        <v>46311</v>
      </c>
      <c r="F593" t="inlineStr">
        <is>
          <t>UPPSALA LÄN</t>
        </is>
      </c>
      <c r="G593" t="inlineStr">
        <is>
          <t>HEBY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38818-2026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46286</v>
      </c>
      <c r="E594" s="1" t="n">
        <v>46311</v>
      </c>
      <c r="F594" t="inlineStr">
        <is>
          <t>UPPSALA LÄN</t>
        </is>
      </c>
      <c r="G594" t="inlineStr">
        <is>
          <t>HEBY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46311</v>
      </c>
      <c r="F595" t="inlineStr">
        <is>
          <t>UPPSALA LÄN</t>
        </is>
      </c>
      <c r="G595" t="inlineStr">
        <is>
          <t>HEBY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7986-2026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46311</v>
      </c>
      <c r="F596" t="inlineStr">
        <is>
          <t>UPPSALA LÄN</t>
        </is>
      </c>
      <c r="G596" t="inlineStr">
        <is>
          <t>HEBY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46268</v>
      </c>
      <c r="E597" s="1" t="n">
        <v>46311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46311</v>
      </c>
      <c r="F598" t="inlineStr">
        <is>
          <t>UPPSALA LÄN</t>
        </is>
      </c>
      <c r="G598" t="inlineStr">
        <is>
          <t>HEBY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46311</v>
      </c>
      <c r="F599" t="inlineStr">
        <is>
          <t>UPPSALA LÄN</t>
        </is>
      </c>
      <c r="G599" t="inlineStr">
        <is>
          <t>HEBY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46311</v>
      </c>
      <c r="F600" t="inlineStr">
        <is>
          <t>UPPSALA LÄN</t>
        </is>
      </c>
      <c r="G600" t="inlineStr">
        <is>
          <t>HEBY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46311</v>
      </c>
      <c r="F601" t="inlineStr">
        <is>
          <t>UPPSALA LÄN</t>
        </is>
      </c>
      <c r="G601" t="inlineStr">
        <is>
          <t>HEBY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46311</v>
      </c>
      <c r="F602" t="inlineStr">
        <is>
          <t>UPPSALA LÄN</t>
        </is>
      </c>
      <c r="G602" t="inlineStr">
        <is>
          <t>HEBY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46311</v>
      </c>
      <c r="F603" t="inlineStr">
        <is>
          <t>UPPSALA LÄN</t>
        </is>
      </c>
      <c r="G603" t="inlineStr">
        <is>
          <t>HEBY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11056-2026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46311</v>
      </c>
      <c r="F604" t="inlineStr">
        <is>
          <t>UPPSALA LÄN</t>
        </is>
      </c>
      <c r="G604" t="inlineStr">
        <is>
          <t>HEBY</t>
        </is>
      </c>
      <c r="I604" t="n">
        <v>8.699999999999999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46311</v>
      </c>
      <c r="F605" t="inlineStr">
        <is>
          <t>UPPSALA LÄN</t>
        </is>
      </c>
      <c r="G605" t="inlineStr">
        <is>
          <t>HEBY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13089-2026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46093</v>
      </c>
      <c r="E606" s="1" t="n">
        <v>46311</v>
      </c>
      <c r="F606" t="inlineStr">
        <is>
          <t>UPPSALA LÄN</t>
        </is>
      </c>
      <c r="G606" t="inlineStr">
        <is>
          <t>HEBY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46093</v>
      </c>
      <c r="E607" s="1" t="n">
        <v>46311</v>
      </c>
      <c r="F607" t="inlineStr">
        <is>
          <t>UPPSALA LÄN</t>
        </is>
      </c>
      <c r="G607" t="inlineStr">
        <is>
          <t>HEBY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1334-2022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44629</v>
      </c>
      <c r="E608" s="1" t="n">
        <v>46311</v>
      </c>
      <c r="F608" t="inlineStr">
        <is>
          <t>UPPSALA LÄN</t>
        </is>
      </c>
      <c r="G608" t="inlineStr">
        <is>
          <t>HEBY</t>
        </is>
      </c>
      <c r="I608" t="n">
        <v>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10324-2021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44546</v>
      </c>
      <c r="E609" s="1" t="n">
        <v>46311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517-2022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44588</v>
      </c>
      <c r="E610" s="1" t="n">
        <v>46311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öst AB</t>
        </is>
      </c>
      <c r="I610" t="n">
        <v>30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2310-2022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44684</v>
      </c>
      <c r="E611" s="1" t="n">
        <v>46311</v>
      </c>
      <c r="F611" t="inlineStr">
        <is>
          <t>UPPSALA LÄN</t>
        </is>
      </c>
      <c r="G611" t="inlineStr">
        <is>
          <t>HEBY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1330-2022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44629</v>
      </c>
      <c r="E612" s="1" t="n">
        <v>46311</v>
      </c>
      <c r="F612" t="inlineStr">
        <is>
          <t>UPPSALA LÄN</t>
        </is>
      </c>
      <c r="G612" t="inlineStr">
        <is>
          <t>HEBY</t>
        </is>
      </c>
      <c r="I612" t="n">
        <v>25.1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  <c r="Z612">
        <f>HYPERLINK("https://klasma.github.io/Logging_0331/knärot/S 1330-2022 karta knärot.png", "S 1330-2022")</f>
        <v/>
      </c>
      <c r="AA612">
        <f>HYPERLINK("https://klasma.github.io/Logging_0331/klagomål/S 1330-2022 FSC-klagomål.docx", "S 1330-2022")</f>
        <v/>
      </c>
      <c r="AB612">
        <f>HYPERLINK("https://klasma.github.io/Logging_0331/klagomålsmail/S 1330-2022 FSC-klagomål mail.docx", "S 1330-2022")</f>
        <v/>
      </c>
      <c r="AC612">
        <f>HYPERLINK("https://klasma.github.io/Logging_0331/tillsyn/S 1330-2022 tillsynsbegäran.docx", "S 1330-2022")</f>
        <v/>
      </c>
      <c r="AD612">
        <f>HYPERLINK("https://klasma.github.io/Logging_0331/tillsynsmail/S 1330-2022 tillsynsbegäran mail.docx", "S 1330-2022")</f>
        <v/>
      </c>
    </row>
    <row r="613" ht="15" customHeight="1">
      <c r="A613" t="inlineStr">
        <is>
          <t>S 3256-2023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45191</v>
      </c>
      <c r="E613" s="1" t="n">
        <v>46311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20.9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4466-2022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44788</v>
      </c>
      <c r="E614" s="1" t="n">
        <v>46311</v>
      </c>
      <c r="F614" t="inlineStr">
        <is>
          <t>UPPSALA LÄN</t>
        </is>
      </c>
      <c r="G614" t="inlineStr">
        <is>
          <t>HEBY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4423-2024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45590</v>
      </c>
      <c r="E615" s="1" t="n">
        <v>46311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47.6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1385-2024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45411</v>
      </c>
      <c r="E616" s="1" t="n">
        <v>46311</v>
      </c>
      <c r="F616" t="inlineStr">
        <is>
          <t>UPPSALA LÄN</t>
        </is>
      </c>
      <c r="G616" t="inlineStr">
        <is>
          <t>HEBY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2797-2024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46311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398-2025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45699</v>
      </c>
      <c r="E618" s="1" t="n">
        <v>46311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öst AB</t>
        </is>
      </c>
      <c r="I618" t="n">
        <v>23.3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1386-2024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45411</v>
      </c>
      <c r="E619" s="1" t="n">
        <v>46311</v>
      </c>
      <c r="F619" t="inlineStr">
        <is>
          <t>UPPSALA LÄN</t>
        </is>
      </c>
      <c r="G619" t="inlineStr">
        <is>
          <t>HEBY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4464-2022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44788</v>
      </c>
      <c r="E620" s="1" t="n">
        <v>46311</v>
      </c>
      <c r="F620" t="inlineStr">
        <is>
          <t>UPPSALA LÄN</t>
        </is>
      </c>
      <c r="G620" t="inlineStr">
        <is>
          <t>HEBY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3301-2025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45987</v>
      </c>
      <c r="E621" s="1" t="n">
        <v>46311</v>
      </c>
      <c r="F621" t="inlineStr">
        <is>
          <t>UPPSALA LÄN</t>
        </is>
      </c>
      <c r="G621" t="inlineStr">
        <is>
          <t>HEBY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3478-2025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46000</v>
      </c>
      <c r="E622" s="1" t="n">
        <v>46311</v>
      </c>
      <c r="F622" t="inlineStr">
        <is>
          <t>UPPSALA LÄN</t>
        </is>
      </c>
      <c r="G622" t="inlineStr">
        <is>
          <t>HEBY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598-2026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46085</v>
      </c>
      <c r="E623" s="1" t="n">
        <v>46311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43.4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1818-2026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46190</v>
      </c>
      <c r="E624" s="1" t="n">
        <v>46311</v>
      </c>
      <c r="F624" t="inlineStr">
        <is>
          <t>UPPSALA LÄN</t>
        </is>
      </c>
      <c r="G624" t="inlineStr">
        <is>
          <t>HEBY</t>
        </is>
      </c>
      <c r="H624" t="inlineStr">
        <is>
          <t>Kommuner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2346-2026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46273</v>
      </c>
      <c r="E625" s="1" t="n">
        <v>46311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2026-10-16T02:18:59Z</dcterms:created>
  <dcterms:modified xmlns:dcterms="http://purl.org/dc/terms/" xmlns:xsi="http://www.w3.org/2001/XMLSchema-instance" xsi:type="dcterms:W3CDTF">2026-10-16T02:18:59Z</dcterms:modified>
</cp:coreProperties>
</file>
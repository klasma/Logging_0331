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46303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46303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46303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46303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46303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46303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46303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46303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46303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46303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46303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46303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46303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46303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46303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46303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46303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30090-2024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45485</v>
      </c>
      <c r="E24" s="1" t="n">
        <v>46303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2.1</v>
      </c>
      <c r="J24" t="n">
        <v>0</v>
      </c>
      <c r="K24" t="n">
        <v>3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Aspsplintbock
Aspvedgnagare
Björksplintborre
Jättesvampmal</t>
        </is>
      </c>
      <c r="W24">
        <f>HYPERLINK("https://klasma.github.io/Logging_0331/artfynd/A 30090-2024 artfynd.xlsx", "A 30090-2024")</f>
        <v/>
      </c>
      <c r="X24">
        <f>HYPERLINK("https://klasma.github.io/Logging_0331/kartor/A 30090-2024 karta.png", "A 30090-2024")</f>
        <v/>
      </c>
      <c r="Y24">
        <f>HYPERLINK("https://klasma.github.io/Logging_0331/kartor_geotiff/A 30090-2024 georefererad karta.tif", "A 30090-2024")</f>
        <v/>
      </c>
      <c r="AA24">
        <f>HYPERLINK("https://klasma.github.io/Logging_0331/klagomål/A 30090-2024 FSC-klagomål.docx", "A 30090-2024")</f>
        <v/>
      </c>
      <c r="AB24">
        <f>HYPERLINK("https://klasma.github.io/Logging_0331/klagomålsmail/A 30090-2024 FSC-klagomål mail.docx", "A 30090-2024")</f>
        <v/>
      </c>
      <c r="AC24">
        <f>HYPERLINK("https://klasma.github.io/Logging_0331/tillsyn/A 30090-2024 tillsynsbegäran.docx", "A 30090-2024")</f>
        <v/>
      </c>
      <c r="AD24">
        <f>HYPERLINK("https://klasma.github.io/Logging_0331/tillsynsmail/A 30090-2024 tillsynsbegäran mail.docx", "A 30090-2024")</f>
        <v/>
      </c>
    </row>
    <row r="25" ht="15" customHeight="1">
      <c r="A25" t="inlineStr">
        <is>
          <t>A 44525-2022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46303</v>
      </c>
      <c r="F25" t="inlineStr">
        <is>
          <t>UPPSALA LÄN</t>
        </is>
      </c>
      <c r="G25" t="inlineStr">
        <is>
          <t>HEBY</t>
        </is>
      </c>
      <c r="I25" t="n">
        <v>1.8</v>
      </c>
      <c r="J25" t="n">
        <v>1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Knärot
Bronshjon
Thomsons trägnagare
Vedticka</t>
        </is>
      </c>
      <c r="W25">
        <f>HYPERLINK("https://klasma.github.io/Logging_0331/artfynd/A 44525-2022 artfynd.xlsx", "A 44525-2022")</f>
        <v/>
      </c>
      <c r="X25">
        <f>HYPERLINK("https://klasma.github.io/Logging_0331/kartor/A 44525-2022 karta.png", "A 44525-2022")</f>
        <v/>
      </c>
      <c r="Y25">
        <f>HYPERLINK("https://klasma.github.io/Logging_0331/kartor_geotiff/A 44525-2022 georefererad karta.tif", "A 44525-2022")</f>
        <v/>
      </c>
      <c r="Z25">
        <f>HYPERLINK("https://klasma.github.io/Logging_0331/knärot/A 44525-2022 karta knärot.png", "A 44525-2022")</f>
        <v/>
      </c>
      <c r="AA25">
        <f>HYPERLINK("https://klasma.github.io/Logging_0331/klagomål/A 44525-2022 FSC-klagomål.docx", "A 44525-2022")</f>
        <v/>
      </c>
      <c r="AB25">
        <f>HYPERLINK("https://klasma.github.io/Logging_0331/klagomålsmail/A 44525-2022 FSC-klagomål mail.docx", "A 44525-2022")</f>
        <v/>
      </c>
      <c r="AC25">
        <f>HYPERLINK("https://klasma.github.io/Logging_0331/tillsyn/A 44525-2022 tillsynsbegäran.docx", "A 44525-2022")</f>
        <v/>
      </c>
      <c r="AD25">
        <f>HYPERLINK("https://klasma.github.io/Logging_0331/tillsynsmail/A 44525-2022 tillsynsbegäran mail.docx", "A 44525-2022")</f>
        <v/>
      </c>
    </row>
    <row r="26" ht="15" customHeight="1">
      <c r="A26" t="inlineStr">
        <is>
          <t>A 32785-2023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46303</v>
      </c>
      <c r="F26" t="inlineStr">
        <is>
          <t>UPPSALA LÄN</t>
        </is>
      </c>
      <c r="G26" t="inlineStr">
        <is>
          <t>HEBY</t>
        </is>
      </c>
      <c r="I26" t="n">
        <v>3.1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5</v>
      </c>
      <c r="U26" t="n">
        <v>3</v>
      </c>
      <c r="V26" s="2" t="inlineStr">
        <is>
          <t>Garnlav
Talltita
Spillkråka
Huggorm</t>
        </is>
      </c>
      <c r="W26">
        <f>HYPERLINK("https://klasma.github.io/Logging_0331/artfynd/A 32785-2023 artfynd.xlsx", "A 32785-2023")</f>
        <v/>
      </c>
      <c r="X26">
        <f>HYPERLINK("https://klasma.github.io/Logging_0331/kartor/A 32785-2023 karta.png", "A 32785-2023")</f>
        <v/>
      </c>
      <c r="Y26">
        <f>HYPERLINK("https://klasma.github.io/Logging_0331/kartor_geotiff/A 32785-2023 georefererad karta.tif", "A 32785-2023")</f>
        <v/>
      </c>
      <c r="AA26">
        <f>HYPERLINK("https://klasma.github.io/Logging_0331/klagomål/A 32785-2023 FSC-klagomål.docx", "A 32785-2023")</f>
        <v/>
      </c>
      <c r="AB26">
        <f>HYPERLINK("https://klasma.github.io/Logging_0331/klagomålsmail/A 32785-2023 FSC-klagomål mail.docx", "A 32785-2023")</f>
        <v/>
      </c>
      <c r="AC26">
        <f>HYPERLINK("https://klasma.github.io/Logging_0331/tillsyn/A 32785-2023 tillsynsbegäran.docx", "A 32785-2023")</f>
        <v/>
      </c>
      <c r="AD26">
        <f>HYPERLINK("https://klasma.github.io/Logging_0331/tillsynsmail/A 32785-2023 tillsynsbegäran mail.docx", "A 32785-2023")</f>
        <v/>
      </c>
      <c r="AE26">
        <f>HYPERLINK("https://klasma.github.io/Logging_0331/fåglar/A 32785-2023 prioriterade fågelarter.docx", "A 32785-2023")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46303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46303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46303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46303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46303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46303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46303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46303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46303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46303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46303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46303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46303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46303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17972-2024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45419</v>
      </c>
      <c r="E41" s="1" t="n">
        <v>46303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9.699999999999999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2</v>
      </c>
      <c r="V41" s="2" t="inlineStr">
        <is>
          <t>Spädstarr
Repestarr</t>
        </is>
      </c>
      <c r="W41">
        <f>HYPERLINK("https://klasma.github.io/Logging_0331/artfynd/A 17972-2024 artfynd.xlsx", "A 17972-2024")</f>
        <v/>
      </c>
      <c r="X41">
        <f>HYPERLINK("https://klasma.github.io/Logging_0331/kartor/A 17972-2024 karta.png", "A 17972-2024")</f>
        <v/>
      </c>
      <c r="Y41">
        <f>HYPERLINK("https://klasma.github.io/Logging_0331/kartor_geotiff/A 17972-2024 georefererad karta.tif", "A 17972-2024")</f>
        <v/>
      </c>
      <c r="AA41">
        <f>HYPERLINK("https://klasma.github.io/Logging_0331/klagomål/A 17972-2024 FSC-klagomål.docx", "A 17972-2024")</f>
        <v/>
      </c>
      <c r="AB41">
        <f>HYPERLINK("https://klasma.github.io/Logging_0331/klagomålsmail/A 17972-2024 FSC-klagomål mail.docx", "A 17972-2024")</f>
        <v/>
      </c>
      <c r="AC41">
        <f>HYPERLINK("https://klasma.github.io/Logging_0331/tillsyn/A 17972-2024 tillsynsbegäran.docx", "A 17972-2024")</f>
        <v/>
      </c>
      <c r="AD41">
        <f>HYPERLINK("https://klasma.github.io/Logging_0331/tillsynsmail/A 17972-2024 tillsynsbegäran mail.docx", "A 17972-2024")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46303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t="n">
        <v>1</v>
      </c>
      <c r="V42" s="2" t="inlineStr">
        <is>
          <t>Knärot
Motaggsvamp</t>
        </is>
      </c>
      <c r="W42">
        <f>HYPERLINK("https://klasma.github.io/Logging_0331/artfynd/A 2554-2024 artfynd.xlsx", "A 2554-2024")</f>
        <v/>
      </c>
      <c r="X42">
        <f>HYPERLINK("https://klasma.github.io/Logging_0331/kartor/A 2554-2024 karta.png", "A 2554-2024")</f>
        <v/>
      </c>
      <c r="Y42">
        <f>HYPERLINK("https://klasma.github.io/Logging_0331/kartor_geotiff/A 2554-2024 georefererad karta.tif", "A 2554-2024")</f>
        <v/>
      </c>
      <c r="Z42">
        <f>HYPERLINK("https://klasma.github.io/Logging_0331/knärot/A 2554-2024 karta knärot.png", "A 2554-2024")</f>
        <v/>
      </c>
      <c r="AA42">
        <f>HYPERLINK("https://klasma.github.io/Logging_0331/klagomål/A 2554-2024 FSC-klagomål.docx", "A 2554-2024")</f>
        <v/>
      </c>
      <c r="AB42">
        <f>HYPERLINK("https://klasma.github.io/Logging_0331/klagomålsmail/A 2554-2024 FSC-klagomål mail.docx", "A 2554-2024")</f>
        <v/>
      </c>
      <c r="AC42">
        <f>HYPERLINK("https://klasma.github.io/Logging_0331/tillsyn/A 2554-2024 tillsynsbegäran.docx", "A 2554-2024")</f>
        <v/>
      </c>
      <c r="AD42">
        <f>HYPERLINK("https://klasma.github.io/Logging_0331/tillsynsmail/A 2554-2024 tillsynsbegäran mail.docx", "A 2554-2024")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46303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46303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46303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46303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46303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46303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46303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Större flatbagge
Tjäder</t>
        </is>
      </c>
      <c r="W49">
        <f>HYPERLINK("https://klasma.github.io/Logging_0331/artfynd/A 63982-2023 artfynd.xlsx", "A 63982-2023")</f>
        <v/>
      </c>
      <c r="X49">
        <f>HYPERLINK("https://klasma.github.io/Logging_0331/kartor/A 63982-2023 karta.png", "A 63982-2023")</f>
        <v/>
      </c>
      <c r="Y49">
        <f>HYPERLINK("https://klasma.github.io/Logging_0331/kartor_geotiff/A 63982-2023 georefererad karta.tif", "A 63982-2023")</f>
        <v/>
      </c>
      <c r="AA49">
        <f>HYPERLINK("https://klasma.github.io/Logging_0331/klagomål/A 63982-2023 FSC-klagomål.docx", "A 63982-2023")</f>
        <v/>
      </c>
      <c r="AB49">
        <f>HYPERLINK("https://klasma.github.io/Logging_0331/klagomålsmail/A 63982-2023 FSC-klagomål mail.docx", "A 63982-2023")</f>
        <v/>
      </c>
      <c r="AC49">
        <f>HYPERLINK("https://klasma.github.io/Logging_0331/tillsyn/A 63982-2023 tillsynsbegäran.docx", "A 63982-2023")</f>
        <v/>
      </c>
      <c r="AD49">
        <f>HYPERLINK("https://klasma.github.io/Logging_0331/tillsynsmail/A 63982-2023 tillsynsbegäran mail.docx", "A 63982-2023")</f>
        <v/>
      </c>
      <c r="AE49">
        <f>HYPERLINK("https://klasma.github.io/Logging_0331/fåglar/A 63982-2023 prioriterade fågelarter.docx", "A 63982-2023")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46303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46303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46303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46303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46303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27871-2023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46303</v>
      </c>
      <c r="F55" t="inlineStr">
        <is>
          <t>UPPSALA LÄN</t>
        </is>
      </c>
      <c r="G55" t="inlineStr">
        <is>
          <t>HEBY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HYPERLINK("https://klasma.github.io/Logging_0331/artfynd/A 27871-2023 artfynd.xlsx", "A 27871-2023")</f>
        <v/>
      </c>
      <c r="X55">
        <f>HYPERLINK("https://klasma.github.io/Logging_0331/kartor/A 27871-2023 karta.png", "A 27871-2023")</f>
        <v/>
      </c>
      <c r="Y55">
        <f>HYPERLINK("https://klasma.github.io/Logging_0331/kartor_geotiff/A 27871-2023 georefererad karta.tif", "A 27871-2023")</f>
        <v/>
      </c>
      <c r="AA55">
        <f>HYPERLINK("https://klasma.github.io/Logging_0331/klagomål/A 27871-2023 FSC-klagomål.docx", "A 27871-2023")</f>
        <v/>
      </c>
      <c r="AB55">
        <f>HYPERLINK("https://klasma.github.io/Logging_0331/klagomålsmail/A 27871-2023 FSC-klagomål mail.docx", "A 27871-2023")</f>
        <v/>
      </c>
      <c r="AC55">
        <f>HYPERLINK("https://klasma.github.io/Logging_0331/tillsyn/A 27871-2023 tillsynsbegäran.docx", "A 27871-2023")</f>
        <v/>
      </c>
      <c r="AD55">
        <f>HYPERLINK("https://klasma.github.io/Logging_0331/tillsynsmail/A 27871-2023 tillsynsbegäran mail.docx", "A 27871-2023")</f>
        <v/>
      </c>
    </row>
    <row r="56" ht="15" customHeight="1">
      <c r="A56" t="inlineStr">
        <is>
          <t>A 17697-2024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45418</v>
      </c>
      <c r="E56" s="1" t="n">
        <v>46303</v>
      </c>
      <c r="F56" t="inlineStr">
        <is>
          <t>UPPSALA LÄN</t>
        </is>
      </c>
      <c r="G56" t="inlineStr">
        <is>
          <t>HEBY</t>
        </is>
      </c>
      <c r="I56" t="n">
        <v>0.6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Mindre bastardsvärmare</t>
        </is>
      </c>
      <c r="W56">
        <f>HYPERLINK("https://klasma.github.io/Logging_0331/artfynd/A 17697-2024 artfynd.xlsx", "A 17697-2024")</f>
        <v/>
      </c>
      <c r="X56">
        <f>HYPERLINK("https://klasma.github.io/Logging_0331/kartor/A 17697-2024 karta.png", "A 17697-2024")</f>
        <v/>
      </c>
      <c r="Y56">
        <f>HYPERLINK("https://klasma.github.io/Logging_0331/kartor_geotiff/A 17697-2024 georefererad karta.tif", "A 17697-2024")</f>
        <v/>
      </c>
      <c r="AA56">
        <f>HYPERLINK("https://klasma.github.io/Logging_0331/klagomål/A 17697-2024 FSC-klagomål.docx", "A 17697-2024")</f>
        <v/>
      </c>
      <c r="AB56">
        <f>HYPERLINK("https://klasma.github.io/Logging_0331/klagomålsmail/A 17697-2024 FSC-klagomål mail.docx", "A 17697-2024")</f>
        <v/>
      </c>
      <c r="AC56">
        <f>HYPERLINK("https://klasma.github.io/Logging_0331/tillsyn/A 17697-2024 tillsynsbegäran.docx", "A 17697-2024")</f>
        <v/>
      </c>
      <c r="AD56">
        <f>HYPERLINK("https://klasma.github.io/Logging_0331/tillsynsmail/A 17697-2024 tillsynsbegäran mail.docx", "A 17697-2024")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46303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46303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45355</v>
      </c>
      <c r="E59" s="1" t="n">
        <v>46303</v>
      </c>
      <c r="F59" t="inlineStr">
        <is>
          <t>UPPSALA LÄN</t>
        </is>
      </c>
      <c r="G59" t="inlineStr">
        <is>
          <t>HEBY</t>
        </is>
      </c>
      <c r="I59" t="n">
        <v>3.9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11</v>
      </c>
      <c r="U59" t="n">
        <v>0</v>
      </c>
      <c r="V59" s="2" t="inlineStr">
        <is>
          <t>Motaggsvamp</t>
        </is>
      </c>
      <c r="W59">
        <f>HYPERLINK("https://klasma.github.io/Logging_0331/artfynd/A 8624-2024 artfynd.xlsx", "A 8624-2024")</f>
        <v/>
      </c>
      <c r="X59">
        <f>HYPERLINK("https://klasma.github.io/Logging_0331/kartor/A 8624-2024 karta.png", "A 8624-2024")</f>
        <v/>
      </c>
      <c r="Y59">
        <f>HYPERLINK("https://klasma.github.io/Logging_0331/kartor_geotiff/A 8624-2024 georefererad karta.tif", "A 8624-2024")</f>
        <v/>
      </c>
      <c r="AA59">
        <f>HYPERLINK("https://klasma.github.io/Logging_0331/klagomål/A 8624-2024 FSC-klagomål.docx", "A 8624-2024")</f>
        <v/>
      </c>
      <c r="AB59">
        <f>HYPERLINK("https://klasma.github.io/Logging_0331/klagomålsmail/A 8624-2024 FSC-klagomål mail.docx", "A 8624-2024")</f>
        <v/>
      </c>
      <c r="AC59">
        <f>HYPERLINK("https://klasma.github.io/Logging_0331/tillsyn/A 8624-2024 tillsynsbegäran.docx", "A 8624-2024")</f>
        <v/>
      </c>
      <c r="AD59">
        <f>HYPERLINK("https://klasma.github.io/Logging_0331/tillsynsmail/A 8624-2024 tillsynsbegäran mail.docx", "A 8624-2024")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46303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HYPERLINK("https://klasma.github.io/Logging_0331/artfynd/A 17006-2024 artfynd.xlsx", "A 17006-2024")</f>
        <v/>
      </c>
      <c r="X60">
        <f>HYPERLINK("https://klasma.github.io/Logging_0331/kartor/A 17006-2024 karta.png", "A 17006-2024")</f>
        <v/>
      </c>
      <c r="Y60">
        <f>HYPERLINK("https://klasma.github.io/Logging_0331/kartor_geotiff/A 17006-2024 georefererad karta.tif", "A 17006-2024")</f>
        <v/>
      </c>
      <c r="AA60">
        <f>HYPERLINK("https://klasma.github.io/Logging_0331/klagomål/A 17006-2024 FSC-klagomål.docx", "A 17006-2024")</f>
        <v/>
      </c>
      <c r="AB60">
        <f>HYPERLINK("https://klasma.github.io/Logging_0331/klagomålsmail/A 17006-2024 FSC-klagomål mail.docx", "A 17006-2024")</f>
        <v/>
      </c>
      <c r="AC60">
        <f>HYPERLINK("https://klasma.github.io/Logging_0331/tillsyn/A 17006-2024 tillsynsbegäran.docx", "A 17006-2024")</f>
        <v/>
      </c>
      <c r="AD60">
        <f>HYPERLINK("https://klasma.github.io/Logging_0331/tillsynsmail/A 17006-2024 tillsynsbegäran mail.docx", "A 17006-2024")</f>
        <v/>
      </c>
      <c r="AE60">
        <f>HYPERLINK("https://klasma.github.io/Logging_0331/fåglar/A 17006-2024 prioriterade fågelarter.docx", "A 17006-2024")</f>
        <v/>
      </c>
    </row>
    <row r="61" ht="15" customHeight="1">
      <c r="A61" t="inlineStr">
        <is>
          <t>A 31569-2023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46303</v>
      </c>
      <c r="F61" t="inlineStr">
        <is>
          <t>UPPSALA LÄN</t>
        </is>
      </c>
      <c r="G61" t="inlineStr">
        <is>
          <t>HEBY</t>
        </is>
      </c>
      <c r="I61" t="n">
        <v>2.5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HYPERLINK("https://klasma.github.io/Logging_0331/artfynd/A 31569-2023 artfynd.xlsx", "A 31569-2023")</f>
        <v/>
      </c>
      <c r="X61">
        <f>HYPERLINK("https://klasma.github.io/Logging_0331/kartor/A 31569-2023 karta.png", "A 31569-2023")</f>
        <v/>
      </c>
      <c r="Y61">
        <f>HYPERLINK("https://klasma.github.io/Logging_0331/kartor_geotiff/A 31569-2023 georefererad karta.tif", "A 31569-2023")</f>
        <v/>
      </c>
      <c r="Z61">
        <f>HYPERLINK("https://klasma.github.io/Logging_0331/knärot/A 31569-2023 karta knärot.png", "A 31569-2023")</f>
        <v/>
      </c>
      <c r="AA61">
        <f>HYPERLINK("https://klasma.github.io/Logging_0331/klagomål/A 31569-2023 FSC-klagomål.docx", "A 31569-2023")</f>
        <v/>
      </c>
      <c r="AB61">
        <f>HYPERLINK("https://klasma.github.io/Logging_0331/klagomålsmail/A 31569-2023 FSC-klagomål mail.docx", "A 31569-2023")</f>
        <v/>
      </c>
      <c r="AC61">
        <f>HYPERLINK("https://klasma.github.io/Logging_0331/tillsyn/A 31569-2023 tillsynsbegäran.docx", "A 31569-2023")</f>
        <v/>
      </c>
      <c r="AD61">
        <f>HYPERLINK("https://klasma.github.io/Logging_0331/tillsynsmail/A 31569-2023 tillsynsbegäran mail.docx", "A 31569-2023")</f>
        <v/>
      </c>
    </row>
    <row r="62" ht="15" customHeight="1">
      <c r="A62" t="inlineStr">
        <is>
          <t>A 26596-2024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45469</v>
      </c>
      <c r="E62" s="1" t="n">
        <v>46303</v>
      </c>
      <c r="F62" t="inlineStr">
        <is>
          <t>UPPSALA LÄN</t>
        </is>
      </c>
      <c r="G62" t="inlineStr">
        <is>
          <t>HEBY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Stenichnus poweri</t>
        </is>
      </c>
      <c r="W62">
        <f>HYPERLINK("https://klasma.github.io/Logging_0331/artfynd/A 26596-2024 artfynd.xlsx", "A 26596-2024")</f>
        <v/>
      </c>
      <c r="X62">
        <f>HYPERLINK("https://klasma.github.io/Logging_0331/kartor/A 26596-2024 karta.png", "A 26596-2024")</f>
        <v/>
      </c>
      <c r="Y62">
        <f>HYPERLINK("https://klasma.github.io/Logging_0331/kartor_geotiff/A 26596-2024 georefererad karta.tif", "A 26596-2024")</f>
        <v/>
      </c>
      <c r="AA62">
        <f>HYPERLINK("https://klasma.github.io/Logging_0331/klagomål/A 26596-2024 FSC-klagomål.docx", "A 26596-2024")</f>
        <v/>
      </c>
      <c r="AB62">
        <f>HYPERLINK("https://klasma.github.io/Logging_0331/klagomålsmail/A 26596-2024 FSC-klagomål mail.docx", "A 26596-2024")</f>
        <v/>
      </c>
      <c r="AC62">
        <f>HYPERLINK("https://klasma.github.io/Logging_0331/tillsyn/A 26596-2024 tillsynsbegäran.docx", "A 26596-2024")</f>
        <v/>
      </c>
      <c r="AD62">
        <f>HYPERLINK("https://klasma.github.io/Logging_0331/tillsynsmail/A 26596-2024 tillsynsbegäran mail.docx", "A 26596-2024")</f>
        <v/>
      </c>
    </row>
    <row r="63" ht="15" customHeight="1">
      <c r="A63" t="inlineStr">
        <is>
          <t>A 38417-2025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46303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8.300000000000001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HYPERLINK("https://klasma.github.io/Logging_0331/artfynd/A 38417-2025 artfynd.xlsx", "A 38417-2025")</f>
        <v/>
      </c>
      <c r="X63">
        <f>HYPERLINK("https://klasma.github.io/Logging_0331/kartor/A 38417-2025 karta.png", "A 38417-2025")</f>
        <v/>
      </c>
      <c r="Y63">
        <f>HYPERLINK("https://klasma.github.io/Logging_0331/kartor_geotiff/A 38417-2025 georefererad karta.tif", "A 38417-2025")</f>
        <v/>
      </c>
      <c r="Z63">
        <f>HYPERLINK("https://klasma.github.io/Logging_0331/knärot/A 38417-2025 karta knärot.png", "A 38417-2025")</f>
        <v/>
      </c>
      <c r="AA63">
        <f>HYPERLINK("https://klasma.github.io/Logging_0331/klagomål/A 38417-2025 FSC-klagomål.docx", "A 38417-2025")</f>
        <v/>
      </c>
      <c r="AB63">
        <f>HYPERLINK("https://klasma.github.io/Logging_0331/klagomålsmail/A 38417-2025 FSC-klagomål mail.docx", "A 38417-2025")</f>
        <v/>
      </c>
      <c r="AC63">
        <f>HYPERLINK("https://klasma.github.io/Logging_0331/tillsyn/A 38417-2025 tillsynsbegäran.docx", "A 38417-2025")</f>
        <v/>
      </c>
      <c r="AD63">
        <f>HYPERLINK("https://klasma.github.io/Logging_0331/tillsynsmail/A 38417-2025 tillsynsbegäran mail.docx", "A 38417-2025")</f>
        <v/>
      </c>
    </row>
    <row r="64" ht="15" customHeight="1">
      <c r="A64" t="inlineStr">
        <is>
          <t>A 53992-2023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46303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HYPERLINK("https://klasma.github.io/Logging_0331/artfynd/A 53992-2023 artfynd.xlsx", "A 53992-2023")</f>
        <v/>
      </c>
      <c r="X64">
        <f>HYPERLINK("https://klasma.github.io/Logging_0331/kartor/A 53992-2023 karta.png", "A 53992-2023")</f>
        <v/>
      </c>
      <c r="Y64">
        <f>HYPERLINK("https://klasma.github.io/Logging_0331/kartor_geotiff/A 53992-2023 georefererad karta.tif", "A 53992-2023")</f>
        <v/>
      </c>
      <c r="AA64">
        <f>HYPERLINK("https://klasma.github.io/Logging_0331/klagomål/A 53992-2023 FSC-klagomål.docx", "A 53992-2023")</f>
        <v/>
      </c>
      <c r="AB64">
        <f>HYPERLINK("https://klasma.github.io/Logging_0331/klagomålsmail/A 53992-2023 FSC-klagomål mail.docx", "A 53992-2023")</f>
        <v/>
      </c>
      <c r="AC64">
        <f>HYPERLINK("https://klasma.github.io/Logging_0331/tillsyn/A 53992-2023 tillsynsbegäran.docx", "A 53992-2023")</f>
        <v/>
      </c>
      <c r="AD64">
        <f>HYPERLINK("https://klasma.github.io/Logging_0331/tillsynsmail/A 53992-2023 tillsynsbegäran mail.docx", "A 53992-2023")</f>
        <v/>
      </c>
    </row>
    <row r="65" ht="15" customHeight="1">
      <c r="A65" t="inlineStr">
        <is>
          <t>A 63940-2023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45278</v>
      </c>
      <c r="E65" s="1" t="n">
        <v>46303</v>
      </c>
      <c r="F65" t="inlineStr">
        <is>
          <t>UPPSALA LÄN</t>
        </is>
      </c>
      <c r="G65" t="inlineStr">
        <is>
          <t>HEBY</t>
        </is>
      </c>
      <c r="I65" t="n">
        <v>2.4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Gullpudra</t>
        </is>
      </c>
      <c r="W65">
        <f>HYPERLINK("https://klasma.github.io/Logging_0331/artfynd/A 63940-2023 artfynd.xlsx", "A 63940-2023")</f>
        <v/>
      </c>
      <c r="X65">
        <f>HYPERLINK("https://klasma.github.io/Logging_0331/kartor/A 63940-2023 karta.png", "A 63940-2023")</f>
        <v/>
      </c>
      <c r="Y65">
        <f>HYPERLINK("https://klasma.github.io/Logging_0331/kartor_geotiff/A 63940-2023 georefererad karta.tif", "A 63940-2023")</f>
        <v/>
      </c>
      <c r="AA65">
        <f>HYPERLINK("https://klasma.github.io/Logging_0331/klagomål/A 63940-2023 FSC-klagomål.docx", "A 63940-2023")</f>
        <v/>
      </c>
      <c r="AB65">
        <f>HYPERLINK("https://klasma.github.io/Logging_0331/klagomålsmail/A 63940-2023 FSC-klagomål mail.docx", "A 63940-2023")</f>
        <v/>
      </c>
      <c r="AC65">
        <f>HYPERLINK("https://klasma.github.io/Logging_0331/tillsyn/A 63940-2023 tillsynsbegäran.docx", "A 63940-2023")</f>
        <v/>
      </c>
      <c r="AD65">
        <f>HYPERLINK("https://klasma.github.io/Logging_0331/tillsynsmail/A 63940-2023 tillsynsbegäran mail.docx", "A 63940-2023")</f>
        <v/>
      </c>
    </row>
    <row r="66" ht="15" customHeight="1">
      <c r="A66" t="inlineStr">
        <is>
          <t>A 19751-2023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46303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2.3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Blåsippa</t>
        </is>
      </c>
      <c r="W66">
        <f>HYPERLINK("https://klasma.github.io/Logging_0331/artfynd/A 19751-2023 artfynd.xlsx", "A 19751-2023")</f>
        <v/>
      </c>
      <c r="X66">
        <f>HYPERLINK("https://klasma.github.io/Logging_0331/kartor/A 19751-2023 karta.png", "A 19751-2023")</f>
        <v/>
      </c>
      <c r="Y66">
        <f>HYPERLINK("https://klasma.github.io/Logging_0331/kartor_geotiff/A 19751-2023 georefererad karta.tif", "A 19751-2023")</f>
        <v/>
      </c>
      <c r="Z66">
        <f>HYPERLINK("https://klasma.github.io/Logging_0331/knärot/A 19751-2023 karta knärot.png", "A 19751-2023")</f>
        <v/>
      </c>
      <c r="AA66">
        <f>HYPERLINK("https://klasma.github.io/Logging_0331/klagomål/A 19751-2023 FSC-klagomål.docx", "A 19751-2023")</f>
        <v/>
      </c>
      <c r="AB66">
        <f>HYPERLINK("https://klasma.github.io/Logging_0331/klagomålsmail/A 19751-2023 FSC-klagomål mail.docx", "A 19751-2023")</f>
        <v/>
      </c>
      <c r="AC66">
        <f>HYPERLINK("https://klasma.github.io/Logging_0331/tillsyn/A 19751-2023 tillsynsbegäran.docx", "A 19751-2023")</f>
        <v/>
      </c>
      <c r="AD66">
        <f>HYPERLINK("https://klasma.github.io/Logging_0331/tillsynsmail/A 19751-2023 tillsynsbegäran mail.docx", "A 19751-2023")</f>
        <v/>
      </c>
    </row>
    <row r="67" ht="15" customHeight="1">
      <c r="A67" t="inlineStr">
        <is>
          <t>A 54368-2024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45617</v>
      </c>
      <c r="E67" s="1" t="n">
        <v>46303</v>
      </c>
      <c r="F67" t="inlineStr">
        <is>
          <t>UPPSALA LÄN</t>
        </is>
      </c>
      <c r="G67" t="inlineStr">
        <is>
          <t>HEBY</t>
        </is>
      </c>
      <c r="H67" t="inlineStr">
        <is>
          <t>Allmännings- och besparingsskogar</t>
        </is>
      </c>
      <c r="I67" t="n">
        <v>13.9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Talltita</t>
        </is>
      </c>
      <c r="W67">
        <f>HYPERLINK("https://klasma.github.io/Logging_0331/artfynd/A 54368-2024 artfynd.xlsx", "A 54368-2024")</f>
        <v/>
      </c>
      <c r="X67">
        <f>HYPERLINK("https://klasma.github.io/Logging_0331/kartor/A 54368-2024 karta.png", "A 54368-2024")</f>
        <v/>
      </c>
      <c r="Y67">
        <f>HYPERLINK("https://klasma.github.io/Logging_0331/kartor_geotiff/A 54368-2024 georefererad karta.tif", "A 54368-2024")</f>
        <v/>
      </c>
      <c r="AA67">
        <f>HYPERLINK("https://klasma.github.io/Logging_0331/klagomål/A 54368-2024 FSC-klagomål.docx", "A 54368-2024")</f>
        <v/>
      </c>
      <c r="AB67">
        <f>HYPERLINK("https://klasma.github.io/Logging_0331/klagomålsmail/A 54368-2024 FSC-klagomål mail.docx", "A 54368-2024")</f>
        <v/>
      </c>
      <c r="AC67">
        <f>HYPERLINK("https://klasma.github.io/Logging_0331/tillsyn/A 54368-2024 tillsynsbegäran.docx", "A 54368-2024")</f>
        <v/>
      </c>
      <c r="AD67">
        <f>HYPERLINK("https://klasma.github.io/Logging_0331/tillsynsmail/A 54368-2024 tillsynsbegäran mail.docx", "A 54368-2024")</f>
        <v/>
      </c>
      <c r="AE67">
        <f>HYPERLINK("https://klasma.github.io/Logging_0331/fåglar/A 54368-2024 prioriterade fågelarter.docx", "A 54368-2024")</f>
        <v/>
      </c>
    </row>
    <row r="68" ht="15" customHeight="1">
      <c r="A68" t="inlineStr">
        <is>
          <t>A 49707-2023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46303</v>
      </c>
      <c r="F68" t="inlineStr">
        <is>
          <t>UPPSALA LÄN</t>
        </is>
      </c>
      <c r="G68" t="inlineStr">
        <is>
          <t>HEBY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Granbarkgnagare</t>
        </is>
      </c>
      <c r="W68">
        <f>HYPERLINK("https://klasma.github.io/Logging_0331/artfynd/A 49707-2023 artfynd.xlsx", "A 49707-2023")</f>
        <v/>
      </c>
      <c r="X68">
        <f>HYPERLINK("https://klasma.github.io/Logging_0331/kartor/A 49707-2023 karta.png", "A 49707-2023")</f>
        <v/>
      </c>
      <c r="Y68">
        <f>HYPERLINK("https://klasma.github.io/Logging_0331/kartor_geotiff/A 49707-2023 georefererad karta.tif", "A 49707-2023")</f>
        <v/>
      </c>
      <c r="AA68">
        <f>HYPERLINK("https://klasma.github.io/Logging_0331/klagomål/A 49707-2023 FSC-klagomål.docx", "A 49707-2023")</f>
        <v/>
      </c>
      <c r="AB68">
        <f>HYPERLINK("https://klasma.github.io/Logging_0331/klagomålsmail/A 49707-2023 FSC-klagomål mail.docx", "A 49707-2023")</f>
        <v/>
      </c>
      <c r="AC68">
        <f>HYPERLINK("https://klasma.github.io/Logging_0331/tillsyn/A 49707-2023 tillsynsbegäran.docx", "A 49707-2023")</f>
        <v/>
      </c>
      <c r="AD68">
        <f>HYPERLINK("https://klasma.github.io/Logging_0331/tillsynsmail/A 49707-2023 tillsynsbegäran mail.docx", "A 49707-2023")</f>
        <v/>
      </c>
    </row>
    <row r="69" ht="15" customHeight="1">
      <c r="A69" t="inlineStr">
        <is>
          <t>A 19555-2025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45770</v>
      </c>
      <c r="E69" s="1" t="n">
        <v>46303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Sparvuggla</t>
        </is>
      </c>
      <c r="W69">
        <f>HYPERLINK("https://klasma.github.io/Logging_0331/artfynd/A 19555-2025 artfynd.xlsx", "A 19555-2025")</f>
        <v/>
      </c>
      <c r="X69">
        <f>HYPERLINK("https://klasma.github.io/Logging_0331/kartor/A 19555-2025 karta.png", "A 19555-2025")</f>
        <v/>
      </c>
      <c r="Y69">
        <f>HYPERLINK("https://klasma.github.io/Logging_0331/kartor_geotiff/A 19555-2025 georefererad karta.tif", "A 19555-2025")</f>
        <v/>
      </c>
      <c r="AA69">
        <f>HYPERLINK("https://klasma.github.io/Logging_0331/klagomål/A 19555-2025 FSC-klagomål.docx", "A 19555-2025")</f>
        <v/>
      </c>
      <c r="AB69">
        <f>HYPERLINK("https://klasma.github.io/Logging_0331/klagomålsmail/A 19555-2025 FSC-klagomål mail.docx", "A 19555-2025")</f>
        <v/>
      </c>
      <c r="AC69">
        <f>HYPERLINK("https://klasma.github.io/Logging_0331/tillsyn/A 19555-2025 tillsynsbegäran.docx", "A 19555-2025")</f>
        <v/>
      </c>
      <c r="AD69">
        <f>HYPERLINK("https://klasma.github.io/Logging_0331/tillsynsmail/A 19555-2025 tillsynsbegäran mail.docx", "A 19555-2025")</f>
        <v/>
      </c>
      <c r="AE69">
        <f>HYPERLINK("https://klasma.github.io/Logging_0331/fåglar/A 19555-2025 prioriterade fågelarter.docx", "A 19555-2025")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46303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55663-2024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46303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Ullticka</t>
        </is>
      </c>
      <c r="W71">
        <f>HYPERLINK("https://klasma.github.io/Logging_0331/artfynd/A 55663-2024 artfynd.xlsx", "A 55663-2024")</f>
        <v/>
      </c>
      <c r="X71">
        <f>HYPERLINK("https://klasma.github.io/Logging_0331/kartor/A 55663-2024 karta.png", "A 55663-2024")</f>
        <v/>
      </c>
      <c r="Y71">
        <f>HYPERLINK("https://klasma.github.io/Logging_0331/kartor_geotiff/A 55663-2024 georefererad karta.tif", "A 55663-2024")</f>
        <v/>
      </c>
      <c r="AA71">
        <f>HYPERLINK("https://klasma.github.io/Logging_0331/klagomål/A 55663-2024 FSC-klagomål.docx", "A 55663-2024")</f>
        <v/>
      </c>
      <c r="AB71">
        <f>HYPERLINK("https://klasma.github.io/Logging_0331/klagomålsmail/A 55663-2024 FSC-klagomål mail.docx", "A 55663-2024")</f>
        <v/>
      </c>
      <c r="AC71">
        <f>HYPERLINK("https://klasma.github.io/Logging_0331/tillsyn/A 55663-2024 tillsynsbegäran.docx", "A 55663-2024")</f>
        <v/>
      </c>
      <c r="AD71">
        <f>HYPERLINK("https://klasma.github.io/Logging_0331/tillsynsmail/A 55663-2024 tillsynsbegäran mail.docx", "A 55663-2024")</f>
        <v/>
      </c>
    </row>
    <row r="72" ht="15" customHeight="1">
      <c r="A72" t="inlineStr">
        <is>
          <t>A 9358-2026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46303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9358-2026 artfynd.xlsx", "A 9358-2026")</f>
        <v/>
      </c>
      <c r="X72">
        <f>HYPERLINK("https://klasma.github.io/Logging_0331/kartor/A 9358-2026 karta.png", "A 9358-2026")</f>
        <v/>
      </c>
      <c r="Y72">
        <f>HYPERLINK("https://klasma.github.io/Logging_0331/kartor_geotiff/A 9358-2026 georefererad karta.tif", "A 9358-2026")</f>
        <v/>
      </c>
      <c r="AA72">
        <f>HYPERLINK("https://klasma.github.io/Logging_0331/klagomål/A 9358-2026 FSC-klagomål.docx", "A 9358-2026")</f>
        <v/>
      </c>
      <c r="AB72">
        <f>HYPERLINK("https://klasma.github.io/Logging_0331/klagomålsmail/A 9358-2026 FSC-klagomål mail.docx", "A 9358-2026")</f>
        <v/>
      </c>
      <c r="AC72">
        <f>HYPERLINK("https://klasma.github.io/Logging_0331/tillsyn/A 9358-2026 tillsynsbegäran.docx", "A 9358-2026")</f>
        <v/>
      </c>
      <c r="AD72">
        <f>HYPERLINK("https://klasma.github.io/Logging_0331/tillsynsmail/A 9358-2026 tillsynsbegäran mail.docx", "A 9358-2026")</f>
        <v/>
      </c>
    </row>
    <row r="73" ht="15" customHeight="1">
      <c r="A73" t="inlineStr">
        <is>
          <t>A 9455-2026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46303</v>
      </c>
      <c r="F73" t="inlineStr">
        <is>
          <t>UPPSALA LÄN</t>
        </is>
      </c>
      <c r="G73" t="inlineStr">
        <is>
          <t>HEBY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Kungsspindling</t>
        </is>
      </c>
      <c r="W73">
        <f>HYPERLINK("https://klasma.github.io/Logging_0331/artfynd/A 9455-2026 artfynd.xlsx", "A 9455-2026")</f>
        <v/>
      </c>
      <c r="X73">
        <f>HYPERLINK("https://klasma.github.io/Logging_0331/kartor/A 9455-2026 karta.png", "A 9455-2026")</f>
        <v/>
      </c>
      <c r="Y73">
        <f>HYPERLINK("https://klasma.github.io/Logging_0331/kartor_geotiff/A 9455-2026 georefererad karta.tif", "A 9455-2026")</f>
        <v/>
      </c>
      <c r="AA73">
        <f>HYPERLINK("https://klasma.github.io/Logging_0331/klagomål/A 9455-2026 FSC-klagomål.docx", "A 9455-2026")</f>
        <v/>
      </c>
      <c r="AB73">
        <f>HYPERLINK("https://klasma.github.io/Logging_0331/klagomålsmail/A 9455-2026 FSC-klagomål mail.docx", "A 9455-2026")</f>
        <v/>
      </c>
      <c r="AC73">
        <f>HYPERLINK("https://klasma.github.io/Logging_0331/tillsyn/A 9455-2026 tillsynsbegäran.docx", "A 9455-2026")</f>
        <v/>
      </c>
      <c r="AD73">
        <f>HYPERLINK("https://klasma.github.io/Logging_0331/tillsynsmail/A 9455-2026 tillsynsbegäran mail.docx", "A 9455-2026")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46303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9618-2026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46303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HYPERLINK("https://klasma.github.io/Logging_0331/artfynd/A 9618-2026 artfynd.xlsx", "A 9618-2026")</f>
        <v/>
      </c>
      <c r="X75">
        <f>HYPERLINK("https://klasma.github.io/Logging_0331/kartor/A 9618-2026 karta.png", "A 9618-2026")</f>
        <v/>
      </c>
      <c r="Y75">
        <f>HYPERLINK("https://klasma.github.io/Logging_0331/kartor_geotiff/A 9618-2026 georefererad karta.tif", "A 9618-2026")</f>
        <v/>
      </c>
      <c r="AA75">
        <f>HYPERLINK("https://klasma.github.io/Logging_0331/klagomål/A 9618-2026 FSC-klagomål.docx", "A 9618-2026")</f>
        <v/>
      </c>
      <c r="AB75">
        <f>HYPERLINK("https://klasma.github.io/Logging_0331/klagomålsmail/A 9618-2026 FSC-klagomål mail.docx", "A 9618-2026")</f>
        <v/>
      </c>
      <c r="AC75">
        <f>HYPERLINK("https://klasma.github.io/Logging_0331/tillsyn/A 9618-2026 tillsynsbegäran.docx", "A 9618-2026")</f>
        <v/>
      </c>
      <c r="AD75">
        <f>HYPERLINK("https://klasma.github.io/Logging_0331/tillsynsmail/A 9618-2026 tillsynsbegäran mail.docx", "A 9618-2026")</f>
        <v/>
      </c>
    </row>
    <row r="76" ht="15" customHeight="1">
      <c r="A76" t="inlineStr">
        <is>
          <t>A 11560-2026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46084</v>
      </c>
      <c r="E76" s="1" t="n">
        <v>46303</v>
      </c>
      <c r="F76" t="inlineStr">
        <is>
          <t>UPPSALA LÄN</t>
        </is>
      </c>
      <c r="G76" t="inlineStr">
        <is>
          <t>HEBY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vattensalamander</t>
        </is>
      </c>
      <c r="W76">
        <f>HYPERLINK("https://klasma.github.io/Logging_0331/artfynd/A 11560-2026 artfynd.xlsx", "A 11560-2026")</f>
        <v/>
      </c>
      <c r="X76">
        <f>HYPERLINK("https://klasma.github.io/Logging_0331/kartor/A 11560-2026 karta.png", "A 11560-2026")</f>
        <v/>
      </c>
      <c r="Y76">
        <f>HYPERLINK("https://klasma.github.io/Logging_0331/kartor_geotiff/A 11560-2026 georefererad karta.tif", "A 11560-2026")</f>
        <v/>
      </c>
      <c r="AA76">
        <f>HYPERLINK("https://klasma.github.io/Logging_0331/klagomål/A 11560-2026 FSC-klagomål.docx", "A 11560-2026")</f>
        <v/>
      </c>
      <c r="AB76">
        <f>HYPERLINK("https://klasma.github.io/Logging_0331/klagomålsmail/A 11560-2026 FSC-klagomål mail.docx", "A 11560-2026")</f>
        <v/>
      </c>
      <c r="AC76">
        <f>HYPERLINK("https://klasma.github.io/Logging_0331/tillsyn/A 11560-2026 tillsynsbegäran.docx", "A 11560-2026")</f>
        <v/>
      </c>
      <c r="AD76">
        <f>HYPERLINK("https://klasma.github.io/Logging_0331/tillsynsmail/A 11560-2026 tillsynsbegäran mail.docx", "A 11560-2026")</f>
        <v/>
      </c>
    </row>
    <row r="77" ht="15" customHeight="1">
      <c r="A77" t="inlineStr">
        <is>
          <t>A 11841-2026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46085</v>
      </c>
      <c r="E77" s="1" t="n">
        <v>46303</v>
      </c>
      <c r="F77" t="inlineStr">
        <is>
          <t>UPPSALA LÄN</t>
        </is>
      </c>
      <c r="G77" t="inlineStr">
        <is>
          <t>HEBY</t>
        </is>
      </c>
      <c r="I77" t="n">
        <v>1.1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Stor aspticka</t>
        </is>
      </c>
      <c r="W77">
        <f>HYPERLINK("https://klasma.github.io/Logging_0331/artfynd/A 11841-2026 artfynd.xlsx", "A 11841-2026")</f>
        <v/>
      </c>
      <c r="X77">
        <f>HYPERLINK("https://klasma.github.io/Logging_0331/kartor/A 11841-2026 karta.png", "A 11841-2026")</f>
        <v/>
      </c>
      <c r="Y77">
        <f>HYPERLINK("https://klasma.github.io/Logging_0331/kartor_geotiff/A 11841-2026 georefererad karta.tif", "A 11841-2026")</f>
        <v/>
      </c>
      <c r="AA77">
        <f>HYPERLINK("https://klasma.github.io/Logging_0331/klagomål/A 11841-2026 FSC-klagomål.docx", "A 11841-2026")</f>
        <v/>
      </c>
      <c r="AB77">
        <f>HYPERLINK("https://klasma.github.io/Logging_0331/klagomålsmail/A 11841-2026 FSC-klagomål mail.docx", "A 11841-2026")</f>
        <v/>
      </c>
      <c r="AC77">
        <f>HYPERLINK("https://klasma.github.io/Logging_0331/tillsyn/A 11841-2026 tillsynsbegäran.docx", "A 11841-2026")</f>
        <v/>
      </c>
      <c r="AD77">
        <f>HYPERLINK("https://klasma.github.io/Logging_0331/tillsynsmail/A 11841-2026 tillsynsbegäran mail.docx", "A 11841-2026")</f>
        <v/>
      </c>
    </row>
    <row r="78" ht="15" customHeight="1">
      <c r="A78" t="inlineStr">
        <is>
          <t>A 11011-2025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45723</v>
      </c>
      <c r="E78" s="1" t="n">
        <v>46303</v>
      </c>
      <c r="F78" t="inlineStr">
        <is>
          <t>UPPSALA LÄN</t>
        </is>
      </c>
      <c r="G78" t="inlineStr">
        <is>
          <t>HEBY</t>
        </is>
      </c>
      <c r="H78" t="inlineStr">
        <is>
          <t>Kyrkan</t>
        </is>
      </c>
      <c r="I78" t="n">
        <v>2.6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HYPERLINK("https://klasma.github.io/Logging_0331/artfynd/A 11011-2025 artfynd.xlsx", "A 11011-2025")</f>
        <v/>
      </c>
      <c r="X78">
        <f>HYPERLINK("https://klasma.github.io/Logging_0331/kartor/A 11011-2025 karta.png", "A 11011-2025")</f>
        <v/>
      </c>
      <c r="Y78">
        <f>HYPERLINK("https://klasma.github.io/Logging_0331/kartor_geotiff/A 11011-2025 georefererad karta.tif", "A 11011-2025")</f>
        <v/>
      </c>
      <c r="AA78">
        <f>HYPERLINK("https://klasma.github.io/Logging_0331/klagomål/A 11011-2025 FSC-klagomål.docx", "A 11011-2025")</f>
        <v/>
      </c>
      <c r="AB78">
        <f>HYPERLINK("https://klasma.github.io/Logging_0331/klagomålsmail/A 11011-2025 FSC-klagomål mail.docx", "A 11011-2025")</f>
        <v/>
      </c>
      <c r="AC78">
        <f>HYPERLINK("https://klasma.github.io/Logging_0331/tillsyn/A 11011-2025 tillsynsbegäran.docx", "A 11011-2025")</f>
        <v/>
      </c>
      <c r="AD78">
        <f>HYPERLINK("https://klasma.github.io/Logging_0331/tillsynsmail/A 11011-2025 tillsynsbegäran mail.docx", "A 11011-2025")</f>
        <v/>
      </c>
    </row>
    <row r="79" ht="15" customHeight="1">
      <c r="A79" t="inlineStr">
        <is>
          <t>A 20530-2026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46303</v>
      </c>
      <c r="F79" t="inlineStr">
        <is>
          <t>UPPSALA LÄN</t>
        </is>
      </c>
      <c r="G79" t="inlineStr">
        <is>
          <t>HEBY</t>
        </is>
      </c>
      <c r="I79" t="n">
        <v>5.3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Björksplintborre</t>
        </is>
      </c>
      <c r="W79">
        <f>HYPERLINK("https://klasma.github.io/Logging_0331/artfynd/A 20530-2026 artfynd.xlsx", "A 20530-2026")</f>
        <v/>
      </c>
      <c r="X79">
        <f>HYPERLINK("https://klasma.github.io/Logging_0331/kartor/A 20530-2026 karta.png", "A 20530-2026")</f>
        <v/>
      </c>
      <c r="Y79">
        <f>HYPERLINK("https://klasma.github.io/Logging_0331/kartor_geotiff/A 20530-2026 georefererad karta.tif", "A 20530-2026")</f>
        <v/>
      </c>
      <c r="AA79">
        <f>HYPERLINK("https://klasma.github.io/Logging_0331/klagomål/A 20530-2026 FSC-klagomål.docx", "A 20530-2026")</f>
        <v/>
      </c>
      <c r="AB79">
        <f>HYPERLINK("https://klasma.github.io/Logging_0331/klagomålsmail/A 20530-2026 FSC-klagomål mail.docx", "A 20530-2026")</f>
        <v/>
      </c>
      <c r="AC79">
        <f>HYPERLINK("https://klasma.github.io/Logging_0331/tillsyn/A 20530-2026 tillsynsbegäran.docx", "A 20530-2026")</f>
        <v/>
      </c>
      <c r="AD79">
        <f>HYPERLINK("https://klasma.github.io/Logging_0331/tillsynsmail/A 20530-2026 tillsynsbegäran mail.docx", "A 20530-2026")</f>
        <v/>
      </c>
    </row>
    <row r="80" ht="15" customHeight="1">
      <c r="A80" t="inlineStr">
        <is>
          <t>A 3374-2024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46303</v>
      </c>
      <c r="F80" t="inlineStr">
        <is>
          <t>UPPSALA LÄN</t>
        </is>
      </c>
      <c r="G80" t="inlineStr">
        <is>
          <t>HEBY</t>
        </is>
      </c>
      <c r="I80" t="n">
        <v>8.4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Berggräsfjäril</t>
        </is>
      </c>
      <c r="W80">
        <f>HYPERLINK("https://klasma.github.io/Logging_0331/artfynd/A 3374-2024 artfynd.xlsx", "A 3374-2024")</f>
        <v/>
      </c>
      <c r="X80">
        <f>HYPERLINK("https://klasma.github.io/Logging_0331/kartor/A 3374-2024 karta.png", "A 3374-2024")</f>
        <v/>
      </c>
      <c r="Y80">
        <f>HYPERLINK("https://klasma.github.io/Logging_0331/kartor_geotiff/A 3374-2024 georefererad karta.tif", "A 3374-2024")</f>
        <v/>
      </c>
      <c r="AA80">
        <f>HYPERLINK("https://klasma.github.io/Logging_0331/klagomål/A 3374-2024 FSC-klagomål.docx", "A 3374-2024")</f>
        <v/>
      </c>
      <c r="AB80">
        <f>HYPERLINK("https://klasma.github.io/Logging_0331/klagomålsmail/A 3374-2024 FSC-klagomål mail.docx", "A 3374-2024")</f>
        <v/>
      </c>
      <c r="AC80">
        <f>HYPERLINK("https://klasma.github.io/Logging_0331/tillsyn/A 3374-2024 tillsynsbegäran.docx", "A 3374-2024")</f>
        <v/>
      </c>
      <c r="AD80">
        <f>HYPERLINK("https://klasma.github.io/Logging_0331/tillsynsmail/A 3374-2024 tillsynsbegäran mail.docx", "A 3374-2024")</f>
        <v/>
      </c>
    </row>
    <row r="81" ht="15" customHeight="1">
      <c r="A81" t="inlineStr">
        <is>
          <t>A 31885-2026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46231</v>
      </c>
      <c r="E81" s="1" t="n">
        <v>46303</v>
      </c>
      <c r="F81" t="inlineStr">
        <is>
          <t>UPPSALA LÄN</t>
        </is>
      </c>
      <c r="G81" t="inlineStr">
        <is>
          <t>HEBY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 spretmossa</t>
        </is>
      </c>
      <c r="W81">
        <f>HYPERLINK("https://klasma.github.io/Logging_0331/artfynd/A 31885-2026 artfynd.xlsx", "A 31885-2026")</f>
        <v/>
      </c>
      <c r="X81">
        <f>HYPERLINK("https://klasma.github.io/Logging_0331/kartor/A 31885-2026 karta.png", "A 31885-2026")</f>
        <v/>
      </c>
      <c r="Y81">
        <f>HYPERLINK("https://klasma.github.io/Logging_0331/kartor_geotiff/A 31885-2026 georefererad karta.tif", "A 31885-2026")</f>
        <v/>
      </c>
      <c r="AA81">
        <f>HYPERLINK("https://klasma.github.io/Logging_0331/klagomål/A 31885-2026 FSC-klagomål.docx", "A 31885-2026")</f>
        <v/>
      </c>
      <c r="AB81">
        <f>HYPERLINK("https://klasma.github.io/Logging_0331/klagomålsmail/A 31885-2026 FSC-klagomål mail.docx", "A 31885-2026")</f>
        <v/>
      </c>
      <c r="AC81">
        <f>HYPERLINK("https://klasma.github.io/Logging_0331/tillsyn/A 31885-2026 tillsynsbegäran.docx", "A 31885-2026")</f>
        <v/>
      </c>
      <c r="AD81">
        <f>HYPERLINK("https://klasma.github.io/Logging_0331/tillsynsmail/A 31885-2026 tillsynsbegäran mail.docx", "A 31885-2026")</f>
        <v/>
      </c>
    </row>
    <row r="82" ht="15" customHeight="1">
      <c r="A82" t="inlineStr">
        <is>
          <t>A 40506-2026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46295</v>
      </c>
      <c r="E82" s="1" t="n">
        <v>46303</v>
      </c>
      <c r="F82" t="inlineStr">
        <is>
          <t>UPPSALA LÄN</t>
        </is>
      </c>
      <c r="G82" t="inlineStr">
        <is>
          <t>HEBY</t>
        </is>
      </c>
      <c r="H82" t="inlineStr">
        <is>
          <t>Allmännings- och besparingsskogar</t>
        </is>
      </c>
      <c r="I82" t="n">
        <v>7.1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HYPERLINK("https://klasma.github.io/Logging_0331/artfynd/A 40506-2026 artfynd.xlsx", "A 40506-2026")</f>
        <v/>
      </c>
      <c r="X82">
        <f>HYPERLINK("https://klasma.github.io/Logging_0331/kartor/A 40506-2026 karta.png", "A 40506-2026")</f>
        <v/>
      </c>
      <c r="Y82">
        <f>HYPERLINK("https://klasma.github.io/Logging_0331/kartor_geotiff/A 40506-2026 georefererad karta.tif", "A 40506-2026")</f>
        <v/>
      </c>
      <c r="AA82">
        <f>HYPERLINK("https://klasma.github.io/Logging_0331/klagomål/A 40506-2026 FSC-klagomål.docx", "A 40506-2026")</f>
        <v/>
      </c>
      <c r="AB82">
        <f>HYPERLINK("https://klasma.github.io/Logging_0331/klagomålsmail/A 40506-2026 FSC-klagomål mail.docx", "A 40506-2026")</f>
        <v/>
      </c>
      <c r="AC82">
        <f>HYPERLINK("https://klasma.github.io/Logging_0331/tillsyn/A 40506-2026 tillsynsbegäran.docx", "A 40506-2026")</f>
        <v/>
      </c>
      <c r="AD82">
        <f>HYPERLINK("https://klasma.github.io/Logging_0331/tillsynsmail/A 40506-2026 tillsynsbegäran mail.docx", "A 40506-2026")</f>
        <v/>
      </c>
      <c r="AE82">
        <f>HYPERLINK("https://klasma.github.io/Logging_0331/fåglar/A 40506-2026 prioriterade fågelarter.docx", "A 40506-2026")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46303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46303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46303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46303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46303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46303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46303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46303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46303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46303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46303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46303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46303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46303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46303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46303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46303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46303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46303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46303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46303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46303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46303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46303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46303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46303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46303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46303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46303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46303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46303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46303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46303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46303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46303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46303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46303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44700</v>
      </c>
      <c r="E120" s="1" t="n">
        <v>46303</v>
      </c>
      <c r="F120" t="inlineStr">
        <is>
          <t>UPPSALA LÄN</t>
        </is>
      </c>
      <c r="G120" t="inlineStr">
        <is>
          <t>HEBY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45132</v>
      </c>
      <c r="E121" s="1" t="n">
        <v>46303</v>
      </c>
      <c r="F121" t="inlineStr">
        <is>
          <t>UPPSALA LÄN</t>
        </is>
      </c>
      <c r="G121" t="inlineStr">
        <is>
          <t>HEBY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46303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46303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46303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69597-2021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46303</v>
      </c>
      <c r="F125" t="inlineStr">
        <is>
          <t>UPPSALA LÄN</t>
        </is>
      </c>
      <c r="G125" t="inlineStr">
        <is>
          <t>HEBY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8182-2022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44609</v>
      </c>
      <c r="E126" s="1" t="n">
        <v>46303</v>
      </c>
      <c r="F126" t="inlineStr">
        <is>
          <t>UPPSALA LÄN</t>
        </is>
      </c>
      <c r="G126" t="inlineStr">
        <is>
          <t>HEBY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1462-2022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44573</v>
      </c>
      <c r="E127" s="1" t="n">
        <v>46303</v>
      </c>
      <c r="F127" t="inlineStr">
        <is>
          <t>UPPSALA LÄN</t>
        </is>
      </c>
      <c r="G127" t="inlineStr">
        <is>
          <t>HEBY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46303</v>
      </c>
      <c r="F128" t="inlineStr">
        <is>
          <t>UPPSALA LÄN</t>
        </is>
      </c>
      <c r="G128" t="inlineStr">
        <is>
          <t>HEBY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46303</v>
      </c>
      <c r="F129" t="inlineStr">
        <is>
          <t>UPPSALA LÄN</t>
        </is>
      </c>
      <c r="G129" t="inlineStr">
        <is>
          <t>HEBY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44614</v>
      </c>
      <c r="E130" s="1" t="n">
        <v>46303</v>
      </c>
      <c r="F130" t="inlineStr">
        <is>
          <t>UPPSALA LÄN</t>
        </is>
      </c>
      <c r="G130" t="inlineStr">
        <is>
          <t>HEBY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73385-2021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46303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44832</v>
      </c>
      <c r="E132" s="1" t="n">
        <v>46303</v>
      </c>
      <c r="F132" t="inlineStr">
        <is>
          <t>UPPSALA LÄN</t>
        </is>
      </c>
      <c r="G132" t="inlineStr">
        <is>
          <t>HEBY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45743</v>
      </c>
      <c r="E133" s="1" t="n">
        <v>46303</v>
      </c>
      <c r="F133" t="inlineStr">
        <is>
          <t>UPPSALA LÄN</t>
        </is>
      </c>
      <c r="G133" t="inlineStr">
        <is>
          <t>HEBY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45687</v>
      </c>
      <c r="E134" s="1" t="n">
        <v>46303</v>
      </c>
      <c r="F134" t="inlineStr">
        <is>
          <t>UPPSALA LÄN</t>
        </is>
      </c>
      <c r="G134" t="inlineStr">
        <is>
          <t>HEBY</t>
        </is>
      </c>
      <c r="H134" t="inlineStr">
        <is>
          <t>Övriga Aktiebolag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46303</v>
      </c>
      <c r="F135" t="inlineStr">
        <is>
          <t>UPPSALA LÄN</t>
        </is>
      </c>
      <c r="G135" t="inlineStr">
        <is>
          <t>HEBY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46303</v>
      </c>
      <c r="F136" t="inlineStr">
        <is>
          <t>UPPSALA LÄN</t>
        </is>
      </c>
      <c r="G136" t="inlineStr">
        <is>
          <t>HEBY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44748</v>
      </c>
      <c r="E137" s="1" t="n">
        <v>46303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45351</v>
      </c>
      <c r="E138" s="1" t="n">
        <v>46303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46303</v>
      </c>
      <c r="F139" t="inlineStr">
        <is>
          <t>UPPSALA LÄN</t>
        </is>
      </c>
      <c r="G139" t="inlineStr">
        <is>
          <t>HEBY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46303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14008-2022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44650</v>
      </c>
      <c r="E141" s="1" t="n">
        <v>46303</v>
      </c>
      <c r="F141" t="inlineStr">
        <is>
          <t>UPPSALA LÄN</t>
        </is>
      </c>
      <c r="G141" t="inlineStr">
        <is>
          <t>HEBY</t>
        </is>
      </c>
      <c r="H141" t="inlineStr">
        <is>
          <t>Bergvik skog öst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46303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46303</v>
      </c>
      <c r="F143" t="inlineStr">
        <is>
          <t>UPPSALA LÄN</t>
        </is>
      </c>
      <c r="G143" t="inlineStr">
        <is>
          <t>HEBY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51091-2023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45218</v>
      </c>
      <c r="E144" s="1" t="n">
        <v>46303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45331</v>
      </c>
      <c r="E145" s="1" t="n">
        <v>46303</v>
      </c>
      <c r="F145" t="inlineStr">
        <is>
          <t>UPPSALA LÄN</t>
        </is>
      </c>
      <c r="G145" t="inlineStr">
        <is>
          <t>HEBY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45216</v>
      </c>
      <c r="E146" s="1" t="n">
        <v>46303</v>
      </c>
      <c r="F146" t="inlineStr">
        <is>
          <t>UPPSALA LÄN</t>
        </is>
      </c>
      <c r="G146" t="inlineStr">
        <is>
          <t>HEBY</t>
        </is>
      </c>
      <c r="I146" t="n">
        <v>10.9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46303</v>
      </c>
      <c r="F147" t="inlineStr">
        <is>
          <t>UPPSALA LÄN</t>
        </is>
      </c>
      <c r="G147" t="inlineStr">
        <is>
          <t>HEBY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46303</v>
      </c>
      <c r="F148" t="inlineStr">
        <is>
          <t>UPPSALA LÄN</t>
        </is>
      </c>
      <c r="G148" t="inlineStr">
        <is>
          <t>HEBY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46303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54594-2024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45617</v>
      </c>
      <c r="E150" s="1" t="n">
        <v>46303</v>
      </c>
      <c r="F150" t="inlineStr">
        <is>
          <t>UPPSALA LÄN</t>
        </is>
      </c>
      <c r="G150" t="inlineStr">
        <is>
          <t>HEBY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46303</v>
      </c>
      <c r="F151" t="inlineStr">
        <is>
          <t>UPPSALA LÄN</t>
        </is>
      </c>
      <c r="G151" t="inlineStr">
        <is>
          <t>HEBY</t>
        </is>
      </c>
      <c r="H151" t="inlineStr">
        <is>
          <t>Bergvik skog väst AB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46303</v>
      </c>
      <c r="F152" t="inlineStr">
        <is>
          <t>UPPSALA LÄN</t>
        </is>
      </c>
      <c r="G152" t="inlineStr">
        <is>
          <t>HEBY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46303</v>
      </c>
      <c r="F153" t="inlineStr">
        <is>
          <t>UPPSALA LÄN</t>
        </is>
      </c>
      <c r="G153" t="inlineStr">
        <is>
          <t>HEBY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46303</v>
      </c>
      <c r="F154" t="inlineStr">
        <is>
          <t>UPPSALA LÄN</t>
        </is>
      </c>
      <c r="G154" t="inlineStr">
        <is>
          <t>HEBY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45786</v>
      </c>
      <c r="E155" s="1" t="n">
        <v>46303</v>
      </c>
      <c r="F155" t="inlineStr">
        <is>
          <t>UPPSALA LÄN</t>
        </is>
      </c>
      <c r="G155" t="inlineStr">
        <is>
          <t>HEBY</t>
        </is>
      </c>
      <c r="H155" t="inlineStr">
        <is>
          <t>Kyrkan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45394</v>
      </c>
      <c r="E156" s="1" t="n">
        <v>46303</v>
      </c>
      <c r="F156" t="inlineStr">
        <is>
          <t>UPPSALA LÄN</t>
        </is>
      </c>
      <c r="G156" t="inlineStr">
        <is>
          <t>HEBY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46303</v>
      </c>
      <c r="F157" t="inlineStr">
        <is>
          <t>UPPSALA LÄN</t>
        </is>
      </c>
      <c r="G157" t="inlineStr">
        <is>
          <t>HEBY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70976-2021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44538</v>
      </c>
      <c r="E158" s="1" t="n">
        <v>46303</v>
      </c>
      <c r="F158" t="inlineStr">
        <is>
          <t>UPPSALA LÄN</t>
        </is>
      </c>
      <c r="G158" t="inlineStr">
        <is>
          <t>HEBY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46303</v>
      </c>
      <c r="F159" t="inlineStr">
        <is>
          <t>UPPSALA LÄN</t>
        </is>
      </c>
      <c r="G159" t="inlineStr">
        <is>
          <t>HEBY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46303</v>
      </c>
      <c r="F160" t="inlineStr">
        <is>
          <t>UPPSALA LÄN</t>
        </is>
      </c>
      <c r="G160" t="inlineStr">
        <is>
          <t>HEBY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46303</v>
      </c>
      <c r="F161" t="inlineStr">
        <is>
          <t>UPPSALA LÄN</t>
        </is>
      </c>
      <c r="G161" t="inlineStr">
        <is>
          <t>HEBY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44644</v>
      </c>
      <c r="E162" s="1" t="n">
        <v>46303</v>
      </c>
      <c r="F162" t="inlineStr">
        <is>
          <t>UPPSALA LÄN</t>
        </is>
      </c>
      <c r="G162" t="inlineStr">
        <is>
          <t>HEBY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45250</v>
      </c>
      <c r="E163" s="1" t="n">
        <v>46303</v>
      </c>
      <c r="F163" t="inlineStr">
        <is>
          <t>UPPSALA LÄN</t>
        </is>
      </c>
      <c r="G163" t="inlineStr">
        <is>
          <t>HEBY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46303</v>
      </c>
      <c r="F164" t="inlineStr">
        <is>
          <t>UPPSALA LÄN</t>
        </is>
      </c>
      <c r="G164" t="inlineStr">
        <is>
          <t>HEBY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45786</v>
      </c>
      <c r="E165" s="1" t="n">
        <v>46303</v>
      </c>
      <c r="F165" t="inlineStr">
        <is>
          <t>UPPSALA LÄN</t>
        </is>
      </c>
      <c r="G165" t="inlineStr">
        <is>
          <t>HEBY</t>
        </is>
      </c>
      <c r="H165" t="inlineStr">
        <is>
          <t>Kyrkan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44944</v>
      </c>
      <c r="E166" s="1" t="n">
        <v>46303</v>
      </c>
      <c r="F166" t="inlineStr">
        <is>
          <t>UPPSALA LÄN</t>
        </is>
      </c>
      <c r="G166" t="inlineStr">
        <is>
          <t>HEBY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46303</v>
      </c>
      <c r="F167" t="inlineStr">
        <is>
          <t>UPPSALA LÄN</t>
        </is>
      </c>
      <c r="G167" t="inlineStr">
        <is>
          <t>HEBY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50859-2022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44862</v>
      </c>
      <c r="E168" s="1" t="n">
        <v>46303</v>
      </c>
      <c r="F168" t="inlineStr">
        <is>
          <t>UPPSALA LÄN</t>
        </is>
      </c>
      <c r="G168" t="inlineStr">
        <is>
          <t>HEBY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46303</v>
      </c>
      <c r="F169" t="inlineStr">
        <is>
          <t>UPPSALA LÄN</t>
        </is>
      </c>
      <c r="G169" t="inlineStr">
        <is>
          <t>HEBY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44568</v>
      </c>
      <c r="E170" s="1" t="n">
        <v>46303</v>
      </c>
      <c r="F170" t="inlineStr">
        <is>
          <t>UPPSALA LÄN</t>
        </is>
      </c>
      <c r="G170" t="inlineStr">
        <is>
          <t>HEBY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46303</v>
      </c>
      <c r="F171" t="inlineStr">
        <is>
          <t>UPPSALA LÄN</t>
        </is>
      </c>
      <c r="G171" t="inlineStr">
        <is>
          <t>HEBY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46303</v>
      </c>
      <c r="F172" t="inlineStr">
        <is>
          <t>UPPSALA LÄN</t>
        </is>
      </c>
      <c r="G172" t="inlineStr">
        <is>
          <t>HEBY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44849</v>
      </c>
      <c r="E173" s="1" t="n">
        <v>46303</v>
      </c>
      <c r="F173" t="inlineStr">
        <is>
          <t>UPPSALA LÄN</t>
        </is>
      </c>
      <c r="G173" t="inlineStr">
        <is>
          <t>HEBY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46303</v>
      </c>
      <c r="F174" t="inlineStr">
        <is>
          <t>UPPSALA LÄN</t>
        </is>
      </c>
      <c r="G174" t="inlineStr">
        <is>
          <t>HEBY</t>
        </is>
      </c>
      <c r="H174" t="inlineStr">
        <is>
          <t>Övriga Aktiebolag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46303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16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45250</v>
      </c>
      <c r="E176" s="1" t="n">
        <v>46303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46303</v>
      </c>
      <c r="F177" t="inlineStr">
        <is>
          <t>UPPSALA LÄN</t>
        </is>
      </c>
      <c r="G177" t="inlineStr">
        <is>
          <t>HEBY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46303</v>
      </c>
      <c r="F178" t="inlineStr">
        <is>
          <t>UPPSALA LÄN</t>
        </is>
      </c>
      <c r="G178" t="inlineStr">
        <is>
          <t>HEBY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45321</v>
      </c>
      <c r="E179" s="1" t="n">
        <v>46303</v>
      </c>
      <c r="F179" t="inlineStr">
        <is>
          <t>UPPSALA LÄN</t>
        </is>
      </c>
      <c r="G179" t="inlineStr">
        <is>
          <t>HEBY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46303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44946</v>
      </c>
      <c r="E181" s="1" t="n">
        <v>46303</v>
      </c>
      <c r="F181" t="inlineStr">
        <is>
          <t>UPPSALA LÄN</t>
        </is>
      </c>
      <c r="G181" t="inlineStr">
        <is>
          <t>HEBY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45328</v>
      </c>
      <c r="E182" s="1" t="n">
        <v>46303</v>
      </c>
      <c r="F182" t="inlineStr">
        <is>
          <t>UPPSALA LÄN</t>
        </is>
      </c>
      <c r="G182" t="inlineStr">
        <is>
          <t>HEBY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46303</v>
      </c>
      <c r="F183" t="inlineStr">
        <is>
          <t>UPPSALA LÄN</t>
        </is>
      </c>
      <c r="G183" t="inlineStr">
        <is>
          <t>HEBY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46303</v>
      </c>
      <c r="F184" t="inlineStr">
        <is>
          <t>UPPSALA LÄN</t>
        </is>
      </c>
      <c r="G184" t="inlineStr">
        <is>
          <t>HEBY</t>
        </is>
      </c>
      <c r="H184" t="inlineStr">
        <is>
          <t>Övriga Aktiebolag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46303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12.3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46303</v>
      </c>
      <c r="F186" t="inlineStr">
        <is>
          <t>UPPSALA LÄN</t>
        </is>
      </c>
      <c r="G186" t="inlineStr">
        <is>
          <t>HEBY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46303</v>
      </c>
      <c r="F187" t="inlineStr">
        <is>
          <t>UPPSALA LÄN</t>
        </is>
      </c>
      <c r="G187" t="inlineStr">
        <is>
          <t>HEBY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46303</v>
      </c>
      <c r="F188" t="inlineStr">
        <is>
          <t>UPPSALA LÄN</t>
        </is>
      </c>
      <c r="G188" t="inlineStr">
        <is>
          <t>HEBY</t>
        </is>
      </c>
      <c r="I188" t="n">
        <v>10.3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66055-2021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46303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öst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42938-2022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44833</v>
      </c>
      <c r="E190" s="1" t="n">
        <v>46303</v>
      </c>
      <c r="F190" t="inlineStr">
        <is>
          <t>UPPSALA LÄN</t>
        </is>
      </c>
      <c r="G190" t="inlineStr">
        <is>
          <t>HEBY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46303</v>
      </c>
      <c r="F191" t="inlineStr">
        <is>
          <t>UPPSALA LÄN</t>
        </is>
      </c>
      <c r="G191" t="inlineStr">
        <is>
          <t>HEBY</t>
        </is>
      </c>
      <c r="I191" t="n">
        <v>14.8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41246-2025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46303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46303</v>
      </c>
      <c r="F193" t="inlineStr">
        <is>
          <t>UPPSALA LÄN</t>
        </is>
      </c>
      <c r="G193" t="inlineStr">
        <is>
          <t>HEBY</t>
        </is>
      </c>
      <c r="H193" t="inlineStr">
        <is>
          <t>Kyrkan</t>
        </is>
      </c>
      <c r="I193" t="n">
        <v>10.6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45103</v>
      </c>
      <c r="E194" s="1" t="n">
        <v>46303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46303</v>
      </c>
      <c r="F195" t="inlineStr">
        <is>
          <t>UPPSALA LÄN</t>
        </is>
      </c>
      <c r="G195" t="inlineStr">
        <is>
          <t>HEBY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72180-2021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44543</v>
      </c>
      <c r="E196" s="1" t="n">
        <v>46303</v>
      </c>
      <c r="F196" t="inlineStr">
        <is>
          <t>UPPSALA LÄN</t>
        </is>
      </c>
      <c r="G196" t="inlineStr">
        <is>
          <t>HEBY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46303</v>
      </c>
      <c r="F197" t="inlineStr">
        <is>
          <t>UPPSALA LÄN</t>
        </is>
      </c>
      <c r="G197" t="inlineStr">
        <is>
          <t>HEBY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44978</v>
      </c>
      <c r="E198" s="1" t="n">
        <v>46303</v>
      </c>
      <c r="F198" t="inlineStr">
        <is>
          <t>UPPSALA LÄN</t>
        </is>
      </c>
      <c r="G198" t="inlineStr">
        <is>
          <t>HEBY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46303</v>
      </c>
      <c r="F199" t="inlineStr">
        <is>
          <t>UPPSALA LÄN</t>
        </is>
      </c>
      <c r="G199" t="inlineStr">
        <is>
          <t>HEBY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46303</v>
      </c>
      <c r="F200" t="inlineStr">
        <is>
          <t>UPPSALA LÄN</t>
        </is>
      </c>
      <c r="G200" t="inlineStr">
        <is>
          <t>HEBY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46303</v>
      </c>
      <c r="F201" t="inlineStr">
        <is>
          <t>UPPSALA LÄN</t>
        </is>
      </c>
      <c r="G201" t="inlineStr">
        <is>
          <t>HEBY</t>
        </is>
      </c>
      <c r="H201" t="inlineStr">
        <is>
          <t>Allmännings- och besparingsskogar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46303</v>
      </c>
      <c r="F202" t="inlineStr">
        <is>
          <t>UPPSALA LÄN</t>
        </is>
      </c>
      <c r="G202" t="inlineStr">
        <is>
          <t>HEBY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46303</v>
      </c>
      <c r="F203" t="inlineStr">
        <is>
          <t>UPPSALA LÄN</t>
        </is>
      </c>
      <c r="G203" t="inlineStr">
        <is>
          <t>HEBY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46303</v>
      </c>
      <c r="F204" t="inlineStr">
        <is>
          <t>UPPSALA LÄN</t>
        </is>
      </c>
      <c r="G204" t="inlineStr">
        <is>
          <t>HEBY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46303</v>
      </c>
      <c r="F205" t="inlineStr">
        <is>
          <t>UPPSALA LÄN</t>
        </is>
      </c>
      <c r="G205" t="inlineStr">
        <is>
          <t>HEBY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46303</v>
      </c>
      <c r="F206" t="inlineStr">
        <is>
          <t>UPPSALA LÄN</t>
        </is>
      </c>
      <c r="G206" t="inlineStr">
        <is>
          <t>HEBY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46303</v>
      </c>
      <c r="F207" t="inlineStr">
        <is>
          <t>UPPSALA LÄN</t>
        </is>
      </c>
      <c r="G207" t="inlineStr">
        <is>
          <t>HEBY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46303</v>
      </c>
      <c r="F208" t="inlineStr">
        <is>
          <t>UPPSALA LÄN</t>
        </is>
      </c>
      <c r="G208" t="inlineStr">
        <is>
          <t>HEBY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44925</v>
      </c>
      <c r="E209" s="1" t="n">
        <v>46303</v>
      </c>
      <c r="F209" t="inlineStr">
        <is>
          <t>UPPSALA LÄN</t>
        </is>
      </c>
      <c r="G209" t="inlineStr">
        <is>
          <t>HEBY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45912</v>
      </c>
      <c r="E210" s="1" t="n">
        <v>46303</v>
      </c>
      <c r="F210" t="inlineStr">
        <is>
          <t>UPPSALA LÄN</t>
        </is>
      </c>
      <c r="G210" t="inlineStr">
        <is>
          <t>HEBY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45390</v>
      </c>
      <c r="E211" s="1" t="n">
        <v>46303</v>
      </c>
      <c r="F211" t="inlineStr">
        <is>
          <t>UPPSALA LÄN</t>
        </is>
      </c>
      <c r="G211" t="inlineStr">
        <is>
          <t>HEBY</t>
        </is>
      </c>
      <c r="I211" t="n">
        <v>15.8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46303</v>
      </c>
      <c r="F212" t="inlineStr">
        <is>
          <t>UPPSALA LÄN</t>
        </is>
      </c>
      <c r="G212" t="inlineStr">
        <is>
          <t>HEBY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55204-2022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46303</v>
      </c>
      <c r="F213" t="inlineStr">
        <is>
          <t>UPPSALA LÄN</t>
        </is>
      </c>
      <c r="G213" t="inlineStr">
        <is>
          <t>HEBY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45680</v>
      </c>
      <c r="E214" s="1" t="n">
        <v>46303</v>
      </c>
      <c r="F214" t="inlineStr">
        <is>
          <t>UPPSALA LÄN</t>
        </is>
      </c>
      <c r="G214" t="inlineStr">
        <is>
          <t>HEBY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46303</v>
      </c>
      <c r="F215" t="inlineStr">
        <is>
          <t>UPPSALA LÄN</t>
        </is>
      </c>
      <c r="G215" t="inlineStr">
        <is>
          <t>HEBY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45294</v>
      </c>
      <c r="E216" s="1" t="n">
        <v>46303</v>
      </c>
      <c r="F216" t="inlineStr">
        <is>
          <t>UPPSALA LÄN</t>
        </is>
      </c>
      <c r="G216" t="inlineStr">
        <is>
          <t>HEBY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46303</v>
      </c>
      <c r="F217" t="inlineStr">
        <is>
          <t>UPPSALA LÄN</t>
        </is>
      </c>
      <c r="G217" t="inlineStr">
        <is>
          <t>HEBY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46303</v>
      </c>
      <c r="F218" t="inlineStr">
        <is>
          <t>UPPSALA LÄN</t>
        </is>
      </c>
      <c r="G218" t="inlineStr">
        <is>
          <t>HEBY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46303</v>
      </c>
      <c r="F219" t="inlineStr">
        <is>
          <t>UPPSALA LÄN</t>
        </is>
      </c>
      <c r="G219" t="inlineStr">
        <is>
          <t>HEBY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73622-2021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44552</v>
      </c>
      <c r="E220" s="1" t="n">
        <v>46303</v>
      </c>
      <c r="F220" t="inlineStr">
        <is>
          <t>UPPSALA LÄN</t>
        </is>
      </c>
      <c r="G220" t="inlineStr">
        <is>
          <t>HEBY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45089</v>
      </c>
      <c r="E221" s="1" t="n">
        <v>46303</v>
      </c>
      <c r="F221" t="inlineStr">
        <is>
          <t>UPPSALA LÄN</t>
        </is>
      </c>
      <c r="G221" t="inlineStr">
        <is>
          <t>HEBY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46303</v>
      </c>
      <c r="F222" t="inlineStr">
        <is>
          <t>UPPSALA LÄN</t>
        </is>
      </c>
      <c r="G222" t="inlineStr">
        <is>
          <t>HEBY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56795-2024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45628</v>
      </c>
      <c r="E223" s="1" t="n">
        <v>46303</v>
      </c>
      <c r="F223" t="inlineStr">
        <is>
          <t>UPPSALA LÄN</t>
        </is>
      </c>
      <c r="G223" t="inlineStr">
        <is>
          <t>HEBY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46303</v>
      </c>
      <c r="F224" t="inlineStr">
        <is>
          <t>UPPSALA LÄN</t>
        </is>
      </c>
      <c r="G224" t="inlineStr">
        <is>
          <t>HEBY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46303</v>
      </c>
      <c r="F225" t="inlineStr">
        <is>
          <t>UPPSALA LÄN</t>
        </is>
      </c>
      <c r="G225" t="inlineStr">
        <is>
          <t>HEBY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69377-2021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46303</v>
      </c>
      <c r="F226" t="inlineStr">
        <is>
          <t>UPPSALA LÄN</t>
        </is>
      </c>
      <c r="G226" t="inlineStr">
        <is>
          <t>HEBY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45339</v>
      </c>
      <c r="E227" s="1" t="n">
        <v>46303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45502</v>
      </c>
      <c r="E228" s="1" t="n">
        <v>46303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46303</v>
      </c>
      <c r="F229" t="inlineStr">
        <is>
          <t>UPPSALA LÄN</t>
        </is>
      </c>
      <c r="G229" t="inlineStr">
        <is>
          <t>HEBY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56302-2021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44477</v>
      </c>
      <c r="E230" s="1" t="n">
        <v>46303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46303</v>
      </c>
      <c r="F231" t="inlineStr">
        <is>
          <t>UPPSALA LÄN</t>
        </is>
      </c>
      <c r="G231" t="inlineStr">
        <is>
          <t>HEBY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46303</v>
      </c>
      <c r="F232" t="inlineStr">
        <is>
          <t>UPPSALA LÄN</t>
        </is>
      </c>
      <c r="G232" t="inlineStr">
        <is>
          <t>HEBY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28558-2025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46303</v>
      </c>
      <c r="F233" t="inlineStr">
        <is>
          <t>UPPSALA LÄN</t>
        </is>
      </c>
      <c r="G233" t="inlineStr">
        <is>
          <t>HEBY</t>
        </is>
      </c>
      <c r="H233" t="inlineStr">
        <is>
          <t>Kyrkan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45006</v>
      </c>
      <c r="E234" s="1" t="n">
        <v>46303</v>
      </c>
      <c r="F234" t="inlineStr">
        <is>
          <t>UPPSALA LÄN</t>
        </is>
      </c>
      <c r="G234" t="inlineStr">
        <is>
          <t>HEBY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45818</v>
      </c>
      <c r="E235" s="1" t="n">
        <v>46303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45029</v>
      </c>
      <c r="E236" s="1" t="n">
        <v>46303</v>
      </c>
      <c r="F236" t="inlineStr">
        <is>
          <t>UPPSALA LÄN</t>
        </is>
      </c>
      <c r="G236" t="inlineStr">
        <is>
          <t>HEBY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46303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46303</v>
      </c>
      <c r="F238" t="inlineStr">
        <is>
          <t>UPPSALA LÄN</t>
        </is>
      </c>
      <c r="G238" t="inlineStr">
        <is>
          <t>HEBY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44568</v>
      </c>
      <c r="E239" s="1" t="n">
        <v>46303</v>
      </c>
      <c r="F239" t="inlineStr">
        <is>
          <t>UPPSALA LÄN</t>
        </is>
      </c>
      <c r="G239" t="inlineStr">
        <is>
          <t>HEBY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45825</v>
      </c>
      <c r="E240" s="1" t="n">
        <v>46303</v>
      </c>
      <c r="F240" t="inlineStr">
        <is>
          <t>UPPSALA LÄN</t>
        </is>
      </c>
      <c r="G240" t="inlineStr">
        <is>
          <t>HEBY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46303</v>
      </c>
      <c r="F241" t="inlineStr">
        <is>
          <t>UPPSALA LÄN</t>
        </is>
      </c>
      <c r="G241" t="inlineStr">
        <is>
          <t>HEBY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46303</v>
      </c>
      <c r="F242" t="inlineStr">
        <is>
          <t>UPPSALA LÄN</t>
        </is>
      </c>
      <c r="G242" t="inlineStr">
        <is>
          <t>HEBY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46303</v>
      </c>
      <c r="F243" t="inlineStr">
        <is>
          <t>UPPSALA LÄN</t>
        </is>
      </c>
      <c r="G243" t="inlineStr">
        <is>
          <t>HEBY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46303</v>
      </c>
      <c r="F244" t="inlineStr">
        <is>
          <t>UPPSALA LÄN</t>
        </is>
      </c>
      <c r="G244" t="inlineStr">
        <is>
          <t>HEBY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35644-2024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46303</v>
      </c>
      <c r="F245" t="inlineStr">
        <is>
          <t>UPPSALA LÄN</t>
        </is>
      </c>
      <c r="G245" t="inlineStr">
        <is>
          <t>HEBY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46303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44574</v>
      </c>
      <c r="E247" s="1" t="n">
        <v>46303</v>
      </c>
      <c r="F247" t="inlineStr">
        <is>
          <t>UPPSALA LÄN</t>
        </is>
      </c>
      <c r="G247" t="inlineStr">
        <is>
          <t>HEBY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45439</v>
      </c>
      <c r="E248" s="1" t="n">
        <v>46303</v>
      </c>
      <c r="F248" t="inlineStr">
        <is>
          <t>UPPSALA LÄN</t>
        </is>
      </c>
      <c r="G248" t="inlineStr">
        <is>
          <t>HEBY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45827</v>
      </c>
      <c r="E249" s="1" t="n">
        <v>46303</v>
      </c>
      <c r="F249" t="inlineStr">
        <is>
          <t>UPPSALA LÄN</t>
        </is>
      </c>
      <c r="G249" t="inlineStr">
        <is>
          <t>HEBY</t>
        </is>
      </c>
      <c r="H249" t="inlineStr">
        <is>
          <t>Övriga Aktiebolag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46303</v>
      </c>
      <c r="F250" t="inlineStr">
        <is>
          <t>UPPSALA LÄN</t>
        </is>
      </c>
      <c r="G250" t="inlineStr">
        <is>
          <t>HEBY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46303</v>
      </c>
      <c r="F251" t="inlineStr">
        <is>
          <t>UPPSALA LÄN</t>
        </is>
      </c>
      <c r="G251" t="inlineStr">
        <is>
          <t>HEBY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46303</v>
      </c>
      <c r="F252" t="inlineStr">
        <is>
          <t>UPPSALA LÄN</t>
        </is>
      </c>
      <c r="G252" t="inlineStr">
        <is>
          <t>HEBY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64899-2021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44512</v>
      </c>
      <c r="E253" s="1" t="n">
        <v>46303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öst AB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46303</v>
      </c>
      <c r="F254" t="inlineStr">
        <is>
          <t>UPPSALA LÄN</t>
        </is>
      </c>
      <c r="G254" t="inlineStr">
        <is>
          <t>HEBY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46303</v>
      </c>
      <c r="F255" t="inlineStr">
        <is>
          <t>UPPSALA LÄN</t>
        </is>
      </c>
      <c r="G255" t="inlineStr">
        <is>
          <t>HEBY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32181-2024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45511</v>
      </c>
      <c r="E256" s="1" t="n">
        <v>46303</v>
      </c>
      <c r="F256" t="inlineStr">
        <is>
          <t>UPPSALA LÄN</t>
        </is>
      </c>
      <c r="G256" t="inlineStr">
        <is>
          <t>HEBY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46303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45764</v>
      </c>
      <c r="E258" s="1" t="n">
        <v>46303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43.4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64364-2021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44511</v>
      </c>
      <c r="E259" s="1" t="n">
        <v>46303</v>
      </c>
      <c r="F259" t="inlineStr">
        <is>
          <t>UPPSALA LÄN</t>
        </is>
      </c>
      <c r="G259" t="inlineStr">
        <is>
          <t>HEBY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60722-2022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44913</v>
      </c>
      <c r="E260" s="1" t="n">
        <v>46303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45075</v>
      </c>
      <c r="E261" s="1" t="n">
        <v>46303</v>
      </c>
      <c r="F261" t="inlineStr">
        <is>
          <t>UPPSALA LÄN</t>
        </is>
      </c>
      <c r="G261" t="inlineStr">
        <is>
          <t>HEBY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32432-2025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46303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46303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46303</v>
      </c>
      <c r="F264" t="inlineStr">
        <is>
          <t>UPPSALA LÄN</t>
        </is>
      </c>
      <c r="G264" t="inlineStr">
        <is>
          <t>HEBY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46303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44586</v>
      </c>
      <c r="E266" s="1" t="n">
        <v>46303</v>
      </c>
      <c r="F266" t="inlineStr">
        <is>
          <t>UPPSALA LÄN</t>
        </is>
      </c>
      <c r="G266" t="inlineStr">
        <is>
          <t>HEBY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48029-2024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45589</v>
      </c>
      <c r="E267" s="1" t="n">
        <v>46303</v>
      </c>
      <c r="F267" t="inlineStr">
        <is>
          <t>UPPSALA LÄN</t>
        </is>
      </c>
      <c r="G267" t="inlineStr">
        <is>
          <t>HEBY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44620</v>
      </c>
      <c r="E268" s="1" t="n">
        <v>46303</v>
      </c>
      <c r="F268" t="inlineStr">
        <is>
          <t>UPPSALA LÄN</t>
        </is>
      </c>
      <c r="G268" t="inlineStr">
        <is>
          <t>HEBY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46303</v>
      </c>
      <c r="F269" t="inlineStr">
        <is>
          <t>UPPSALA LÄN</t>
        </is>
      </c>
      <c r="G269" t="inlineStr">
        <is>
          <t>HEBY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8660-2022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44613</v>
      </c>
      <c r="E270" s="1" t="n">
        <v>46303</v>
      </c>
      <c r="F270" t="inlineStr">
        <is>
          <t>UPPSALA LÄN</t>
        </is>
      </c>
      <c r="G270" t="inlineStr">
        <is>
          <t>HEBY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45566</v>
      </c>
      <c r="E271" s="1" t="n">
        <v>46303</v>
      </c>
      <c r="F271" t="inlineStr">
        <is>
          <t>UPPSALA LÄN</t>
        </is>
      </c>
      <c r="G271" t="inlineStr">
        <is>
          <t>HEBY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59015-2022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44903</v>
      </c>
      <c r="E272" s="1" t="n">
        <v>46303</v>
      </c>
      <c r="F272" t="inlineStr">
        <is>
          <t>UPPSALA LÄN</t>
        </is>
      </c>
      <c r="G272" t="inlineStr">
        <is>
          <t>HEBY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46303</v>
      </c>
      <c r="F273" t="inlineStr">
        <is>
          <t>UPPSALA LÄN</t>
        </is>
      </c>
      <c r="G273" t="inlineStr">
        <is>
          <t>HEBY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46303</v>
      </c>
      <c r="F274" t="inlineStr">
        <is>
          <t>UPPSALA LÄN</t>
        </is>
      </c>
      <c r="G274" t="inlineStr">
        <is>
          <t>HEBY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46303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46303</v>
      </c>
      <c r="F276" t="inlineStr">
        <is>
          <t>UPPSALA LÄN</t>
        </is>
      </c>
      <c r="G276" t="inlineStr">
        <is>
          <t>HEBY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46303</v>
      </c>
      <c r="F277" t="inlineStr">
        <is>
          <t>UPPSALA LÄN</t>
        </is>
      </c>
      <c r="G277" t="inlineStr">
        <is>
          <t>HEBY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46303</v>
      </c>
      <c r="F278" t="inlineStr">
        <is>
          <t>UPPSALA LÄN</t>
        </is>
      </c>
      <c r="G278" t="inlineStr">
        <is>
          <t>HEBY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74215-2021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44558</v>
      </c>
      <c r="E279" s="1" t="n">
        <v>46303</v>
      </c>
      <c r="F279" t="inlineStr">
        <is>
          <t>UPPSALA LÄN</t>
        </is>
      </c>
      <c r="G279" t="inlineStr">
        <is>
          <t>HEBY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44574</v>
      </c>
      <c r="E280" s="1" t="n">
        <v>46303</v>
      </c>
      <c r="F280" t="inlineStr">
        <is>
          <t>UPPSALA LÄN</t>
        </is>
      </c>
      <c r="G280" t="inlineStr">
        <is>
          <t>HEBY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45951</v>
      </c>
      <c r="E281" s="1" t="n">
        <v>46303</v>
      </c>
      <c r="F281" t="inlineStr">
        <is>
          <t>UPPSALA LÄN</t>
        </is>
      </c>
      <c r="G281" t="inlineStr">
        <is>
          <t>HEBY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45519</v>
      </c>
      <c r="E282" s="1" t="n">
        <v>46303</v>
      </c>
      <c r="F282" t="inlineStr">
        <is>
          <t>UPPSALA LÄN</t>
        </is>
      </c>
      <c r="G282" t="inlineStr">
        <is>
          <t>HEBY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46303</v>
      </c>
      <c r="F283" t="inlineStr">
        <is>
          <t>UPPSALA LÄN</t>
        </is>
      </c>
      <c r="G283" t="inlineStr">
        <is>
          <t>HEBY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45173</v>
      </c>
      <c r="E284" s="1" t="n">
        <v>46303</v>
      </c>
      <c r="F284" t="inlineStr">
        <is>
          <t>UPPSALA LÄN</t>
        </is>
      </c>
      <c r="G284" t="inlineStr">
        <is>
          <t>HEBY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45008</v>
      </c>
      <c r="E285" s="1" t="n">
        <v>46303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46303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46303</v>
      </c>
      <c r="F287" t="inlineStr">
        <is>
          <t>UPPSALA LÄN</t>
        </is>
      </c>
      <c r="G287" t="inlineStr">
        <is>
          <t>HEBY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45119</v>
      </c>
      <c r="E288" s="1" t="n">
        <v>46303</v>
      </c>
      <c r="F288" t="inlineStr">
        <is>
          <t>UPPSALA LÄN</t>
        </is>
      </c>
      <c r="G288" t="inlineStr">
        <is>
          <t>HEBY</t>
        </is>
      </c>
      <c r="H288" t="inlineStr">
        <is>
          <t>Bergvik skog väst AB</t>
        </is>
      </c>
      <c r="I288" t="n">
        <v>66.90000000000001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46303</v>
      </c>
      <c r="F289" t="inlineStr">
        <is>
          <t>UPPSALA LÄN</t>
        </is>
      </c>
      <c r="G289" t="inlineStr">
        <is>
          <t>HEBY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45852</v>
      </c>
      <c r="E290" s="1" t="n">
        <v>46303</v>
      </c>
      <c r="F290" t="inlineStr">
        <is>
          <t>UPPSALA LÄN</t>
        </is>
      </c>
      <c r="G290" t="inlineStr">
        <is>
          <t>HEBY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44945</v>
      </c>
      <c r="E291" s="1" t="n">
        <v>46303</v>
      </c>
      <c r="F291" t="inlineStr">
        <is>
          <t>UPPSALA LÄN</t>
        </is>
      </c>
      <c r="G291" t="inlineStr">
        <is>
          <t>HEBY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45852</v>
      </c>
      <c r="E292" s="1" t="n">
        <v>46303</v>
      </c>
      <c r="F292" t="inlineStr">
        <is>
          <t>UPPSALA LÄN</t>
        </is>
      </c>
      <c r="G292" t="inlineStr">
        <is>
          <t>HEBY</t>
        </is>
      </c>
      <c r="H292" t="inlineStr">
        <is>
          <t>Kyrkan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46303</v>
      </c>
      <c r="F293" t="inlineStr">
        <is>
          <t>UPPSALA LÄN</t>
        </is>
      </c>
      <c r="G293" t="inlineStr">
        <is>
          <t>HEBY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42725-2023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45181</v>
      </c>
      <c r="E294" s="1" t="n">
        <v>46303</v>
      </c>
      <c r="F294" t="inlineStr">
        <is>
          <t>UPPSALA LÄN</t>
        </is>
      </c>
      <c r="G294" t="inlineStr">
        <is>
          <t>HEBY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50163-2024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45599</v>
      </c>
      <c r="E295" s="1" t="n">
        <v>46303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44873</v>
      </c>
      <c r="E296" s="1" t="n">
        <v>46303</v>
      </c>
      <c r="F296" t="inlineStr">
        <is>
          <t>UPPSALA LÄN</t>
        </is>
      </c>
      <c r="G296" t="inlineStr">
        <is>
          <t>HEBY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45103</v>
      </c>
      <c r="E297" s="1" t="n">
        <v>46303</v>
      </c>
      <c r="F297" t="inlineStr">
        <is>
          <t>UPPSALA LÄN</t>
        </is>
      </c>
      <c r="G297" t="inlineStr">
        <is>
          <t>HEBY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45567</v>
      </c>
      <c r="E298" s="1" t="n">
        <v>46303</v>
      </c>
      <c r="F298" t="inlineStr">
        <is>
          <t>UPPSALA LÄN</t>
        </is>
      </c>
      <c r="G298" t="inlineStr">
        <is>
          <t>HEBY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46303</v>
      </c>
      <c r="F299" t="inlineStr">
        <is>
          <t>UPPSALA LÄN</t>
        </is>
      </c>
      <c r="G299" t="inlineStr">
        <is>
          <t>HEBY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46303</v>
      </c>
      <c r="F300" t="inlineStr">
        <is>
          <t>UPPSALA LÄN</t>
        </is>
      </c>
      <c r="G300" t="inlineStr">
        <is>
          <t>HEBY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45747</v>
      </c>
      <c r="E301" s="1" t="n">
        <v>46303</v>
      </c>
      <c r="F301" t="inlineStr">
        <is>
          <t>UPPSALA LÄN</t>
        </is>
      </c>
      <c r="G301" t="inlineStr">
        <is>
          <t>HEBY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45331</v>
      </c>
      <c r="E302" s="1" t="n">
        <v>46303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46303</v>
      </c>
      <c r="F303" t="inlineStr">
        <is>
          <t>UPPSALA LÄN</t>
        </is>
      </c>
      <c r="G303" t="inlineStr">
        <is>
          <t>HEBY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19764-2023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45050</v>
      </c>
      <c r="E304" s="1" t="n">
        <v>46303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46303</v>
      </c>
      <c r="F305" t="inlineStr">
        <is>
          <t>UPPSALA LÄN</t>
        </is>
      </c>
      <c r="G305" t="inlineStr">
        <is>
          <t>HEBY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44944</v>
      </c>
      <c r="E306" s="1" t="n">
        <v>46303</v>
      </c>
      <c r="F306" t="inlineStr">
        <is>
          <t>UPPSALA LÄN</t>
        </is>
      </c>
      <c r="G306" t="inlineStr">
        <is>
          <t>HEBY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44944</v>
      </c>
      <c r="E307" s="1" t="n">
        <v>46303</v>
      </c>
      <c r="F307" t="inlineStr">
        <is>
          <t>UPPSALA LÄN</t>
        </is>
      </c>
      <c r="G307" t="inlineStr">
        <is>
          <t>HEBY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46303</v>
      </c>
      <c r="F308" t="inlineStr">
        <is>
          <t>UPPSALA LÄN</t>
        </is>
      </c>
      <c r="G308" t="inlineStr">
        <is>
          <t>HEBY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45674</v>
      </c>
      <c r="E309" s="1" t="n">
        <v>46303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44802</v>
      </c>
      <c r="E310" s="1" t="n">
        <v>46303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35875-2022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44802</v>
      </c>
      <c r="E311" s="1" t="n">
        <v>46303</v>
      </c>
      <c r="F311" t="inlineStr">
        <is>
          <t>UPPSALA LÄN</t>
        </is>
      </c>
      <c r="G311" t="inlineStr">
        <is>
          <t>HEBY</t>
        </is>
      </c>
      <c r="I311" t="n">
        <v>12.1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45586</v>
      </c>
      <c r="E312" s="1" t="n">
        <v>46303</v>
      </c>
      <c r="F312" t="inlineStr">
        <is>
          <t>UPPSALA LÄN</t>
        </is>
      </c>
      <c r="G312" t="inlineStr">
        <is>
          <t>HEBY</t>
        </is>
      </c>
      <c r="H312" t="inlineStr">
        <is>
          <t>Kyrkan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46303</v>
      </c>
      <c r="F313" t="inlineStr">
        <is>
          <t>UPPSALA LÄN</t>
        </is>
      </c>
      <c r="G313" t="inlineStr">
        <is>
          <t>HEBY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44974</v>
      </c>
      <c r="E314" s="1" t="n">
        <v>46303</v>
      </c>
      <c r="F314" t="inlineStr">
        <is>
          <t>UPPSALA LÄN</t>
        </is>
      </c>
      <c r="G314" t="inlineStr">
        <is>
          <t>HEBY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46303</v>
      </c>
      <c r="F315" t="inlineStr">
        <is>
          <t>UPPSALA LÄN</t>
        </is>
      </c>
      <c r="G315" t="inlineStr">
        <is>
          <t>HEBY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46303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46303</v>
      </c>
      <c r="F317" t="inlineStr">
        <is>
          <t>UPPSALA LÄN</t>
        </is>
      </c>
      <c r="G317" t="inlineStr">
        <is>
          <t>HEBY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46303</v>
      </c>
      <c r="F318" t="inlineStr">
        <is>
          <t>UPPSALA LÄN</t>
        </is>
      </c>
      <c r="G318" t="inlineStr">
        <is>
          <t>HEBY</t>
        </is>
      </c>
      <c r="H318" t="inlineStr">
        <is>
          <t>Allmännings- och besparingsskogar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46303</v>
      </c>
      <c r="F319" t="inlineStr">
        <is>
          <t>UPPSALA LÄN</t>
        </is>
      </c>
      <c r="G319" t="inlineStr">
        <is>
          <t>HEBY</t>
        </is>
      </c>
      <c r="H319" t="inlineStr">
        <is>
          <t>Övriga Aktiebolag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46303</v>
      </c>
      <c r="F320" t="inlineStr">
        <is>
          <t>UPPSALA LÄN</t>
        </is>
      </c>
      <c r="G320" t="inlineStr">
        <is>
          <t>HEBY</t>
        </is>
      </c>
      <c r="H320" t="inlineStr">
        <is>
          <t>Övriga Aktiebolag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46303</v>
      </c>
      <c r="F321" t="inlineStr">
        <is>
          <t>UPPSALA LÄN</t>
        </is>
      </c>
      <c r="G321" t="inlineStr">
        <is>
          <t>HEBY</t>
        </is>
      </c>
      <c r="H321" t="inlineStr">
        <is>
          <t>Kyrkan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55488-2025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45971</v>
      </c>
      <c r="E322" s="1" t="n">
        <v>46303</v>
      </c>
      <c r="F322" t="inlineStr">
        <is>
          <t>UPPSALA LÄN</t>
        </is>
      </c>
      <c r="G322" t="inlineStr">
        <is>
          <t>HEBY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55496-2025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45971</v>
      </c>
      <c r="E323" s="1" t="n">
        <v>46303</v>
      </c>
      <c r="F323" t="inlineStr">
        <is>
          <t>UPPSALA LÄN</t>
        </is>
      </c>
      <c r="G323" t="inlineStr">
        <is>
          <t>HEBY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44943</v>
      </c>
      <c r="E324" s="1" t="n">
        <v>46303</v>
      </c>
      <c r="F324" t="inlineStr">
        <is>
          <t>UPPSALA LÄN</t>
        </is>
      </c>
      <c r="G324" t="inlineStr">
        <is>
          <t>HEBY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10414-2022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44623</v>
      </c>
      <c r="E325" s="1" t="n">
        <v>46303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46303</v>
      </c>
      <c r="F326" t="inlineStr">
        <is>
          <t>UPPSALA LÄN</t>
        </is>
      </c>
      <c r="G326" t="inlineStr">
        <is>
          <t>HEBY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44916</v>
      </c>
      <c r="E327" s="1" t="n">
        <v>46303</v>
      </c>
      <c r="F327" t="inlineStr">
        <is>
          <t>UPPSALA LÄN</t>
        </is>
      </c>
      <c r="G327" t="inlineStr">
        <is>
          <t>HEBY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19718-2023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45050</v>
      </c>
      <c r="E328" s="1" t="n">
        <v>46303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väst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44609</v>
      </c>
      <c r="E329" s="1" t="n">
        <v>46303</v>
      </c>
      <c r="F329" t="inlineStr">
        <is>
          <t>UPPSALA LÄN</t>
        </is>
      </c>
      <c r="G329" t="inlineStr">
        <is>
          <t>HEBY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45364</v>
      </c>
      <c r="E330" s="1" t="n">
        <v>46303</v>
      </c>
      <c r="F330" t="inlineStr">
        <is>
          <t>UPPSALA LÄN</t>
        </is>
      </c>
      <c r="G330" t="inlineStr">
        <is>
          <t>HEBY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10072-2024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45364</v>
      </c>
      <c r="E331" s="1" t="n">
        <v>46303</v>
      </c>
      <c r="F331" t="inlineStr">
        <is>
          <t>UPPSALA LÄN</t>
        </is>
      </c>
      <c r="G331" t="inlineStr">
        <is>
          <t>HEBY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45411</v>
      </c>
      <c r="E332" s="1" t="n">
        <v>46303</v>
      </c>
      <c r="F332" t="inlineStr">
        <is>
          <t>UPPSALA LÄN</t>
        </is>
      </c>
      <c r="G332" t="inlineStr">
        <is>
          <t>HEBY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46303</v>
      </c>
      <c r="F333" t="inlineStr">
        <is>
          <t>UPPSALA LÄN</t>
        </is>
      </c>
      <c r="G333" t="inlineStr">
        <is>
          <t>HEBY</t>
        </is>
      </c>
      <c r="H333" t="inlineStr">
        <is>
          <t>Kyrkan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46303</v>
      </c>
      <c r="F334" t="inlineStr">
        <is>
          <t>UPPSALA LÄN</t>
        </is>
      </c>
      <c r="G334" t="inlineStr">
        <is>
          <t>HEBY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46303</v>
      </c>
      <c r="F335" t="inlineStr">
        <is>
          <t>UPPSALA LÄN</t>
        </is>
      </c>
      <c r="G335" t="inlineStr">
        <is>
          <t>HEBY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46303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45932</v>
      </c>
      <c r="E337" s="1" t="n">
        <v>46303</v>
      </c>
      <c r="F337" t="inlineStr">
        <is>
          <t>UPPSALA LÄN</t>
        </is>
      </c>
      <c r="G337" t="inlineStr">
        <is>
          <t>HEBY</t>
        </is>
      </c>
      <c r="H337" t="inlineStr">
        <is>
          <t>Allmännings- och besparingsskogar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46303</v>
      </c>
      <c r="F338" t="inlineStr">
        <is>
          <t>UPPSALA LÄN</t>
        </is>
      </c>
      <c r="G338" t="inlineStr">
        <is>
          <t>HEBY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56884-2022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44888</v>
      </c>
      <c r="E339" s="1" t="n">
        <v>46303</v>
      </c>
      <c r="F339" t="inlineStr">
        <is>
          <t>UPPSALA LÄN</t>
        </is>
      </c>
      <c r="G339" t="inlineStr">
        <is>
          <t>HEBY</t>
        </is>
      </c>
      <c r="H339" t="inlineStr">
        <is>
          <t>Bergvik skog väst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46303</v>
      </c>
      <c r="F340" t="inlineStr">
        <is>
          <t>UPPSALA LÄN</t>
        </is>
      </c>
      <c r="G340" t="inlineStr">
        <is>
          <t>HEBY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46303</v>
      </c>
      <c r="F341" t="inlineStr">
        <is>
          <t>UPPSALA LÄN</t>
        </is>
      </c>
      <c r="G341" t="inlineStr">
        <is>
          <t>HEBY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46303</v>
      </c>
      <c r="F342" t="inlineStr">
        <is>
          <t>UPPSALA LÄN</t>
        </is>
      </c>
      <c r="G342" t="inlineStr">
        <is>
          <t>HEBY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46303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45058</v>
      </c>
      <c r="E344" s="1" t="n">
        <v>46303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21000-2022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44701</v>
      </c>
      <c r="E345" s="1" t="n">
        <v>46303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45195</v>
      </c>
      <c r="E346" s="1" t="n">
        <v>46303</v>
      </c>
      <c r="F346" t="inlineStr">
        <is>
          <t>UPPSALA LÄN</t>
        </is>
      </c>
      <c r="G346" t="inlineStr">
        <is>
          <t>HEBY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45891</v>
      </c>
      <c r="E347" s="1" t="n">
        <v>46303</v>
      </c>
      <c r="F347" t="inlineStr">
        <is>
          <t>UPPSALA LÄN</t>
        </is>
      </c>
      <c r="G347" t="inlineStr">
        <is>
          <t>HEBY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50954-2025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46303</v>
      </c>
      <c r="F348" t="inlineStr">
        <is>
          <t>UPPSALA LÄN</t>
        </is>
      </c>
      <c r="G348" t="inlineStr">
        <is>
          <t>HEBY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42216-2025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45904</v>
      </c>
      <c r="E349" s="1" t="n">
        <v>46303</v>
      </c>
      <c r="F349" t="inlineStr">
        <is>
          <t>UPPSALA LÄN</t>
        </is>
      </c>
      <c r="G349" t="inlineStr">
        <is>
          <t>HEBY</t>
        </is>
      </c>
      <c r="H349" t="inlineStr">
        <is>
          <t>Bergvik skog öst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46303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6523-2022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44601</v>
      </c>
      <c r="E351" s="1" t="n">
        <v>46303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45195</v>
      </c>
      <c r="E352" s="1" t="n">
        <v>46303</v>
      </c>
      <c r="F352" t="inlineStr">
        <is>
          <t>UPPSALA LÄN</t>
        </is>
      </c>
      <c r="G352" t="inlineStr">
        <is>
          <t>HEBY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26100-2025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45805</v>
      </c>
      <c r="E353" s="1" t="n">
        <v>46303</v>
      </c>
      <c r="F353" t="inlineStr">
        <is>
          <t>UPPSALA LÄN</t>
        </is>
      </c>
      <c r="G353" t="inlineStr">
        <is>
          <t>HEBY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45133</v>
      </c>
      <c r="E354" s="1" t="n">
        <v>46303</v>
      </c>
      <c r="F354" t="inlineStr">
        <is>
          <t>UPPSALA LÄN</t>
        </is>
      </c>
      <c r="G354" t="inlineStr">
        <is>
          <t>HEBY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45951</v>
      </c>
      <c r="E355" s="1" t="n">
        <v>46303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öst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18278-2024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45422</v>
      </c>
      <c r="E356" s="1" t="n">
        <v>46303</v>
      </c>
      <c r="F356" t="inlineStr">
        <is>
          <t>UPPSALA LÄN</t>
        </is>
      </c>
      <c r="G356" t="inlineStr">
        <is>
          <t>HEBY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20719-2026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46141</v>
      </c>
      <c r="E357" s="1" t="n">
        <v>46303</v>
      </c>
      <c r="F357" t="inlineStr">
        <is>
          <t>UPPSALA LÄN</t>
        </is>
      </c>
      <c r="G357" t="inlineStr">
        <is>
          <t>HEBY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19896-2022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44697</v>
      </c>
      <c r="E358" s="1" t="n">
        <v>46303</v>
      </c>
      <c r="F358" t="inlineStr">
        <is>
          <t>UPPSALA LÄN</t>
        </is>
      </c>
      <c r="G358" t="inlineStr">
        <is>
          <t>HEBY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44841</v>
      </c>
      <c r="E359" s="1" t="n">
        <v>46303</v>
      </c>
      <c r="F359" t="inlineStr">
        <is>
          <t>UPPSALA LÄN</t>
        </is>
      </c>
      <c r="G359" t="inlineStr">
        <is>
          <t>HEBY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46303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öst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19990-2022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44697</v>
      </c>
      <c r="E361" s="1" t="n">
        <v>46303</v>
      </c>
      <c r="F361" t="inlineStr">
        <is>
          <t>UPPSALA LÄN</t>
        </is>
      </c>
      <c r="G361" t="inlineStr">
        <is>
          <t>HEBY</t>
        </is>
      </c>
      <c r="H361" t="inlineStr">
        <is>
          <t>Bergvik skog väst AB</t>
        </is>
      </c>
      <c r="I361" t="n">
        <v>14.3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34593-2023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45138</v>
      </c>
      <c r="E362" s="1" t="n">
        <v>46303</v>
      </c>
      <c r="F362" t="inlineStr">
        <is>
          <t>UPPSALA LÄN</t>
        </is>
      </c>
      <c r="G362" t="inlineStr">
        <is>
          <t>HEBY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46149</v>
      </c>
      <c r="E363" s="1" t="n">
        <v>46303</v>
      </c>
      <c r="F363" t="inlineStr">
        <is>
          <t>UPPSALA LÄN</t>
        </is>
      </c>
      <c r="G363" t="inlineStr">
        <is>
          <t>HEBY</t>
        </is>
      </c>
      <c r="H363" t="inlineStr">
        <is>
          <t>Allmännings- och besparingsskogar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45992</v>
      </c>
      <c r="E364" s="1" t="n">
        <v>46303</v>
      </c>
      <c r="F364" t="inlineStr">
        <is>
          <t>UPPSALA LÄN</t>
        </is>
      </c>
      <c r="G364" t="inlineStr">
        <is>
          <t>HEBY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59486-2021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44491</v>
      </c>
      <c r="E365" s="1" t="n">
        <v>46303</v>
      </c>
      <c r="F365" t="inlineStr">
        <is>
          <t>UPPSALA LÄN</t>
        </is>
      </c>
      <c r="G365" t="inlineStr">
        <is>
          <t>HEBY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26559-2023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45092</v>
      </c>
      <c r="E366" s="1" t="n">
        <v>46303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44694</v>
      </c>
      <c r="E367" s="1" t="n">
        <v>46303</v>
      </c>
      <c r="F367" t="inlineStr">
        <is>
          <t>UPPSALA LÄN</t>
        </is>
      </c>
      <c r="G367" t="inlineStr">
        <is>
          <t>HEBY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46303</v>
      </c>
      <c r="F368" t="inlineStr">
        <is>
          <t>UPPSALA LÄN</t>
        </is>
      </c>
      <c r="G368" t="inlineStr">
        <is>
          <t>HEBY</t>
        </is>
      </c>
      <c r="H368" t="inlineStr">
        <is>
          <t>Övriga Aktiebolag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45805</v>
      </c>
      <c r="E369" s="1" t="n">
        <v>46303</v>
      </c>
      <c r="F369" t="inlineStr">
        <is>
          <t>UPPSALA LÄN</t>
        </is>
      </c>
      <c r="G369" t="inlineStr">
        <is>
          <t>HEBY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46303</v>
      </c>
      <c r="F370" t="inlineStr">
        <is>
          <t>UPPSALA LÄN</t>
        </is>
      </c>
      <c r="G370" t="inlineStr">
        <is>
          <t>HEBY</t>
        </is>
      </c>
      <c r="H370" t="inlineStr">
        <is>
          <t>Kyrkan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45770</v>
      </c>
      <c r="E371" s="1" t="n">
        <v>46303</v>
      </c>
      <c r="F371" t="inlineStr">
        <is>
          <t>UPPSALA LÄN</t>
        </is>
      </c>
      <c r="G371" t="inlineStr">
        <is>
          <t>HEBY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44960</v>
      </c>
      <c r="E372" s="1" t="n">
        <v>46303</v>
      </c>
      <c r="F372" t="inlineStr">
        <is>
          <t>UPPSALA LÄN</t>
        </is>
      </c>
      <c r="G372" t="inlineStr">
        <is>
          <t>HEBY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44788</v>
      </c>
      <c r="E373" s="1" t="n">
        <v>46303</v>
      </c>
      <c r="F373" t="inlineStr">
        <is>
          <t>UPPSALA LÄN</t>
        </is>
      </c>
      <c r="G373" t="inlineStr">
        <is>
          <t>HEBY</t>
        </is>
      </c>
      <c r="I373" t="n">
        <v>18.8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56623-2023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46303</v>
      </c>
      <c r="F374" t="inlineStr">
        <is>
          <t>UPPSALA LÄN</t>
        </is>
      </c>
      <c r="G374" t="inlineStr">
        <is>
          <t>HEBY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44984</v>
      </c>
      <c r="E375" s="1" t="n">
        <v>46303</v>
      </c>
      <c r="F375" t="inlineStr">
        <is>
          <t>UPPSALA LÄN</t>
        </is>
      </c>
      <c r="G375" t="inlineStr">
        <is>
          <t>HEBY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70158-2021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44533</v>
      </c>
      <c r="E376" s="1" t="n">
        <v>46303</v>
      </c>
      <c r="F376" t="inlineStr">
        <is>
          <t>UPPSALA LÄN</t>
        </is>
      </c>
      <c r="G376" t="inlineStr">
        <is>
          <t>HEBY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45250</v>
      </c>
      <c r="E377" s="1" t="n">
        <v>46303</v>
      </c>
      <c r="F377" t="inlineStr">
        <is>
          <t>UPPSALA LÄN</t>
        </is>
      </c>
      <c r="G377" t="inlineStr">
        <is>
          <t>HEBY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46160</v>
      </c>
      <c r="E378" s="1" t="n">
        <v>46303</v>
      </c>
      <c r="F378" t="inlineStr">
        <is>
          <t>UPPSALA LÄN</t>
        </is>
      </c>
      <c r="G378" t="inlineStr">
        <is>
          <t>HEBY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44752</v>
      </c>
      <c r="E379" s="1" t="n">
        <v>46303</v>
      </c>
      <c r="F379" t="inlineStr">
        <is>
          <t>UPPSALA LÄN</t>
        </is>
      </c>
      <c r="G379" t="inlineStr">
        <is>
          <t>HEBY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45294</v>
      </c>
      <c r="E380" s="1" t="n">
        <v>46303</v>
      </c>
      <c r="F380" t="inlineStr">
        <is>
          <t>UPPSALA LÄN</t>
        </is>
      </c>
      <c r="G380" t="inlineStr">
        <is>
          <t>HEBY</t>
        </is>
      </c>
      <c r="H380" t="inlineStr">
        <is>
          <t>Kommuner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41546-2023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45175</v>
      </c>
      <c r="E381" s="1" t="n">
        <v>46303</v>
      </c>
      <c r="F381" t="inlineStr">
        <is>
          <t>UPPSALA LÄN</t>
        </is>
      </c>
      <c r="G381" t="inlineStr">
        <is>
          <t>HEBY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44791</v>
      </c>
      <c r="E382" s="1" t="n">
        <v>46303</v>
      </c>
      <c r="F382" t="inlineStr">
        <is>
          <t>UPPSALA LÄN</t>
        </is>
      </c>
      <c r="G382" t="inlineStr">
        <is>
          <t>HEBY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46303</v>
      </c>
      <c r="F383" t="inlineStr">
        <is>
          <t>UPPSALA LÄN</t>
        </is>
      </c>
      <c r="G383" t="inlineStr">
        <is>
          <t>HEBY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42731-2023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45181</v>
      </c>
      <c r="E384" s="1" t="n">
        <v>46303</v>
      </c>
      <c r="F384" t="inlineStr">
        <is>
          <t>UPPSALA LÄN</t>
        </is>
      </c>
      <c r="G384" t="inlineStr">
        <is>
          <t>HEBY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46303</v>
      </c>
      <c r="F385" t="inlineStr">
        <is>
          <t>UPPSALA LÄN</t>
        </is>
      </c>
      <c r="G385" t="inlineStr">
        <is>
          <t>HEBY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62042-2025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46005</v>
      </c>
      <c r="E386" s="1" t="n">
        <v>46303</v>
      </c>
      <c r="F386" t="inlineStr">
        <is>
          <t>UPPSALA LÄN</t>
        </is>
      </c>
      <c r="G386" t="inlineStr">
        <is>
          <t>HEBY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46003</v>
      </c>
      <c r="E387" s="1" t="n">
        <v>46303</v>
      </c>
      <c r="F387" t="inlineStr">
        <is>
          <t>UPPSALA LÄN</t>
        </is>
      </c>
      <c r="G387" t="inlineStr">
        <is>
          <t>HEBY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46007</v>
      </c>
      <c r="E388" s="1" t="n">
        <v>46303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46164</v>
      </c>
      <c r="E389" s="1" t="n">
        <v>46303</v>
      </c>
      <c r="F389" t="inlineStr">
        <is>
          <t>UPPSALA LÄN</t>
        </is>
      </c>
      <c r="G389" t="inlineStr">
        <is>
          <t>HEBY</t>
        </is>
      </c>
      <c r="H389" t="inlineStr">
        <is>
          <t>Bergvik skog väst AB</t>
        </is>
      </c>
      <c r="I389" t="n">
        <v>35.2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35868-2022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44802</v>
      </c>
      <c r="E390" s="1" t="n">
        <v>46303</v>
      </c>
      <c r="F390" t="inlineStr">
        <is>
          <t>UPPSALA LÄN</t>
        </is>
      </c>
      <c r="G390" t="inlineStr">
        <is>
          <t>HEBY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44734</v>
      </c>
      <c r="E391" s="1" t="n">
        <v>46303</v>
      </c>
      <c r="F391" t="inlineStr">
        <is>
          <t>UPPSALA LÄN</t>
        </is>
      </c>
      <c r="G391" t="inlineStr">
        <is>
          <t>HEBY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46303</v>
      </c>
      <c r="F392" t="inlineStr">
        <is>
          <t>UPPSALA LÄN</t>
        </is>
      </c>
      <c r="G392" t="inlineStr">
        <is>
          <t>HEBY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16083-2025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45749</v>
      </c>
      <c r="E393" s="1" t="n">
        <v>46303</v>
      </c>
      <c r="F393" t="inlineStr">
        <is>
          <t>UPPSALA LÄN</t>
        </is>
      </c>
      <c r="G393" t="inlineStr">
        <is>
          <t>HEBY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46303</v>
      </c>
      <c r="F394" t="inlineStr">
        <is>
          <t>UPPSALA LÄN</t>
        </is>
      </c>
      <c r="G394" t="inlineStr">
        <is>
          <t>HEBY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3368-2024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45317</v>
      </c>
      <c r="E395" s="1" t="n">
        <v>46303</v>
      </c>
      <c r="F395" t="inlineStr">
        <is>
          <t>UPPSALA LÄN</t>
        </is>
      </c>
      <c r="G395" t="inlineStr">
        <is>
          <t>HEBY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26085-2022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44734</v>
      </c>
      <c r="E396" s="1" t="n">
        <v>46303</v>
      </c>
      <c r="F396" t="inlineStr">
        <is>
          <t>UPPSALA LÄN</t>
        </is>
      </c>
      <c r="G396" t="inlineStr">
        <is>
          <t>HEBY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46169</v>
      </c>
      <c r="E397" s="1" t="n">
        <v>46303</v>
      </c>
      <c r="F397" t="inlineStr">
        <is>
          <t>UPPSALA LÄN</t>
        </is>
      </c>
      <c r="G397" t="inlineStr">
        <is>
          <t>HEBY</t>
        </is>
      </c>
      <c r="I397" t="n">
        <v>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46303</v>
      </c>
      <c r="F398" t="inlineStr">
        <is>
          <t>UPPSALA LÄN</t>
        </is>
      </c>
      <c r="G398" t="inlineStr">
        <is>
          <t>HEBY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21302-2023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45058</v>
      </c>
      <c r="E399" s="1" t="n">
        <v>46303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55019-2025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45967</v>
      </c>
      <c r="E400" s="1" t="n">
        <v>46303</v>
      </c>
      <c r="F400" t="inlineStr">
        <is>
          <t>UPPSALA LÄN</t>
        </is>
      </c>
      <c r="G400" t="inlineStr">
        <is>
          <t>HEBY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46023</v>
      </c>
      <c r="E401" s="1" t="n">
        <v>46303</v>
      </c>
      <c r="F401" t="inlineStr">
        <is>
          <t>UPPSALA LÄN</t>
        </is>
      </c>
      <c r="G401" t="inlineStr">
        <is>
          <t>HEBY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46303</v>
      </c>
      <c r="F402" t="inlineStr">
        <is>
          <t>UPPSALA LÄN</t>
        </is>
      </c>
      <c r="G402" t="inlineStr">
        <is>
          <t>HEBY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44753</v>
      </c>
      <c r="E403" s="1" t="n">
        <v>46303</v>
      </c>
      <c r="F403" t="inlineStr">
        <is>
          <t>UPPSALA LÄN</t>
        </is>
      </c>
      <c r="G403" t="inlineStr">
        <is>
          <t>HEBY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45030</v>
      </c>
      <c r="E404" s="1" t="n">
        <v>46303</v>
      </c>
      <c r="F404" t="inlineStr">
        <is>
          <t>UPPSALA LÄN</t>
        </is>
      </c>
      <c r="G404" t="inlineStr">
        <is>
          <t>HEBY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44810</v>
      </c>
      <c r="E405" s="1" t="n">
        <v>46303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väst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46303</v>
      </c>
      <c r="F406" t="inlineStr">
        <is>
          <t>UPPSALA LÄN</t>
        </is>
      </c>
      <c r="G406" t="inlineStr">
        <is>
          <t>HEBY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9766-2023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44984</v>
      </c>
      <c r="E407" s="1" t="n">
        <v>46303</v>
      </c>
      <c r="F407" t="inlineStr">
        <is>
          <t>UPPSALA LÄN</t>
        </is>
      </c>
      <c r="G407" t="inlineStr">
        <is>
          <t>HEBY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31407-2023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46303</v>
      </c>
      <c r="F408" t="inlineStr">
        <is>
          <t>UPPSALA LÄN</t>
        </is>
      </c>
      <c r="G408" t="inlineStr">
        <is>
          <t>HEBY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29570-2022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44754</v>
      </c>
      <c r="E409" s="1" t="n">
        <v>46303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öst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33705-2023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45132</v>
      </c>
      <c r="E410" s="1" t="n">
        <v>46303</v>
      </c>
      <c r="F410" t="inlineStr">
        <is>
          <t>UPPSALA LÄN</t>
        </is>
      </c>
      <c r="G410" t="inlineStr">
        <is>
          <t>HEBY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33706-2023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45132</v>
      </c>
      <c r="E411" s="1" t="n">
        <v>46303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44694</v>
      </c>
      <c r="E412" s="1" t="n">
        <v>46303</v>
      </c>
      <c r="F412" t="inlineStr">
        <is>
          <t>UPPSALA LÄN</t>
        </is>
      </c>
      <c r="G412" t="inlineStr">
        <is>
          <t>HEBY</t>
        </is>
      </c>
      <c r="I412" t="n">
        <v>22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45118</v>
      </c>
      <c r="E413" s="1" t="n">
        <v>46303</v>
      </c>
      <c r="F413" t="inlineStr">
        <is>
          <t>UPPSALA LÄN</t>
        </is>
      </c>
      <c r="G413" t="inlineStr">
        <is>
          <t>HEBY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45293</v>
      </c>
      <c r="E414" s="1" t="n">
        <v>46303</v>
      </c>
      <c r="F414" t="inlineStr">
        <is>
          <t>UPPSALA LÄN</t>
        </is>
      </c>
      <c r="G414" t="inlineStr">
        <is>
          <t>HEBY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46303</v>
      </c>
      <c r="F415" t="inlineStr">
        <is>
          <t>UPPSALA LÄN</t>
        </is>
      </c>
      <c r="G415" t="inlineStr">
        <is>
          <t>HEBY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45693</v>
      </c>
      <c r="E416" s="1" t="n">
        <v>46303</v>
      </c>
      <c r="F416" t="inlineStr">
        <is>
          <t>UPPSALA LÄN</t>
        </is>
      </c>
      <c r="G416" t="inlineStr">
        <is>
          <t>HEBY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46303</v>
      </c>
      <c r="F417" t="inlineStr">
        <is>
          <t>UPPSALA LÄN</t>
        </is>
      </c>
      <c r="G417" t="inlineStr">
        <is>
          <t>HEBY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32245-2022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44781</v>
      </c>
      <c r="E418" s="1" t="n">
        <v>46303</v>
      </c>
      <c r="F418" t="inlineStr">
        <is>
          <t>UPPSALA LÄN</t>
        </is>
      </c>
      <c r="G418" t="inlineStr">
        <is>
          <t>HEBY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33385-2023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45128</v>
      </c>
      <c r="E419" s="1" t="n">
        <v>46303</v>
      </c>
      <c r="F419" t="inlineStr">
        <is>
          <t>UPPSALA LÄN</t>
        </is>
      </c>
      <c r="G419" t="inlineStr">
        <is>
          <t>HEBY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46303</v>
      </c>
      <c r="F420" t="inlineStr">
        <is>
          <t>UPPSALA LÄN</t>
        </is>
      </c>
      <c r="G420" t="inlineStr">
        <is>
          <t>HEBY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46303</v>
      </c>
      <c r="F421" t="inlineStr">
        <is>
          <t>UPPSALA LÄN</t>
        </is>
      </c>
      <c r="G421" t="inlineStr">
        <is>
          <t>HEBY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46303</v>
      </c>
      <c r="F422" t="inlineStr">
        <is>
          <t>UPPSALA LÄN</t>
        </is>
      </c>
      <c r="G422" t="inlineStr">
        <is>
          <t>HEBY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46303</v>
      </c>
      <c r="F423" t="inlineStr">
        <is>
          <t>UPPSALA LÄN</t>
        </is>
      </c>
      <c r="G423" t="inlineStr">
        <is>
          <t>HEBY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25419-2022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44732</v>
      </c>
      <c r="E424" s="1" t="n">
        <v>46303</v>
      </c>
      <c r="F424" t="inlineStr">
        <is>
          <t>UPPSALA LÄN</t>
        </is>
      </c>
      <c r="G424" t="inlineStr">
        <is>
          <t>HEBY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46303</v>
      </c>
      <c r="F425" t="inlineStr">
        <is>
          <t>UPPSALA LÄN</t>
        </is>
      </c>
      <c r="G425" t="inlineStr">
        <is>
          <t>HEBY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46303</v>
      </c>
      <c r="F426" t="inlineStr">
        <is>
          <t>UPPSALA LÄN</t>
        </is>
      </c>
      <c r="G426" t="inlineStr">
        <is>
          <t>HEBY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46303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46303</v>
      </c>
      <c r="F428" t="inlineStr">
        <is>
          <t>UPPSALA LÄN</t>
        </is>
      </c>
      <c r="G428" t="inlineStr">
        <is>
          <t>HEBY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11555-2026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46084</v>
      </c>
      <c r="E429" s="1" t="n">
        <v>46303</v>
      </c>
      <c r="F429" t="inlineStr">
        <is>
          <t>UPPSALA LÄN</t>
        </is>
      </c>
      <c r="G429" t="inlineStr">
        <is>
          <t>HEBY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46303</v>
      </c>
      <c r="F430" t="inlineStr">
        <is>
          <t>UPPSALA LÄN</t>
        </is>
      </c>
      <c r="G430" t="inlineStr">
        <is>
          <t>HEBY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46408-2024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45582</v>
      </c>
      <c r="E431" s="1" t="n">
        <v>46303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väst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62132-2022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44914</v>
      </c>
      <c r="E432" s="1" t="n">
        <v>46303</v>
      </c>
      <c r="F432" t="inlineStr">
        <is>
          <t>UPPSALA LÄN</t>
        </is>
      </c>
      <c r="G432" t="inlineStr">
        <is>
          <t>HEBY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46303</v>
      </c>
      <c r="F433" t="inlineStr">
        <is>
          <t>UPPSALA LÄN</t>
        </is>
      </c>
      <c r="G433" t="inlineStr">
        <is>
          <t>HEBY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46303</v>
      </c>
      <c r="F434" t="inlineStr">
        <is>
          <t>UPPSALA LÄN</t>
        </is>
      </c>
      <c r="G434" t="inlineStr">
        <is>
          <t>HEBY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46303</v>
      </c>
      <c r="F435" t="inlineStr">
        <is>
          <t>UPPSALA LÄN</t>
        </is>
      </c>
      <c r="G435" t="inlineStr">
        <is>
          <t>HEBY</t>
        </is>
      </c>
      <c r="H435" t="inlineStr">
        <is>
          <t>Kommuner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46057</v>
      </c>
      <c r="E436" s="1" t="n">
        <v>46303</v>
      </c>
      <c r="F436" t="inlineStr">
        <is>
          <t>UPPSALA LÄN</t>
        </is>
      </c>
      <c r="G436" t="inlineStr">
        <is>
          <t>HEBY</t>
        </is>
      </c>
      <c r="H436" t="inlineStr">
        <is>
          <t>Kommuner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46303</v>
      </c>
      <c r="F437" t="inlineStr">
        <is>
          <t>UPPSALA LÄN</t>
        </is>
      </c>
      <c r="G437" t="inlineStr">
        <is>
          <t>HEBY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7473-2026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46059</v>
      </c>
      <c r="E438" s="1" t="n">
        <v>46303</v>
      </c>
      <c r="F438" t="inlineStr">
        <is>
          <t>UPPSALA LÄN</t>
        </is>
      </c>
      <c r="G438" t="inlineStr">
        <is>
          <t>HEBY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45406</v>
      </c>
      <c r="E439" s="1" t="n">
        <v>46303</v>
      </c>
      <c r="F439" t="inlineStr">
        <is>
          <t>UPPSALA LÄN</t>
        </is>
      </c>
      <c r="G439" t="inlineStr">
        <is>
          <t>HEBY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46063</v>
      </c>
      <c r="E440" s="1" t="n">
        <v>46303</v>
      </c>
      <c r="F440" t="inlineStr">
        <is>
          <t>UPPSALA LÄN</t>
        </is>
      </c>
      <c r="G440" t="inlineStr">
        <is>
          <t>HEBY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46063</v>
      </c>
      <c r="E441" s="1" t="n">
        <v>46303</v>
      </c>
      <c r="F441" t="inlineStr">
        <is>
          <t>UPPSALA LÄN</t>
        </is>
      </c>
      <c r="G441" t="inlineStr">
        <is>
          <t>HEBY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60461-2022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44911</v>
      </c>
      <c r="E442" s="1" t="n">
        <v>46303</v>
      </c>
      <c r="F442" t="inlineStr">
        <is>
          <t>UPPSALA LÄN</t>
        </is>
      </c>
      <c r="G442" t="inlineStr">
        <is>
          <t>HEBY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19721-2022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44694</v>
      </c>
      <c r="E443" s="1" t="n">
        <v>46303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46303</v>
      </c>
      <c r="F444" t="inlineStr">
        <is>
          <t>UPPSALA LÄN</t>
        </is>
      </c>
      <c r="G444" t="inlineStr">
        <is>
          <t>HEBY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6660-2026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46303</v>
      </c>
      <c r="F445" t="inlineStr">
        <is>
          <t>UPPSALA LÄN</t>
        </is>
      </c>
      <c r="G445" t="inlineStr">
        <is>
          <t>HEBY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8790-2023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44978</v>
      </c>
      <c r="E446" s="1" t="n">
        <v>46303</v>
      </c>
      <c r="F446" t="inlineStr">
        <is>
          <t>UPPSALA LÄN</t>
        </is>
      </c>
      <c r="G446" t="inlineStr">
        <is>
          <t>HEBY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46303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46073</v>
      </c>
      <c r="E448" s="1" t="n">
        <v>46303</v>
      </c>
      <c r="F448" t="inlineStr">
        <is>
          <t>UPPSALA LÄN</t>
        </is>
      </c>
      <c r="G448" t="inlineStr">
        <is>
          <t>HEBY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60295-2021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44495</v>
      </c>
      <c r="E449" s="1" t="n">
        <v>46303</v>
      </c>
      <c r="F449" t="inlineStr">
        <is>
          <t>UPPSALA LÄN</t>
        </is>
      </c>
      <c r="G449" t="inlineStr">
        <is>
          <t>HEBY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46073</v>
      </c>
      <c r="E450" s="1" t="n">
        <v>46303</v>
      </c>
      <c r="F450" t="inlineStr">
        <is>
          <t>UPPSALA LÄN</t>
        </is>
      </c>
      <c r="G450" t="inlineStr">
        <is>
          <t>HEBY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46303</v>
      </c>
      <c r="F451" t="inlineStr">
        <is>
          <t>UPPSALA LÄN</t>
        </is>
      </c>
      <c r="G451" t="inlineStr">
        <is>
          <t>HEBY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44093-2024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45572</v>
      </c>
      <c r="E452" s="1" t="n">
        <v>46303</v>
      </c>
      <c r="F452" t="inlineStr">
        <is>
          <t>UPPSALA LÄN</t>
        </is>
      </c>
      <c r="G452" t="inlineStr">
        <is>
          <t>HEBY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46303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46.8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15326-2022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44659</v>
      </c>
      <c r="E454" s="1" t="n">
        <v>46303</v>
      </c>
      <c r="F454" t="inlineStr">
        <is>
          <t>UPPSALA LÄN</t>
        </is>
      </c>
      <c r="G454" t="inlineStr">
        <is>
          <t>HEBY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46303</v>
      </c>
      <c r="F455" t="inlineStr">
        <is>
          <t>UPPSALA LÄN</t>
        </is>
      </c>
      <c r="G455" t="inlineStr">
        <is>
          <t>HEBY</t>
        </is>
      </c>
      <c r="I455" t="n">
        <v>11.5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11056-2026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46079</v>
      </c>
      <c r="E456" s="1" t="n">
        <v>46303</v>
      </c>
      <c r="F456" t="inlineStr">
        <is>
          <t>UPPSALA LÄN</t>
        </is>
      </c>
      <c r="G456" t="inlineStr">
        <is>
          <t>HEBY</t>
        </is>
      </c>
      <c r="I456" t="n">
        <v>8.699999999999999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9623-2026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46303</v>
      </c>
      <c r="F457" t="inlineStr">
        <is>
          <t>UPPSALA LÄN</t>
        </is>
      </c>
      <c r="G457" t="inlineStr">
        <is>
          <t>HEBY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44614</v>
      </c>
      <c r="E458" s="1" t="n">
        <v>46303</v>
      </c>
      <c r="F458" t="inlineStr">
        <is>
          <t>UPPSALA LÄN</t>
        </is>
      </c>
      <c r="G458" t="inlineStr">
        <is>
          <t>HEBY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23411-2024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45453</v>
      </c>
      <c r="E459" s="1" t="n">
        <v>46303</v>
      </c>
      <c r="F459" t="inlineStr">
        <is>
          <t>UPPSALA LÄN</t>
        </is>
      </c>
      <c r="G459" t="inlineStr">
        <is>
          <t>HEBY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44942</v>
      </c>
      <c r="E460" s="1" t="n">
        <v>46303</v>
      </c>
      <c r="F460" t="inlineStr">
        <is>
          <t>UPPSALA LÄN</t>
        </is>
      </c>
      <c r="G460" t="inlineStr">
        <is>
          <t>HEBY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2227-2023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46303</v>
      </c>
      <c r="F461" t="inlineStr">
        <is>
          <t>UPPSALA LÄN</t>
        </is>
      </c>
      <c r="G461" t="inlineStr">
        <is>
          <t>HEBY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46303</v>
      </c>
      <c r="F462" t="inlineStr">
        <is>
          <t>UPPSALA LÄN</t>
        </is>
      </c>
      <c r="G462" t="inlineStr">
        <is>
          <t>HEBY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45664</v>
      </c>
      <c r="E463" s="1" t="n">
        <v>46303</v>
      </c>
      <c r="F463" t="inlineStr">
        <is>
          <t>UPPSALA LÄN</t>
        </is>
      </c>
      <c r="G463" t="inlineStr">
        <is>
          <t>HEBY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6866-2022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44602</v>
      </c>
      <c r="E464" s="1" t="n">
        <v>46303</v>
      </c>
      <c r="F464" t="inlineStr">
        <is>
          <t>UPPSALA LÄN</t>
        </is>
      </c>
      <c r="G464" t="inlineStr">
        <is>
          <t>HEBY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46303</v>
      </c>
      <c r="F465" t="inlineStr">
        <is>
          <t>UPPSALA LÄN</t>
        </is>
      </c>
      <c r="G465" t="inlineStr">
        <is>
          <t>HEBY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18148-2022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44684</v>
      </c>
      <c r="E466" s="1" t="n">
        <v>46303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41.8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66873-2021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44522</v>
      </c>
      <c r="E467" s="1" t="n">
        <v>46303</v>
      </c>
      <c r="F467" t="inlineStr">
        <is>
          <t>UPPSALA LÄN</t>
        </is>
      </c>
      <c r="G467" t="inlineStr">
        <is>
          <t>HEBY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29387-2022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44753</v>
      </c>
      <c r="E468" s="1" t="n">
        <v>46303</v>
      </c>
      <c r="F468" t="inlineStr">
        <is>
          <t>UPPSALA LÄN</t>
        </is>
      </c>
      <c r="G468" t="inlineStr">
        <is>
          <t>HEBY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13634-2023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46303</v>
      </c>
      <c r="F469" t="inlineStr">
        <is>
          <t>UPPSALA LÄN</t>
        </is>
      </c>
      <c r="G469" t="inlineStr">
        <is>
          <t>HEBY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25995-2022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44734</v>
      </c>
      <c r="E470" s="1" t="n">
        <v>46303</v>
      </c>
      <c r="F470" t="inlineStr">
        <is>
          <t>UPPSALA LÄN</t>
        </is>
      </c>
      <c r="G470" t="inlineStr">
        <is>
          <t>HEBY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46303</v>
      </c>
      <c r="F471" t="inlineStr">
        <is>
          <t>UPPSALA LÄN</t>
        </is>
      </c>
      <c r="G471" t="inlineStr">
        <is>
          <t>HEBY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45083</v>
      </c>
      <c r="E472" s="1" t="n">
        <v>46303</v>
      </c>
      <c r="F472" t="inlineStr">
        <is>
          <t>UPPSALA LÄN</t>
        </is>
      </c>
      <c r="G472" t="inlineStr">
        <is>
          <t>HEBY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6203-2023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46303</v>
      </c>
      <c r="F473" t="inlineStr">
        <is>
          <t>UPPSALA LÄN</t>
        </is>
      </c>
      <c r="G473" t="inlineStr">
        <is>
          <t>HEBY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20882-2022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44701</v>
      </c>
      <c r="E474" s="1" t="n">
        <v>46303</v>
      </c>
      <c r="F474" t="inlineStr">
        <is>
          <t>UPPSALA LÄN</t>
        </is>
      </c>
      <c r="G474" t="inlineStr">
        <is>
          <t>HEBY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45013</v>
      </c>
      <c r="E475" s="1" t="n">
        <v>46303</v>
      </c>
      <c r="F475" t="inlineStr">
        <is>
          <t>UPPSALA LÄN</t>
        </is>
      </c>
      <c r="G475" t="inlineStr">
        <is>
          <t>HEBY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56352-2021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44480</v>
      </c>
      <c r="E476" s="1" t="n">
        <v>46303</v>
      </c>
      <c r="F476" t="inlineStr">
        <is>
          <t>UPPSALA LÄN</t>
        </is>
      </c>
      <c r="G476" t="inlineStr">
        <is>
          <t>HEBY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46303</v>
      </c>
      <c r="F477" t="inlineStr">
        <is>
          <t>UPPSALA LÄN</t>
        </is>
      </c>
      <c r="G477" t="inlineStr">
        <is>
          <t>HEBY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46303</v>
      </c>
      <c r="F478" t="inlineStr">
        <is>
          <t>UPPSALA LÄN</t>
        </is>
      </c>
      <c r="G478" t="inlineStr">
        <is>
          <t>HEBY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46093</v>
      </c>
      <c r="E479" s="1" t="n">
        <v>46303</v>
      </c>
      <c r="F479" t="inlineStr">
        <is>
          <t>UPPSALA LÄN</t>
        </is>
      </c>
      <c r="G479" t="inlineStr">
        <is>
          <t>HEBY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9767-2023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44984</v>
      </c>
      <c r="E480" s="1" t="n">
        <v>46303</v>
      </c>
      <c r="F480" t="inlineStr">
        <is>
          <t>UPPSALA LÄN</t>
        </is>
      </c>
      <c r="G480" t="inlineStr">
        <is>
          <t>HEBY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13099-2026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46093</v>
      </c>
      <c r="E481" s="1" t="n">
        <v>46303</v>
      </c>
      <c r="F481" t="inlineStr">
        <is>
          <t>UPPSALA LÄN</t>
        </is>
      </c>
      <c r="G481" t="inlineStr">
        <is>
          <t>HEBY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51521-2023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45215</v>
      </c>
      <c r="E482" s="1" t="n">
        <v>46303</v>
      </c>
      <c r="F482" t="inlineStr">
        <is>
          <t>UPPSALA LÄN</t>
        </is>
      </c>
      <c r="G482" t="inlineStr">
        <is>
          <t>HEBY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44984</v>
      </c>
      <c r="E483" s="1" t="n">
        <v>46303</v>
      </c>
      <c r="F483" t="inlineStr">
        <is>
          <t>UPPSALA LÄN</t>
        </is>
      </c>
      <c r="G483" t="inlineStr">
        <is>
          <t>HEBY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46303</v>
      </c>
      <c r="F484" t="inlineStr">
        <is>
          <t>UPPSALA LÄN</t>
        </is>
      </c>
      <c r="G484" t="inlineStr">
        <is>
          <t>HEBY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29826-2026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46303</v>
      </c>
      <c r="F485" t="inlineStr">
        <is>
          <t>UPPSALA LÄN</t>
        </is>
      </c>
      <c r="G485" t="inlineStr">
        <is>
          <t>HEBY</t>
        </is>
      </c>
      <c r="H485" t="inlineStr">
        <is>
          <t>Kyrkan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44644</v>
      </c>
      <c r="E486" s="1" t="n">
        <v>46303</v>
      </c>
      <c r="F486" t="inlineStr">
        <is>
          <t>UPPSALA LÄN</t>
        </is>
      </c>
      <c r="G486" t="inlineStr">
        <is>
          <t>HEBY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14765-2026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46101</v>
      </c>
      <c r="E487" s="1" t="n">
        <v>46303</v>
      </c>
      <c r="F487" t="inlineStr">
        <is>
          <t>UPPSALA LÄN</t>
        </is>
      </c>
      <c r="G487" t="inlineStr">
        <is>
          <t>HEBY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45035</v>
      </c>
      <c r="E488" s="1" t="n">
        <v>46303</v>
      </c>
      <c r="F488" t="inlineStr">
        <is>
          <t>UPPSALA LÄN</t>
        </is>
      </c>
      <c r="G488" t="inlineStr">
        <is>
          <t>HEBY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45639</v>
      </c>
      <c r="E489" s="1" t="n">
        <v>46303</v>
      </c>
      <c r="F489" t="inlineStr">
        <is>
          <t>UPPSALA LÄN</t>
        </is>
      </c>
      <c r="G489" t="inlineStr">
        <is>
          <t>HEBY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16164-2026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46110</v>
      </c>
      <c r="E490" s="1" t="n">
        <v>46303</v>
      </c>
      <c r="F490" t="inlineStr">
        <is>
          <t>UPPSALA LÄN</t>
        </is>
      </c>
      <c r="G490" t="inlineStr">
        <is>
          <t>HEBY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44981</v>
      </c>
      <c r="E491" s="1" t="n">
        <v>46303</v>
      </c>
      <c r="F491" t="inlineStr">
        <is>
          <t>UPPSALA LÄN</t>
        </is>
      </c>
      <c r="G491" t="inlineStr">
        <is>
          <t>HEBY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60788-2022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44914</v>
      </c>
      <c r="E492" s="1" t="n">
        <v>46303</v>
      </c>
      <c r="F492" t="inlineStr">
        <is>
          <t>UPPSALA LÄN</t>
        </is>
      </c>
      <c r="G492" t="inlineStr">
        <is>
          <t>HEBY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16506-2026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46112</v>
      </c>
      <c r="E493" s="1" t="n">
        <v>46303</v>
      </c>
      <c r="F493" t="inlineStr">
        <is>
          <t>UPPSALA LÄN</t>
        </is>
      </c>
      <c r="G493" t="inlineStr">
        <is>
          <t>HEBY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46303</v>
      </c>
      <c r="F494" t="inlineStr">
        <is>
          <t>UPPSALA LÄN</t>
        </is>
      </c>
      <c r="G494" t="inlineStr">
        <is>
          <t>HEBY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16515-2026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46303</v>
      </c>
      <c r="F495" t="inlineStr">
        <is>
          <t>UPPSALA LÄN</t>
        </is>
      </c>
      <c r="G495" t="inlineStr">
        <is>
          <t>HEBY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16509-2026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46303</v>
      </c>
      <c r="F496" t="inlineStr">
        <is>
          <t>UPPSALA LÄN</t>
        </is>
      </c>
      <c r="G496" t="inlineStr">
        <is>
          <t>HEBY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46303</v>
      </c>
      <c r="F497" t="inlineStr">
        <is>
          <t>UPPSALA LÄN</t>
        </is>
      </c>
      <c r="G497" t="inlineStr">
        <is>
          <t>HEBY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11835-2024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45376</v>
      </c>
      <c r="E498" s="1" t="n">
        <v>46303</v>
      </c>
      <c r="F498" t="inlineStr">
        <is>
          <t>UPPSALA LÄN</t>
        </is>
      </c>
      <c r="G498" t="inlineStr">
        <is>
          <t>HEBY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46114</v>
      </c>
      <c r="E499" s="1" t="n">
        <v>46303</v>
      </c>
      <c r="F499" t="inlineStr">
        <is>
          <t>UPPSALA LÄN</t>
        </is>
      </c>
      <c r="G499" t="inlineStr">
        <is>
          <t>HEBY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46303</v>
      </c>
      <c r="F500" t="inlineStr">
        <is>
          <t>UPPSALA LÄN</t>
        </is>
      </c>
      <c r="G500" t="inlineStr">
        <is>
          <t>HEBY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45252</v>
      </c>
      <c r="E501" s="1" t="n">
        <v>46303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45111</v>
      </c>
      <c r="E502" s="1" t="n">
        <v>46303</v>
      </c>
      <c r="F502" t="inlineStr">
        <is>
          <t>UPPSALA LÄN</t>
        </is>
      </c>
      <c r="G502" t="inlineStr">
        <is>
          <t>HEBY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34140-2023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45135</v>
      </c>
      <c r="E503" s="1" t="n">
        <v>46303</v>
      </c>
      <c r="F503" t="inlineStr">
        <is>
          <t>UPPSALA LÄN</t>
        </is>
      </c>
      <c r="G503" t="inlineStr">
        <is>
          <t>HEBY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46303</v>
      </c>
      <c r="F504" t="inlineStr">
        <is>
          <t>UPPSALA LÄN</t>
        </is>
      </c>
      <c r="G504" t="inlineStr">
        <is>
          <t>HEBY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45132</v>
      </c>
      <c r="E505" s="1" t="n">
        <v>46303</v>
      </c>
      <c r="F505" t="inlineStr">
        <is>
          <t>UPPSALA LÄN</t>
        </is>
      </c>
      <c r="G505" t="inlineStr">
        <is>
          <t>HEBY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18374-2026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46303</v>
      </c>
      <c r="F506" t="inlineStr">
        <is>
          <t>UPPSALA LÄN</t>
        </is>
      </c>
      <c r="G506" t="inlineStr">
        <is>
          <t>HEBY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46126</v>
      </c>
      <c r="E507" s="1" t="n">
        <v>46303</v>
      </c>
      <c r="F507" t="inlineStr">
        <is>
          <t>UPPSALA LÄN</t>
        </is>
      </c>
      <c r="G507" t="inlineStr">
        <is>
          <t>HEBY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31564-2023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45117</v>
      </c>
      <c r="E508" s="1" t="n">
        <v>46303</v>
      </c>
      <c r="F508" t="inlineStr">
        <is>
          <t>UPPSALA LÄN</t>
        </is>
      </c>
      <c r="G508" t="inlineStr">
        <is>
          <t>HEBY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52252-2024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45607</v>
      </c>
      <c r="E509" s="1" t="n">
        <v>46303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46262</v>
      </c>
      <c r="E510" s="1" t="n">
        <v>46303</v>
      </c>
      <c r="F510" t="inlineStr">
        <is>
          <t>UPPSALA LÄN</t>
        </is>
      </c>
      <c r="G510" t="inlineStr">
        <is>
          <t>HEBY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50172-2024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45599</v>
      </c>
      <c r="E511" s="1" t="n">
        <v>46303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45344</v>
      </c>
      <c r="E512" s="1" t="n">
        <v>46303</v>
      </c>
      <c r="F512" t="inlineStr">
        <is>
          <t>UPPSALA LÄN</t>
        </is>
      </c>
      <c r="G512" t="inlineStr">
        <is>
          <t>HEBY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19337-2026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46303</v>
      </c>
      <c r="F513" t="inlineStr">
        <is>
          <t>UPPSALA LÄN</t>
        </is>
      </c>
      <c r="G513" t="inlineStr">
        <is>
          <t>HEBY</t>
        </is>
      </c>
      <c r="H513" t="inlineStr">
        <is>
          <t>Kyrkan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46220</v>
      </c>
      <c r="E514" s="1" t="n">
        <v>46303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55.9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19744-2026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46135</v>
      </c>
      <c r="E515" s="1" t="n">
        <v>46303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46135</v>
      </c>
      <c r="E516" s="1" t="n">
        <v>46303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60456-2022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44911</v>
      </c>
      <c r="E517" s="1" t="n">
        <v>46303</v>
      </c>
      <c r="F517" t="inlineStr">
        <is>
          <t>UPPSALA LÄN</t>
        </is>
      </c>
      <c r="G517" t="inlineStr">
        <is>
          <t>HEBY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46223</v>
      </c>
      <c r="E518" s="1" t="n">
        <v>46303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46303</v>
      </c>
      <c r="F519" t="inlineStr">
        <is>
          <t>UPPSALA LÄN</t>
        </is>
      </c>
      <c r="G519" t="inlineStr">
        <is>
          <t>HEBY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39536-2024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45551</v>
      </c>
      <c r="E520" s="1" t="n">
        <v>46303</v>
      </c>
      <c r="F520" t="inlineStr">
        <is>
          <t>UPPSALA LÄN</t>
        </is>
      </c>
      <c r="G520" t="inlineStr">
        <is>
          <t>HEBY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45519</v>
      </c>
      <c r="E521" s="1" t="n">
        <v>46303</v>
      </c>
      <c r="F521" t="inlineStr">
        <is>
          <t>UPPSALA LÄN</t>
        </is>
      </c>
      <c r="G521" t="inlineStr">
        <is>
          <t>HEBY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45519</v>
      </c>
      <c r="E522" s="1" t="n">
        <v>46303</v>
      </c>
      <c r="F522" t="inlineStr">
        <is>
          <t>UPPSALA LÄN</t>
        </is>
      </c>
      <c r="G522" t="inlineStr">
        <is>
          <t>HEBY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58124-2022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46303</v>
      </c>
      <c r="F523" t="inlineStr">
        <is>
          <t>UPPSALA LÄN</t>
        </is>
      </c>
      <c r="G523" t="inlineStr">
        <is>
          <t>HEBY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45895</v>
      </c>
      <c r="E524" s="1" t="n">
        <v>46303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21310-2023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45058</v>
      </c>
      <c r="E525" s="1" t="n">
        <v>46303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46223</v>
      </c>
      <c r="E526" s="1" t="n">
        <v>46303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45209</v>
      </c>
      <c r="E527" s="1" t="n">
        <v>46303</v>
      </c>
      <c r="F527" t="inlineStr">
        <is>
          <t>UPPSALA LÄN</t>
        </is>
      </c>
      <c r="G527" t="inlineStr">
        <is>
          <t>HEBY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28288-2025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45818</v>
      </c>
      <c r="E528" s="1" t="n">
        <v>46303</v>
      </c>
      <c r="F528" t="inlineStr">
        <is>
          <t>UPPSALA LÄN</t>
        </is>
      </c>
      <c r="G528" t="inlineStr">
        <is>
          <t>HEBY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46224</v>
      </c>
      <c r="E529" s="1" t="n">
        <v>46303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45317</v>
      </c>
      <c r="E530" s="1" t="n">
        <v>46303</v>
      </c>
      <c r="F530" t="inlineStr">
        <is>
          <t>UPPSALA LÄN</t>
        </is>
      </c>
      <c r="G530" t="inlineStr">
        <is>
          <t>HEBY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9043-2023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44979</v>
      </c>
      <c r="E531" s="1" t="n">
        <v>46303</v>
      </c>
      <c r="F531" t="inlineStr">
        <is>
          <t>UPPSALA LÄN</t>
        </is>
      </c>
      <c r="G531" t="inlineStr">
        <is>
          <t>HEBY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46303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45713</v>
      </c>
      <c r="E533" s="1" t="n">
        <v>46303</v>
      </c>
      <c r="F533" t="inlineStr">
        <is>
          <t>UPPSALA LÄN</t>
        </is>
      </c>
      <c r="G533" t="inlineStr">
        <is>
          <t>HEBY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46268</v>
      </c>
      <c r="E534" s="1" t="n">
        <v>46303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46303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52955-2022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44875</v>
      </c>
      <c r="E536" s="1" t="n">
        <v>46303</v>
      </c>
      <c r="F536" t="inlineStr">
        <is>
          <t>UPPSALA LÄN</t>
        </is>
      </c>
      <c r="G536" t="inlineStr">
        <is>
          <t>HEBY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36754-2026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46303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46303</v>
      </c>
      <c r="F538" t="inlineStr">
        <is>
          <t>UPPSALA LÄN</t>
        </is>
      </c>
      <c r="G538" t="inlineStr">
        <is>
          <t>HEBY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46303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46269</v>
      </c>
      <c r="E540" s="1" t="n">
        <v>46303</v>
      </c>
      <c r="F540" t="inlineStr">
        <is>
          <t>UPPSALA LÄN</t>
        </is>
      </c>
      <c r="G540" t="inlineStr">
        <is>
          <t>HEBY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31890-2026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46231</v>
      </c>
      <c r="E541" s="1" t="n">
        <v>46303</v>
      </c>
      <c r="F541" t="inlineStr">
        <is>
          <t>UPPSALA LÄN</t>
        </is>
      </c>
      <c r="G541" t="inlineStr">
        <is>
          <t>HEBY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46231</v>
      </c>
      <c r="E542" s="1" t="n">
        <v>46303</v>
      </c>
      <c r="F542" t="inlineStr">
        <is>
          <t>UPPSALA LÄN</t>
        </is>
      </c>
      <c r="G542" t="inlineStr">
        <is>
          <t>HEBY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46273</v>
      </c>
      <c r="E543" s="1" t="n">
        <v>46303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46272</v>
      </c>
      <c r="E544" s="1" t="n">
        <v>46303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31575-2023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46303</v>
      </c>
      <c r="F545" t="inlineStr">
        <is>
          <t>UPPSALA LÄN</t>
        </is>
      </c>
      <c r="G545" t="inlineStr">
        <is>
          <t>HEBY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46237</v>
      </c>
      <c r="E546" s="1" t="n">
        <v>46303</v>
      </c>
      <c r="F546" t="inlineStr">
        <is>
          <t>UPPSALA LÄN</t>
        </is>
      </c>
      <c r="G546" t="inlineStr">
        <is>
          <t>HEBY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38039-2026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46280</v>
      </c>
      <c r="E547" s="1" t="n">
        <v>46303</v>
      </c>
      <c r="F547" t="inlineStr">
        <is>
          <t>UPPSALA LÄN</t>
        </is>
      </c>
      <c r="G547" t="inlineStr">
        <is>
          <t>HEBY</t>
        </is>
      </c>
      <c r="H547" t="inlineStr">
        <is>
          <t>Sveaskog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46280</v>
      </c>
      <c r="E548" s="1" t="n">
        <v>46303</v>
      </c>
      <c r="F548" t="inlineStr">
        <is>
          <t>UPPSALA LÄN</t>
        </is>
      </c>
      <c r="G548" t="inlineStr">
        <is>
          <t>HEBY</t>
        </is>
      </c>
      <c r="H548" t="inlineStr">
        <is>
          <t>Sveaskog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38038-2026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46280</v>
      </c>
      <c r="E549" s="1" t="n">
        <v>46303</v>
      </c>
      <c r="F549" t="inlineStr">
        <is>
          <t>UPPSALA LÄN</t>
        </is>
      </c>
      <c r="G549" t="inlineStr">
        <is>
          <t>HEBY</t>
        </is>
      </c>
      <c r="H549" t="inlineStr">
        <is>
          <t>Sveaskog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46237</v>
      </c>
      <c r="E550" s="1" t="n">
        <v>46303</v>
      </c>
      <c r="F550" t="inlineStr">
        <is>
          <t>UPPSALA LÄN</t>
        </is>
      </c>
      <c r="G550" t="inlineStr">
        <is>
          <t>HEBY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46237</v>
      </c>
      <c r="E551" s="1" t="n">
        <v>46303</v>
      </c>
      <c r="F551" t="inlineStr">
        <is>
          <t>UPPSALA LÄN</t>
        </is>
      </c>
      <c r="G551" t="inlineStr">
        <is>
          <t>HEBY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46279</v>
      </c>
      <c r="E552" s="1" t="n">
        <v>46303</v>
      </c>
      <c r="F552" t="inlineStr">
        <is>
          <t>UPPSALA LÄN</t>
        </is>
      </c>
      <c r="G552" t="inlineStr">
        <is>
          <t>HEBY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46278</v>
      </c>
      <c r="E553" s="1" t="n">
        <v>46303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46279</v>
      </c>
      <c r="E554" s="1" t="n">
        <v>46303</v>
      </c>
      <c r="F554" t="inlineStr">
        <is>
          <t>UPPSALA LÄN</t>
        </is>
      </c>
      <c r="G554" t="inlineStr">
        <is>
          <t>HEBY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38260-2026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46281</v>
      </c>
      <c r="E555" s="1" t="n">
        <v>46303</v>
      </c>
      <c r="F555" t="inlineStr">
        <is>
          <t>UPPSALA LÄN</t>
        </is>
      </c>
      <c r="G555" t="inlineStr">
        <is>
          <t>HEBY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32417-2026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46238</v>
      </c>
      <c r="E556" s="1" t="n">
        <v>46303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46238</v>
      </c>
      <c r="E557" s="1" t="n">
        <v>46303</v>
      </c>
      <c r="F557" t="inlineStr">
        <is>
          <t>UPPSALA LÄN</t>
        </is>
      </c>
      <c r="G557" t="inlineStr">
        <is>
          <t>HEBY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17239-2026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46119</v>
      </c>
      <c r="E558" s="1" t="n">
        <v>46303</v>
      </c>
      <c r="F558" t="inlineStr">
        <is>
          <t>UPPSALA LÄN</t>
        </is>
      </c>
      <c r="G558" t="inlineStr">
        <is>
          <t>HEBY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38818-2026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46286</v>
      </c>
      <c r="E559" s="1" t="n">
        <v>46303</v>
      </c>
      <c r="F559" t="inlineStr">
        <is>
          <t>UPPSALA LÄN</t>
        </is>
      </c>
      <c r="G559" t="inlineStr">
        <is>
          <t>HEBY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46281</v>
      </c>
      <c r="E560" s="1" t="n">
        <v>46303</v>
      </c>
      <c r="F560" t="inlineStr">
        <is>
          <t>UPPSALA LÄN</t>
        </is>
      </c>
      <c r="G560" t="inlineStr">
        <is>
          <t>HEBY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39025-2026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46287</v>
      </c>
      <c r="E561" s="1" t="n">
        <v>46303</v>
      </c>
      <c r="F561" t="inlineStr">
        <is>
          <t>UPPSALA LÄN</t>
        </is>
      </c>
      <c r="G561" t="inlineStr">
        <is>
          <t>HEBY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39683-2026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46289</v>
      </c>
      <c r="E562" s="1" t="n">
        <v>46303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öst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39690-2026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46289</v>
      </c>
      <c r="E563" s="1" t="n">
        <v>46303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öst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39713-2026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46290</v>
      </c>
      <c r="E564" s="1" t="n">
        <v>46303</v>
      </c>
      <c r="F564" t="inlineStr">
        <is>
          <t>UPPSALA LÄN</t>
        </is>
      </c>
      <c r="G564" t="inlineStr">
        <is>
          <t>HEBY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46289</v>
      </c>
      <c r="E565" s="1" t="n">
        <v>46303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öst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39687-2026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46289</v>
      </c>
      <c r="E566" s="1" t="n">
        <v>46303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öst AB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39555-2026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46289</v>
      </c>
      <c r="E567" s="1" t="n">
        <v>46303</v>
      </c>
      <c r="F567" t="inlineStr">
        <is>
          <t>UPPSALA LÄN</t>
        </is>
      </c>
      <c r="G567" t="inlineStr">
        <is>
          <t>HEBY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39686-2026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46289</v>
      </c>
      <c r="E568" s="1" t="n">
        <v>46303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46289</v>
      </c>
      <c r="E569" s="1" t="n">
        <v>46303</v>
      </c>
      <c r="F569" t="inlineStr">
        <is>
          <t>UPPSALA LÄN</t>
        </is>
      </c>
      <c r="G569" t="inlineStr">
        <is>
          <t>HEBY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46303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46303</v>
      </c>
      <c r="F571" t="inlineStr">
        <is>
          <t>UPPSALA LÄN</t>
        </is>
      </c>
      <c r="G571" t="inlineStr">
        <is>
          <t>HEBY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40222-2026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46303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40743-2026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46296</v>
      </c>
      <c r="E573" s="1" t="n">
        <v>46303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öst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40742-2026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46296</v>
      </c>
      <c r="E574" s="1" t="n">
        <v>46303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öst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46303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öst AB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40610-2026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46295</v>
      </c>
      <c r="E576" s="1" t="n">
        <v>46303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46303</v>
      </c>
      <c r="F577" t="inlineStr">
        <is>
          <t>UPPSALA LÄN</t>
        </is>
      </c>
      <c r="G577" t="inlineStr">
        <is>
          <t>HEBY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40741-2026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46296</v>
      </c>
      <c r="E578" s="1" t="n">
        <v>46303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33943-2026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46252</v>
      </c>
      <c r="E579" s="1" t="n">
        <v>46303</v>
      </c>
      <c r="F579" t="inlineStr">
        <is>
          <t>UPPSALA LÄN</t>
        </is>
      </c>
      <c r="G579" t="inlineStr">
        <is>
          <t>HEBY</t>
        </is>
      </c>
      <c r="H579" t="inlineStr">
        <is>
          <t>Kyrkan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34281-2026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46253</v>
      </c>
      <c r="E580" s="1" t="n">
        <v>46303</v>
      </c>
      <c r="F580" t="inlineStr">
        <is>
          <t>UPPSALA LÄN</t>
        </is>
      </c>
      <c r="G580" t="inlineStr">
        <is>
          <t>HEBY</t>
        </is>
      </c>
      <c r="H580" t="inlineStr">
        <is>
          <t>Allmännings- och besparingsskogar</t>
        </is>
      </c>
      <c r="I580" t="n">
        <v>10.4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34334-2026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46254</v>
      </c>
      <c r="E581" s="1" t="n">
        <v>46303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40651-2026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46296</v>
      </c>
      <c r="E582" s="1" t="n">
        <v>46303</v>
      </c>
      <c r="F582" t="inlineStr">
        <is>
          <t>UPPSALA LÄN</t>
        </is>
      </c>
      <c r="G582" t="inlineStr">
        <is>
          <t>HEBY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46303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46303</v>
      </c>
      <c r="F584" t="inlineStr">
        <is>
          <t>UPPSALA LÄN</t>
        </is>
      </c>
      <c r="G584" t="inlineStr">
        <is>
          <t>HEBY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46303</v>
      </c>
      <c r="F585" t="inlineStr">
        <is>
          <t>UPPSALA LÄN</t>
        </is>
      </c>
      <c r="G585" t="inlineStr">
        <is>
          <t>HEBY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46303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46303</v>
      </c>
      <c r="F587" t="inlineStr">
        <is>
          <t>UPPSALA LÄN</t>
        </is>
      </c>
      <c r="G587" t="inlineStr">
        <is>
          <t>HEBY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46303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46303</v>
      </c>
      <c r="F589" t="inlineStr">
        <is>
          <t>UPPSALA LÄN</t>
        </is>
      </c>
      <c r="G589" t="inlineStr">
        <is>
          <t>HEBY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45317</v>
      </c>
      <c r="E590" s="1" t="n">
        <v>46303</v>
      </c>
      <c r="F590" t="inlineStr">
        <is>
          <t>UPPSALA LÄN</t>
        </is>
      </c>
      <c r="G590" t="inlineStr">
        <is>
          <t>HEBY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41312-2026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46300</v>
      </c>
      <c r="E591" s="1" t="n">
        <v>46303</v>
      </c>
      <c r="F591" t="inlineStr">
        <is>
          <t>UPPSALA LÄN</t>
        </is>
      </c>
      <c r="G591" t="inlineStr">
        <is>
          <t>HEBY</t>
        </is>
      </c>
      <c r="I591" t="n">
        <v>17.5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46303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45786</v>
      </c>
      <c r="E593" s="1" t="n">
        <v>46303</v>
      </c>
      <c r="F593" t="inlineStr">
        <is>
          <t>UPPSALA LÄN</t>
        </is>
      </c>
      <c r="G593" t="inlineStr">
        <is>
          <t>HEBY</t>
        </is>
      </c>
      <c r="H593" t="inlineStr">
        <is>
          <t>Kyrkan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37975-2026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46280</v>
      </c>
      <c r="E594" s="1" t="n">
        <v>46303</v>
      </c>
      <c r="F594" t="inlineStr">
        <is>
          <t>UPPSALA LÄN</t>
        </is>
      </c>
      <c r="G594" t="inlineStr">
        <is>
          <t>HEBY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46303</v>
      </c>
      <c r="F595" t="inlineStr">
        <is>
          <t>UPPSALA LÄN</t>
        </is>
      </c>
      <c r="G595" t="inlineStr">
        <is>
          <t>HEBY</t>
        </is>
      </c>
      <c r="H595" t="inlineStr">
        <is>
          <t>Kyrkan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46303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46255</v>
      </c>
      <c r="E597" s="1" t="n">
        <v>46303</v>
      </c>
      <c r="F597" t="inlineStr">
        <is>
          <t>UPPSALA LÄN</t>
        </is>
      </c>
      <c r="G597" t="inlineStr">
        <is>
          <t>HEBY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40994-2026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46297</v>
      </c>
      <c r="E598" s="1" t="n">
        <v>46303</v>
      </c>
      <c r="F598" t="inlineStr">
        <is>
          <t>UPPSALA LÄN</t>
        </is>
      </c>
      <c r="G598" t="inlineStr">
        <is>
          <t>HEBY</t>
        </is>
      </c>
      <c r="I598" t="n">
        <v>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41344-2026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46301</v>
      </c>
      <c r="E599" s="1" t="n">
        <v>46303</v>
      </c>
      <c r="F599" t="inlineStr">
        <is>
          <t>UPPSALA LÄN</t>
        </is>
      </c>
      <c r="G599" t="inlineStr">
        <is>
          <t>HEBY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46301</v>
      </c>
      <c r="E600" s="1" t="n">
        <v>46303</v>
      </c>
      <c r="F600" t="inlineStr">
        <is>
          <t>UPPSALA LÄN</t>
        </is>
      </c>
      <c r="G600" t="inlineStr">
        <is>
          <t>HEBY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41607-2026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46302</v>
      </c>
      <c r="E601" s="1" t="n">
        <v>46303</v>
      </c>
      <c r="F601" t="inlineStr">
        <is>
          <t>UPPSALA LÄN</t>
        </is>
      </c>
      <c r="G601" t="inlineStr">
        <is>
          <t>HEBY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41331-2026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46301</v>
      </c>
      <c r="E602" s="1" t="n">
        <v>46303</v>
      </c>
      <c r="F602" t="inlineStr">
        <is>
          <t>UPPSALA LÄN</t>
        </is>
      </c>
      <c r="G602" t="inlineStr">
        <is>
          <t>HEBY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34727-2026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46258</v>
      </c>
      <c r="E603" s="1" t="n">
        <v>46303</v>
      </c>
      <c r="F603" t="inlineStr">
        <is>
          <t>UPPSALA LÄN</t>
        </is>
      </c>
      <c r="G603" t="inlineStr">
        <is>
          <t>HEBY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34696-2026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46258</v>
      </c>
      <c r="E604" s="1" t="n">
        <v>46303</v>
      </c>
      <c r="F604" t="inlineStr">
        <is>
          <t>UPPSALA LÄN</t>
        </is>
      </c>
      <c r="G604" t="inlineStr">
        <is>
          <t>HEBY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40491-2026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46295</v>
      </c>
      <c r="E605" s="1" t="n">
        <v>46303</v>
      </c>
      <c r="F605" t="inlineStr">
        <is>
          <t>UPPSALA LÄN</t>
        </is>
      </c>
      <c r="G605" t="inlineStr">
        <is>
          <t>HEBY</t>
        </is>
      </c>
      <c r="H605" t="inlineStr">
        <is>
          <t>Allmännings- och besparingsskogar</t>
        </is>
      </c>
      <c r="I605" t="n">
        <v>10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41639-2026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46302</v>
      </c>
      <c r="E606" s="1" t="n">
        <v>46303</v>
      </c>
      <c r="F606" t="inlineStr">
        <is>
          <t>UPPSALA LÄN</t>
        </is>
      </c>
      <c r="G606" t="inlineStr">
        <is>
          <t>HEBY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34775-2026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46258</v>
      </c>
      <c r="E607" s="1" t="n">
        <v>46303</v>
      </c>
      <c r="F607" t="inlineStr">
        <is>
          <t>UPPSALA LÄN</t>
        </is>
      </c>
      <c r="G607" t="inlineStr">
        <is>
          <t>HEBY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41573-2026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46301</v>
      </c>
      <c r="E608" s="1" t="n">
        <v>46303</v>
      </c>
      <c r="F608" t="inlineStr">
        <is>
          <t>UPPSALA LÄN</t>
        </is>
      </c>
      <c r="G608" t="inlineStr">
        <is>
          <t>HEBY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46302</v>
      </c>
      <c r="E609" s="1" t="n">
        <v>46303</v>
      </c>
      <c r="F609" t="inlineStr">
        <is>
          <t>UPPSALA LÄN</t>
        </is>
      </c>
      <c r="G609" t="inlineStr">
        <is>
          <t>HEBY</t>
        </is>
      </c>
      <c r="I609" t="n">
        <v>11.9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41599-2026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46303</v>
      </c>
      <c r="F610" t="inlineStr">
        <is>
          <t>UPPSALA LÄN</t>
        </is>
      </c>
      <c r="G610" t="inlineStr">
        <is>
          <t>HEBY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1334-2022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44629</v>
      </c>
      <c r="E611" s="1" t="n">
        <v>46303</v>
      </c>
      <c r="F611" t="inlineStr">
        <is>
          <t>UPPSALA LÄN</t>
        </is>
      </c>
      <c r="G611" t="inlineStr">
        <is>
          <t>HEBY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10324-2021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44546</v>
      </c>
      <c r="E612" s="1" t="n">
        <v>46303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517-2022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44588</v>
      </c>
      <c r="E613" s="1" t="n">
        <v>46303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öst AB</t>
        </is>
      </c>
      <c r="I613" t="n">
        <v>30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2310-2022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44684</v>
      </c>
      <c r="E614" s="1" t="n">
        <v>46303</v>
      </c>
      <c r="F614" t="inlineStr">
        <is>
          <t>UPPSALA LÄN</t>
        </is>
      </c>
      <c r="G614" t="inlineStr">
        <is>
          <t>HEBY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1330-2022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44629</v>
      </c>
      <c r="E615" s="1" t="n">
        <v>46303</v>
      </c>
      <c r="F615" t="inlineStr">
        <is>
          <t>UPPSALA LÄN</t>
        </is>
      </c>
      <c r="G615" t="inlineStr">
        <is>
          <t>HEBY</t>
        </is>
      </c>
      <c r="I615" t="n">
        <v>25.1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  <c r="Z615">
        <f>HYPERLINK("https://klasma.github.io/Logging_0331/knärot/S 1330-2022 karta knärot.png", "S 1330-2022")</f>
        <v/>
      </c>
      <c r="AA615">
        <f>HYPERLINK("https://klasma.github.io/Logging_0331/klagomål/S 1330-2022 FSC-klagomål.docx", "S 1330-2022")</f>
        <v/>
      </c>
      <c r="AB615">
        <f>HYPERLINK("https://klasma.github.io/Logging_0331/klagomålsmail/S 1330-2022 FSC-klagomål mail.docx", "S 1330-2022")</f>
        <v/>
      </c>
      <c r="AC615">
        <f>HYPERLINK("https://klasma.github.io/Logging_0331/tillsyn/S 1330-2022 tillsynsbegäran.docx", "S 1330-2022")</f>
        <v/>
      </c>
      <c r="AD615">
        <f>HYPERLINK("https://klasma.github.io/Logging_0331/tillsynsmail/S 1330-2022 tillsynsbegäran mail.docx", "S 1330-2022")</f>
        <v/>
      </c>
    </row>
    <row r="616" ht="15" customHeight="1">
      <c r="A616" t="inlineStr">
        <is>
          <t>S 3256-2023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45191</v>
      </c>
      <c r="E616" s="1" t="n">
        <v>46303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väst AB</t>
        </is>
      </c>
      <c r="I616" t="n">
        <v>20.9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4466-2022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44788</v>
      </c>
      <c r="E617" s="1" t="n">
        <v>46303</v>
      </c>
      <c r="F617" t="inlineStr">
        <is>
          <t>UPPSALA LÄN</t>
        </is>
      </c>
      <c r="G617" t="inlineStr">
        <is>
          <t>HEBY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4423-2024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45590</v>
      </c>
      <c r="E618" s="1" t="n">
        <v>46303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väst AB</t>
        </is>
      </c>
      <c r="I618" t="n">
        <v>47.6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1385-2024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45411</v>
      </c>
      <c r="E619" s="1" t="n">
        <v>46303</v>
      </c>
      <c r="F619" t="inlineStr">
        <is>
          <t>UPPSALA LÄN</t>
        </is>
      </c>
      <c r="G619" t="inlineStr">
        <is>
          <t>HEBY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2797-2024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46303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398-2025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45699</v>
      </c>
      <c r="E621" s="1" t="n">
        <v>46303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öst AB</t>
        </is>
      </c>
      <c r="I621" t="n">
        <v>23.3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1386-2024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45411</v>
      </c>
      <c r="E622" s="1" t="n">
        <v>46303</v>
      </c>
      <c r="F622" t="inlineStr">
        <is>
          <t>UPPSALA LÄN</t>
        </is>
      </c>
      <c r="G622" t="inlineStr">
        <is>
          <t>HEBY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4464-2022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44788</v>
      </c>
      <c r="E623" s="1" t="n">
        <v>46303</v>
      </c>
      <c r="F623" t="inlineStr">
        <is>
          <t>UPPSALA LÄN</t>
        </is>
      </c>
      <c r="G623" t="inlineStr">
        <is>
          <t>HEBY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3301-2025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45987</v>
      </c>
      <c r="E624" s="1" t="n">
        <v>46303</v>
      </c>
      <c r="F624" t="inlineStr">
        <is>
          <t>UPPSALA LÄN</t>
        </is>
      </c>
      <c r="G624" t="inlineStr">
        <is>
          <t>HEBY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3478-2025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46000</v>
      </c>
      <c r="E625" s="1" t="n">
        <v>46303</v>
      </c>
      <c r="F625" t="inlineStr">
        <is>
          <t>UPPSALA LÄN</t>
        </is>
      </c>
      <c r="G625" t="inlineStr">
        <is>
          <t>HEBY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598-2026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46085</v>
      </c>
      <c r="E626" s="1" t="n">
        <v>46303</v>
      </c>
      <c r="F626" t="inlineStr">
        <is>
          <t>UPPSALA LÄN</t>
        </is>
      </c>
      <c r="G626" t="inlineStr">
        <is>
          <t>HEBY</t>
        </is>
      </c>
      <c r="H626" t="inlineStr">
        <is>
          <t>Bergvik skog väst AB</t>
        </is>
      </c>
      <c r="I626" t="n">
        <v>43.4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1818-2026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46190</v>
      </c>
      <c r="E627" s="1" t="n">
        <v>46303</v>
      </c>
      <c r="F627" t="inlineStr">
        <is>
          <t>UPPSALA LÄN</t>
        </is>
      </c>
      <c r="G627" t="inlineStr">
        <is>
          <t>HEBY</t>
        </is>
      </c>
      <c r="H627" t="inlineStr">
        <is>
          <t>Kommuner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2346-2026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46273</v>
      </c>
      <c r="E628" s="1" t="n">
        <v>46303</v>
      </c>
      <c r="F628" t="inlineStr">
        <is>
          <t>UPPSALA LÄN</t>
        </is>
      </c>
      <c r="G628" t="inlineStr">
        <is>
          <t>HEBY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2026-10-08T02:02:38Z</dcterms:created>
  <dcterms:modified xmlns:dcterms="http://purl.org/dc/terms/" xmlns:xsi="http://www.w3.org/2001/XMLSchema-instance" xsi:type="dcterms:W3CDTF">2026-10-08T02:02:39Z</dcterms:modified>
</cp:coreProperties>
</file>
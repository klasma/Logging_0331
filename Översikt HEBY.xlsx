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46225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46225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46225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46225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46225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46225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46225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46225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46225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46225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46225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46225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46225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46225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46225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46225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46225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46225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46225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46225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46225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46225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46225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46225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46225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46225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46225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46225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46225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46225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54350-2025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46225</v>
      </c>
      <c r="F37" t="inlineStr">
        <is>
          <t>UPPSALA LÄN</t>
        </is>
      </c>
      <c r="G37" t="inlineStr">
        <is>
          <t>HEBY</t>
        </is>
      </c>
      <c r="I37" t="n">
        <v>2.1</v>
      </c>
      <c r="J37" t="n">
        <v>2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23</v>
      </c>
      <c r="U37" t="n">
        <v>22</v>
      </c>
      <c r="V37" s="2" t="inlineStr">
        <is>
          <t>Knärot
Gropticka
Spillkråka</t>
        </is>
      </c>
      <c r="W37">
        <f>HYPERLINK("https://klasma.github.io/Logging_0331/artfynd/A 54350-2025 artfynd.xlsx", "A 54350-2025")</f>
        <v/>
      </c>
      <c r="X37">
        <f>HYPERLINK("https://klasma.github.io/Logging_0331/kartor/A 54350-2025 karta.png", "A 54350-2025")</f>
        <v/>
      </c>
      <c r="Y37">
        <f>HYPERLINK("https://klasma.github.io/Logging_0331/kartor_geotiff/A 54350-2025 georefererad karta.tif", "A 54350-2025")</f>
        <v/>
      </c>
      <c r="Z37">
        <f>HYPERLINK("https://klasma.github.io/Logging_0331/knärot/A 54350-2025 karta knärot.png", "A 54350-2025")</f>
        <v/>
      </c>
      <c r="AA37">
        <f>HYPERLINK("https://klasma.github.io/Logging_0331/klagomål/A 54350-2025 FSC-klagomål.docx", "A 54350-2025")</f>
        <v/>
      </c>
      <c r="AB37">
        <f>HYPERLINK("https://klasma.github.io/Logging_0331/klagomålsmail/A 54350-2025 FSC-klagomål mail.docx", "A 54350-2025")</f>
        <v/>
      </c>
      <c r="AC37">
        <f>HYPERLINK("https://klasma.github.io/Logging_0331/tillsyn/A 54350-2025 tillsynsbegäran.docx", "A 54350-2025")</f>
        <v/>
      </c>
      <c r="AD37">
        <f>HYPERLINK("https://klasma.github.io/Logging_0331/tillsynsmail/A 54350-2025 tillsynsbegäran mail.docx", "A 54350-2025")</f>
        <v/>
      </c>
      <c r="AE37">
        <f>HYPERLINK("https://klasma.github.io/Logging_0331/fåglar/A 54350-2025 prioriterade fågelarter.docx", "A 54350-2025")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46225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46225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46225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46225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46225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46225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46225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46225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46225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46225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40662-2023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46225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5.7</v>
      </c>
      <c r="J48" t="n">
        <v>2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Knärot
Fläcknycklar</t>
        </is>
      </c>
      <c r="W48">
        <f>HYPERLINK("https://klasma.github.io/Logging_0331/artfynd/A 40662-2023 artfynd.xlsx", "A 40662-2023")</f>
        <v/>
      </c>
      <c r="X48">
        <f>HYPERLINK("https://klasma.github.io/Logging_0331/kartor/A 40662-2023 karta.png", "A 40662-2023")</f>
        <v/>
      </c>
      <c r="Y48">
        <f>HYPERLINK("https://klasma.github.io/Logging_0331/kartor_geotiff/A 40662-2023 georefererad karta.tif", "A 40662-2023")</f>
        <v/>
      </c>
      <c r="Z48">
        <f>HYPERLINK("https://klasma.github.io/Logging_0331/knärot/A 40662-2023 karta knärot.png", "A 40662-2023")</f>
        <v/>
      </c>
      <c r="AA48">
        <f>HYPERLINK("https://klasma.github.io/Logging_0331/klagomål/A 40662-2023 FSC-klagomål.docx", "A 40662-2023")</f>
        <v/>
      </c>
      <c r="AB48">
        <f>HYPERLINK("https://klasma.github.io/Logging_0331/klagomålsmail/A 40662-2023 FSC-klagomål mail.docx", "A 40662-2023")</f>
        <v/>
      </c>
      <c r="AC48">
        <f>HYPERLINK("https://klasma.github.io/Logging_0331/tillsyn/A 40662-2023 tillsynsbegäran.docx", "A 40662-2023")</f>
        <v/>
      </c>
      <c r="AD48">
        <f>HYPERLINK("https://klasma.github.io/Logging_0331/tillsynsmail/A 40662-2023 tillsynsbegäran mail.docx", "A 40662-2023")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46225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46225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46225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46225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46225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46225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46225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46225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46225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46225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46225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46225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9455-2026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46225</v>
      </c>
      <c r="F61" t="inlineStr">
        <is>
          <t>UPPSALA LÄN</t>
        </is>
      </c>
      <c r="G61" t="inlineStr">
        <is>
          <t>HEBY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Kungsspindling</t>
        </is>
      </c>
      <c r="W61">
        <f>HYPERLINK("https://klasma.github.io/Logging_0331/artfynd/A 9455-2026 artfynd.xlsx", "A 9455-2026")</f>
        <v/>
      </c>
      <c r="X61">
        <f>HYPERLINK("https://klasma.github.io/Logging_0331/kartor/A 9455-2026 karta.png", "A 9455-2026")</f>
        <v/>
      </c>
      <c r="Y61">
        <f>HYPERLINK("https://klasma.github.io/Logging_0331/kartor_geotiff/A 9455-2026 georefererad karta.tif", "A 9455-2026")</f>
        <v/>
      </c>
      <c r="AA61">
        <f>HYPERLINK("https://klasma.github.io/Logging_0331/klagomål/A 9455-2026 FSC-klagomål.docx", "A 9455-2026")</f>
        <v/>
      </c>
      <c r="AB61">
        <f>HYPERLINK("https://klasma.github.io/Logging_0331/klagomålsmail/A 9455-2026 FSC-klagomål mail.docx", "A 9455-2026")</f>
        <v/>
      </c>
      <c r="AC61">
        <f>HYPERLINK("https://klasma.github.io/Logging_0331/tillsyn/A 9455-2026 tillsynsbegäran.docx", "A 9455-2026")</f>
        <v/>
      </c>
      <c r="AD61">
        <f>HYPERLINK("https://klasma.github.io/Logging_0331/tillsynsmail/A 9455-2026 tillsynsbegäran mail.docx", "A 9455-2026")</f>
        <v/>
      </c>
    </row>
    <row r="62" ht="15" customHeight="1">
      <c r="A62" t="inlineStr">
        <is>
          <t>A 11560-2026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46225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11560-2026 artfynd.xlsx", "A 11560-2026")</f>
        <v/>
      </c>
      <c r="X62">
        <f>HYPERLINK("https://klasma.github.io/Logging_0331/kartor/A 11560-2026 karta.png", "A 11560-2026")</f>
        <v/>
      </c>
      <c r="Y62">
        <f>HYPERLINK("https://klasma.github.io/Logging_0331/kartor_geotiff/A 11560-2026 georefererad karta.tif", "A 11560-2026")</f>
        <v/>
      </c>
      <c r="AA62">
        <f>HYPERLINK("https://klasma.github.io/Logging_0331/klagomål/A 11560-2026 FSC-klagomål.docx", "A 11560-2026")</f>
        <v/>
      </c>
      <c r="AB62">
        <f>HYPERLINK("https://klasma.github.io/Logging_0331/klagomålsmail/A 11560-2026 FSC-klagomål mail.docx", "A 11560-2026")</f>
        <v/>
      </c>
      <c r="AC62">
        <f>HYPERLINK("https://klasma.github.io/Logging_0331/tillsyn/A 11560-2026 tillsynsbegäran.docx", "A 11560-2026")</f>
        <v/>
      </c>
      <c r="AD62">
        <f>HYPERLINK("https://klasma.github.io/Logging_0331/tillsynsmail/A 11560-2026 tillsynsbegäran mail.docx", "A 11560-2026")</f>
        <v/>
      </c>
    </row>
    <row r="63" ht="15" customHeight="1">
      <c r="A63" t="inlineStr">
        <is>
          <t>A 11841-2026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46225</v>
      </c>
      <c r="F63" t="inlineStr">
        <is>
          <t>UPPSALA LÄN</t>
        </is>
      </c>
      <c r="G63" t="inlineStr">
        <is>
          <t>HEBY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Stor aspticka</t>
        </is>
      </c>
      <c r="W63">
        <f>HYPERLINK("https://klasma.github.io/Logging_0331/artfynd/A 11841-2026 artfynd.xlsx", "A 11841-2026")</f>
        <v/>
      </c>
      <c r="X63">
        <f>HYPERLINK("https://klasma.github.io/Logging_0331/kartor/A 11841-2026 karta.png", "A 11841-2026")</f>
        <v/>
      </c>
      <c r="Y63">
        <f>HYPERLINK("https://klasma.github.io/Logging_0331/kartor_geotiff/A 11841-2026 georefererad karta.tif", "A 11841-2026")</f>
        <v/>
      </c>
      <c r="AA63">
        <f>HYPERLINK("https://klasma.github.io/Logging_0331/klagomål/A 11841-2026 FSC-klagomål.docx", "A 11841-2026")</f>
        <v/>
      </c>
      <c r="AB63">
        <f>HYPERLINK("https://klasma.github.io/Logging_0331/klagomålsmail/A 11841-2026 FSC-klagomål mail.docx", "A 11841-2026")</f>
        <v/>
      </c>
      <c r="AC63">
        <f>HYPERLINK("https://klasma.github.io/Logging_0331/tillsyn/A 11841-2026 tillsynsbegäran.docx", "A 11841-2026")</f>
        <v/>
      </c>
      <c r="AD63">
        <f>HYPERLINK("https://klasma.github.io/Logging_0331/tillsynsmail/A 11841-2026 tillsynsbegäran mail.docx", "A 11841-2026")</f>
        <v/>
      </c>
    </row>
    <row r="64" ht="15" customHeight="1">
      <c r="A64" t="inlineStr">
        <is>
          <t>A 38417-2025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46225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8.300000000000001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HYPERLINK("https://klasma.github.io/Logging_0331/artfynd/A 38417-2025 artfynd.xlsx", "A 38417-2025")</f>
        <v/>
      </c>
      <c r="X64">
        <f>HYPERLINK("https://klasma.github.io/Logging_0331/kartor/A 38417-2025 karta.png", "A 38417-2025")</f>
        <v/>
      </c>
      <c r="Y64">
        <f>HYPERLINK("https://klasma.github.io/Logging_0331/kartor_geotiff/A 38417-2025 georefererad karta.tif", "A 38417-2025")</f>
        <v/>
      </c>
      <c r="Z64">
        <f>HYPERLINK("https://klasma.github.io/Logging_0331/knärot/A 38417-2025 karta knärot.png", "A 38417-2025")</f>
        <v/>
      </c>
      <c r="AA64">
        <f>HYPERLINK("https://klasma.github.io/Logging_0331/klagomål/A 38417-2025 FSC-klagomål.docx", "A 38417-2025")</f>
        <v/>
      </c>
      <c r="AB64">
        <f>HYPERLINK("https://klasma.github.io/Logging_0331/klagomålsmail/A 38417-2025 FSC-klagomål mail.docx", "A 38417-2025")</f>
        <v/>
      </c>
      <c r="AC64">
        <f>HYPERLINK("https://klasma.github.io/Logging_0331/tillsyn/A 38417-2025 tillsynsbegäran.docx", "A 38417-2025")</f>
        <v/>
      </c>
      <c r="AD64">
        <f>HYPERLINK("https://klasma.github.io/Logging_0331/tillsynsmail/A 38417-2025 tillsynsbegäran mail.docx", "A 38417-2025")</f>
        <v/>
      </c>
    </row>
    <row r="65" ht="15" customHeight="1">
      <c r="A65" t="inlineStr">
        <is>
          <t>A 9618-2026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46225</v>
      </c>
      <c r="F65" t="inlineStr">
        <is>
          <t>UPPSALA LÄN</t>
        </is>
      </c>
      <c r="G65" t="inlineStr">
        <is>
          <t>HEBY</t>
        </is>
      </c>
      <c r="I65" t="n">
        <v>2.3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Vedtrappmossa</t>
        </is>
      </c>
      <c r="W65">
        <f>HYPERLINK("https://klasma.github.io/Logging_0331/artfynd/A 9618-2026 artfynd.xlsx", "A 9618-2026")</f>
        <v/>
      </c>
      <c r="X65">
        <f>HYPERLINK("https://klasma.github.io/Logging_0331/kartor/A 9618-2026 karta.png", "A 9618-2026")</f>
        <v/>
      </c>
      <c r="Y65">
        <f>HYPERLINK("https://klasma.github.io/Logging_0331/kartor_geotiff/A 9618-2026 georefererad karta.tif", "A 9618-2026")</f>
        <v/>
      </c>
      <c r="AA65">
        <f>HYPERLINK("https://klasma.github.io/Logging_0331/klagomål/A 9618-2026 FSC-klagomål.docx", "A 9618-2026")</f>
        <v/>
      </c>
      <c r="AB65">
        <f>HYPERLINK("https://klasma.github.io/Logging_0331/klagomålsmail/A 9618-2026 FSC-klagomål mail.docx", "A 9618-2026")</f>
        <v/>
      </c>
      <c r="AC65">
        <f>HYPERLINK("https://klasma.github.io/Logging_0331/tillsyn/A 9618-2026 tillsynsbegäran.docx", "A 9618-2026")</f>
        <v/>
      </c>
      <c r="AD65">
        <f>HYPERLINK("https://klasma.github.io/Logging_0331/tillsynsmail/A 9618-2026 tillsynsbegäran mail.docx", "A 9618-2026")</f>
        <v/>
      </c>
    </row>
    <row r="66" ht="15" customHeight="1">
      <c r="A66" t="inlineStr">
        <is>
          <t>A 55763-2025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45972</v>
      </c>
      <c r="E66" s="1" t="n">
        <v>46225</v>
      </c>
      <c r="F66" t="inlineStr">
        <is>
          <t>UPPSALA LÄN</t>
        </is>
      </c>
      <c r="G66" t="inlineStr">
        <is>
          <t>HEBY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Kandelabersvamp</t>
        </is>
      </c>
      <c r="W66">
        <f>HYPERLINK("https://klasma.github.io/Logging_0331/artfynd/A 55763-2025 artfynd.xlsx", "A 55763-2025")</f>
        <v/>
      </c>
      <c r="X66">
        <f>HYPERLINK("https://klasma.github.io/Logging_0331/kartor/A 55763-2025 karta.png", "A 55763-2025")</f>
        <v/>
      </c>
      <c r="Y66">
        <f>HYPERLINK("https://klasma.github.io/Logging_0331/kartor_geotiff/A 55763-2025 georefererad karta.tif", "A 55763-2025")</f>
        <v/>
      </c>
      <c r="AA66">
        <f>HYPERLINK("https://klasma.github.io/Logging_0331/klagomål/A 55763-2025 FSC-klagomål.docx", "A 55763-2025")</f>
        <v/>
      </c>
      <c r="AB66">
        <f>HYPERLINK("https://klasma.github.io/Logging_0331/klagomålsmail/A 55763-2025 FSC-klagomål mail.docx", "A 55763-2025")</f>
        <v/>
      </c>
      <c r="AC66">
        <f>HYPERLINK("https://klasma.github.io/Logging_0331/tillsyn/A 55763-2025 tillsynsbegäran.docx", "A 55763-2025")</f>
        <v/>
      </c>
      <c r="AD66">
        <f>HYPERLINK("https://klasma.github.io/Logging_0331/tillsynsmail/A 55763-2025 tillsynsbegäran mail.docx", "A 55763-2025")</f>
        <v/>
      </c>
    </row>
    <row r="67" ht="15" customHeight="1">
      <c r="A67" t="inlineStr">
        <is>
          <t>A 11011-2025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46225</v>
      </c>
      <c r="F67" t="inlineStr">
        <is>
          <t>UPPSALA LÄN</t>
        </is>
      </c>
      <c r="G67" t="inlineStr">
        <is>
          <t>HEBY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Motaggsvamp</t>
        </is>
      </c>
      <c r="W67">
        <f>HYPERLINK("https://klasma.github.io/Logging_0331/artfynd/A 11011-2025 artfynd.xlsx", "A 11011-2025")</f>
        <v/>
      </c>
      <c r="X67">
        <f>HYPERLINK("https://klasma.github.io/Logging_0331/kartor/A 11011-2025 karta.png", "A 11011-2025")</f>
        <v/>
      </c>
      <c r="Y67">
        <f>HYPERLINK("https://klasma.github.io/Logging_0331/kartor_geotiff/A 11011-2025 georefererad karta.tif", "A 11011-2025")</f>
        <v/>
      </c>
      <c r="AA67">
        <f>HYPERLINK("https://klasma.github.io/Logging_0331/klagomål/A 11011-2025 FSC-klagomål.docx", "A 11011-2025")</f>
        <v/>
      </c>
      <c r="AB67">
        <f>HYPERLINK("https://klasma.github.io/Logging_0331/klagomålsmail/A 11011-2025 FSC-klagomål mail.docx", "A 11011-2025")</f>
        <v/>
      </c>
      <c r="AC67">
        <f>HYPERLINK("https://klasma.github.io/Logging_0331/tillsyn/A 11011-2025 tillsynsbegäran.docx", "A 11011-2025")</f>
        <v/>
      </c>
      <c r="AD67">
        <f>HYPERLINK("https://klasma.github.io/Logging_0331/tillsynsmail/A 11011-2025 tillsynsbegäran mail.docx", "A 11011-2025")</f>
        <v/>
      </c>
    </row>
    <row r="68" ht="15" customHeight="1">
      <c r="A68" t="inlineStr">
        <is>
          <t>A 20530-2026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46225</v>
      </c>
      <c r="F68" t="inlineStr">
        <is>
          <t>UPPSALA LÄN</t>
        </is>
      </c>
      <c r="G68" t="inlineStr">
        <is>
          <t>HEBY</t>
        </is>
      </c>
      <c r="I68" t="n">
        <v>5.3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Björksplintborre</t>
        </is>
      </c>
      <c r="W68">
        <f>HYPERLINK("https://klasma.github.io/Logging_0331/artfynd/A 20530-2026 artfynd.xlsx", "A 20530-2026")</f>
        <v/>
      </c>
      <c r="X68">
        <f>HYPERLINK("https://klasma.github.io/Logging_0331/kartor/A 20530-2026 karta.png", "A 20530-2026")</f>
        <v/>
      </c>
      <c r="Y68">
        <f>HYPERLINK("https://klasma.github.io/Logging_0331/kartor_geotiff/A 20530-2026 georefererad karta.tif", "A 20530-2026")</f>
        <v/>
      </c>
      <c r="AA68">
        <f>HYPERLINK("https://klasma.github.io/Logging_0331/klagomål/A 20530-2026 FSC-klagomål.docx", "A 20530-2026")</f>
        <v/>
      </c>
      <c r="AB68">
        <f>HYPERLINK("https://klasma.github.io/Logging_0331/klagomålsmail/A 20530-2026 FSC-klagomål mail.docx", "A 20530-2026")</f>
        <v/>
      </c>
      <c r="AC68">
        <f>HYPERLINK("https://klasma.github.io/Logging_0331/tillsyn/A 20530-2026 tillsynsbegäran.docx", "A 20530-2026")</f>
        <v/>
      </c>
      <c r="AD68">
        <f>HYPERLINK("https://klasma.github.io/Logging_0331/tillsynsmail/A 20530-2026 tillsynsbegäran mail.docx", "A 20530-2026")</f>
        <v/>
      </c>
    </row>
    <row r="69" ht="15" customHeight="1">
      <c r="A69" t="inlineStr">
        <is>
          <t>A 3374-2024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45317</v>
      </c>
      <c r="E69" s="1" t="n">
        <v>46225</v>
      </c>
      <c r="F69" t="inlineStr">
        <is>
          <t>UPPSALA LÄN</t>
        </is>
      </c>
      <c r="G69" t="inlineStr">
        <is>
          <t>HEBY</t>
        </is>
      </c>
      <c r="I69" t="n">
        <v>8.4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Berggräsfjäril</t>
        </is>
      </c>
      <c r="W69">
        <f>HYPERLINK("https://klasma.github.io/Logging_0331/artfynd/A 3374-2024 artfynd.xlsx", "A 3374-2024")</f>
        <v/>
      </c>
      <c r="X69">
        <f>HYPERLINK("https://klasma.github.io/Logging_0331/kartor/A 3374-2024 karta.png", "A 3374-2024")</f>
        <v/>
      </c>
      <c r="Y69">
        <f>HYPERLINK("https://klasma.github.io/Logging_0331/kartor_geotiff/A 3374-2024 georefererad karta.tif", "A 3374-2024")</f>
        <v/>
      </c>
      <c r="AA69">
        <f>HYPERLINK("https://klasma.github.io/Logging_0331/klagomål/A 3374-2024 FSC-klagomål.docx", "A 3374-2024")</f>
        <v/>
      </c>
      <c r="AB69">
        <f>HYPERLINK("https://klasma.github.io/Logging_0331/klagomålsmail/A 3374-2024 FSC-klagomål mail.docx", "A 3374-2024")</f>
        <v/>
      </c>
      <c r="AC69">
        <f>HYPERLINK("https://klasma.github.io/Logging_0331/tillsyn/A 3374-2024 tillsynsbegäran.docx", "A 3374-2024")</f>
        <v/>
      </c>
      <c r="AD69">
        <f>HYPERLINK("https://klasma.github.io/Logging_0331/tillsynsmail/A 3374-2024 tillsynsbegäran mail.docx", "A 3374-2024")</f>
        <v/>
      </c>
    </row>
    <row r="70" ht="15" customHeight="1">
      <c r="A70" t="inlineStr">
        <is>
          <t>A 21043-2026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46146</v>
      </c>
      <c r="E70" s="1" t="n">
        <v>46225</v>
      </c>
      <c r="F70" t="inlineStr">
        <is>
          <t>UPPSALA LÄN</t>
        </is>
      </c>
      <c r="G70" t="inlineStr">
        <is>
          <t>HEBY</t>
        </is>
      </c>
      <c r="I70" t="n">
        <v>1.3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Backklöver</t>
        </is>
      </c>
      <c r="W70">
        <f>HYPERLINK("https://klasma.github.io/Logging_0331/artfynd/A 21043-2026 artfynd.xlsx", "A 21043-2026")</f>
        <v/>
      </c>
      <c r="X70">
        <f>HYPERLINK("https://klasma.github.io/Logging_0331/kartor/A 21043-2026 karta.png", "A 21043-2026")</f>
        <v/>
      </c>
      <c r="Y70">
        <f>HYPERLINK("https://klasma.github.io/Logging_0331/kartor_geotiff/A 21043-2026 georefererad karta.tif", "A 21043-2026")</f>
        <v/>
      </c>
      <c r="AA70">
        <f>HYPERLINK("https://klasma.github.io/Logging_0331/klagomål/A 21043-2026 FSC-klagomål.docx", "A 21043-2026")</f>
        <v/>
      </c>
      <c r="AB70">
        <f>HYPERLINK("https://klasma.github.io/Logging_0331/klagomålsmail/A 21043-2026 FSC-klagomål mail.docx", "A 21043-2026")</f>
        <v/>
      </c>
      <c r="AC70">
        <f>HYPERLINK("https://klasma.github.io/Logging_0331/tillsyn/A 21043-2026 tillsynsbegäran.docx", "A 21043-2026")</f>
        <v/>
      </c>
      <c r="AD70">
        <f>HYPERLINK("https://klasma.github.io/Logging_0331/tillsynsmail/A 21043-2026 tillsynsbegäran mail.docx", "A 21043-2026")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46225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46225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46225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46225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46225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46225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Gullpudra</t>
        </is>
      </c>
      <c r="W76">
        <f>HYPERLINK("https://klasma.github.io/Logging_0331/artfynd/A 63940-2023 artfynd.xlsx", "A 63940-2023")</f>
        <v/>
      </c>
      <c r="X76">
        <f>HYPERLINK("https://klasma.github.io/Logging_0331/kartor/A 63940-2023 karta.png", "A 63940-2023")</f>
        <v/>
      </c>
      <c r="Y76">
        <f>HYPERLINK("https://klasma.github.io/Logging_0331/kartor_geotiff/A 63940-2023 georefererad karta.tif", "A 63940-2023")</f>
        <v/>
      </c>
      <c r="AA76">
        <f>HYPERLINK("https://klasma.github.io/Logging_0331/klagomål/A 63940-2023 FSC-klagomål.docx", "A 63940-2023")</f>
        <v/>
      </c>
      <c r="AB76">
        <f>HYPERLINK("https://klasma.github.io/Logging_0331/klagomålsmail/A 63940-2023 FSC-klagomål mail.docx", "A 63940-2023")</f>
        <v/>
      </c>
      <c r="AC76">
        <f>HYPERLINK("https://klasma.github.io/Logging_0331/tillsyn/A 63940-2023 tillsynsbegäran.docx", "A 63940-2023")</f>
        <v/>
      </c>
      <c r="AD76">
        <f>HYPERLINK("https://klasma.github.io/Logging_0331/tillsynsmail/A 63940-2023 tillsynsbegäran mail.docx", "A 63940-2023")</f>
        <v/>
      </c>
    </row>
    <row r="77" ht="15" customHeight="1">
      <c r="A77" t="inlineStr">
        <is>
          <t>A 19751-2023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46225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HYPERLINK("https://klasma.github.io/Logging_0331/artfynd/A 19751-2023 artfynd.xlsx", "A 19751-2023")</f>
        <v/>
      </c>
      <c r="X77">
        <f>HYPERLINK("https://klasma.github.io/Logging_0331/kartor/A 19751-2023 karta.png", "A 19751-2023")</f>
        <v/>
      </c>
      <c r="Y77">
        <f>HYPERLINK("https://klasma.github.io/Logging_0331/kartor_geotiff/A 19751-2023 georefererad karta.tif", "A 19751-2023")</f>
        <v/>
      </c>
      <c r="Z77">
        <f>HYPERLINK("https://klasma.github.io/Logging_0331/knärot/A 19751-2023 karta knärot.png", "A 19751-2023")</f>
        <v/>
      </c>
      <c r="AA77">
        <f>HYPERLINK("https://klasma.github.io/Logging_0331/klagomål/A 19751-2023 FSC-klagomål.docx", "A 19751-2023")</f>
        <v/>
      </c>
      <c r="AB77">
        <f>HYPERLINK("https://klasma.github.io/Logging_0331/klagomålsmail/A 19751-2023 FSC-klagomål mail.docx", "A 19751-2023")</f>
        <v/>
      </c>
      <c r="AC77">
        <f>HYPERLINK("https://klasma.github.io/Logging_0331/tillsyn/A 19751-2023 tillsynsbegäran.docx", "A 19751-2023")</f>
        <v/>
      </c>
      <c r="AD77">
        <f>HYPERLINK("https://klasma.github.io/Logging_0331/tillsynsmail/A 19751-2023 tillsynsbegäran mail.docx", "A 19751-2023")</f>
        <v/>
      </c>
    </row>
    <row r="78" ht="15" customHeight="1">
      <c r="A78" t="inlineStr">
        <is>
          <t>A 54368-2024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46225</v>
      </c>
      <c r="F78" t="inlineStr">
        <is>
          <t>UPPSALA LÄN</t>
        </is>
      </c>
      <c r="G78" t="inlineStr">
        <is>
          <t>HEBY</t>
        </is>
      </c>
      <c r="H78" t="inlineStr">
        <is>
          <t>Allmännings- och besparingsskogar</t>
        </is>
      </c>
      <c r="I78" t="n">
        <v>13.9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Talltita</t>
        </is>
      </c>
      <c r="W78">
        <f>HYPERLINK("https://klasma.github.io/Logging_0331/artfynd/A 54368-2024 artfynd.xlsx", "A 54368-2024")</f>
        <v/>
      </c>
      <c r="X78">
        <f>HYPERLINK("https://klasma.github.io/Logging_0331/kartor/A 54368-2024 karta.png", "A 54368-2024")</f>
        <v/>
      </c>
      <c r="Y78">
        <f>HYPERLINK("https://klasma.github.io/Logging_0331/kartor_geotiff/A 54368-2024 georefererad karta.tif", "A 54368-2024")</f>
        <v/>
      </c>
      <c r="AA78">
        <f>HYPERLINK("https://klasma.github.io/Logging_0331/klagomål/A 54368-2024 FSC-klagomål.docx", "A 54368-2024")</f>
        <v/>
      </c>
      <c r="AB78">
        <f>HYPERLINK("https://klasma.github.io/Logging_0331/klagomålsmail/A 54368-2024 FSC-klagomål mail.docx", "A 54368-2024")</f>
        <v/>
      </c>
      <c r="AC78">
        <f>HYPERLINK("https://klasma.github.io/Logging_0331/tillsyn/A 54368-2024 tillsynsbegäran.docx", "A 54368-2024")</f>
        <v/>
      </c>
      <c r="AD78">
        <f>HYPERLINK("https://klasma.github.io/Logging_0331/tillsynsmail/A 54368-2024 tillsynsbegäran mail.docx", "A 54368-2024")</f>
        <v/>
      </c>
      <c r="AE78">
        <f>HYPERLINK("https://klasma.github.io/Logging_0331/fåglar/A 54368-2024 prioriterade fågelarter.docx", "A 54368-2024")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46225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19555-2025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45770</v>
      </c>
      <c r="E80" s="1" t="n">
        <v>46225</v>
      </c>
      <c r="F80" t="inlineStr">
        <is>
          <t>UPPSALA LÄN</t>
        </is>
      </c>
      <c r="G80" t="inlineStr">
        <is>
          <t>HEBY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Sparvuggla</t>
        </is>
      </c>
      <c r="W80">
        <f>HYPERLINK("https://klasma.github.io/Logging_0331/artfynd/A 19555-2025 artfynd.xlsx", "A 19555-2025")</f>
        <v/>
      </c>
      <c r="X80">
        <f>HYPERLINK("https://klasma.github.io/Logging_0331/kartor/A 19555-2025 karta.png", "A 19555-2025")</f>
        <v/>
      </c>
      <c r="Y80">
        <f>HYPERLINK("https://klasma.github.io/Logging_0331/kartor_geotiff/A 19555-2025 georefererad karta.tif", "A 19555-2025")</f>
        <v/>
      </c>
      <c r="AA80">
        <f>HYPERLINK("https://klasma.github.io/Logging_0331/klagomål/A 19555-2025 FSC-klagomål.docx", "A 19555-2025")</f>
        <v/>
      </c>
      <c r="AB80">
        <f>HYPERLINK("https://klasma.github.io/Logging_0331/klagomålsmail/A 19555-2025 FSC-klagomål mail.docx", "A 19555-2025")</f>
        <v/>
      </c>
      <c r="AC80">
        <f>HYPERLINK("https://klasma.github.io/Logging_0331/tillsyn/A 19555-2025 tillsynsbegäran.docx", "A 19555-2025")</f>
        <v/>
      </c>
      <c r="AD80">
        <f>HYPERLINK("https://klasma.github.io/Logging_0331/tillsynsmail/A 19555-2025 tillsynsbegäran mail.docx", "A 19555-2025")</f>
        <v/>
      </c>
      <c r="AE80">
        <f>HYPERLINK("https://klasma.github.io/Logging_0331/fåglar/A 19555-2025 prioriterade fågelarter.docx", "A 19555-2025")</f>
        <v/>
      </c>
    </row>
    <row r="81" ht="15" customHeight="1">
      <c r="A81" t="inlineStr">
        <is>
          <t>A 61598-2021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46225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Trana</t>
        </is>
      </c>
      <c r="W81">
        <f>HYPERLINK("https://klasma.github.io/Logging_0331/artfynd/A 61598-2021 artfynd.xlsx", "A 61598-2021")</f>
        <v/>
      </c>
      <c r="X81">
        <f>HYPERLINK("https://klasma.github.io/Logging_0331/kartor/A 61598-2021 karta.png", "A 61598-2021")</f>
        <v/>
      </c>
      <c r="Y81">
        <f>HYPERLINK("https://klasma.github.io/Logging_0331/kartor_geotiff/A 61598-2021 georefererad karta.tif", "A 61598-2021")</f>
        <v/>
      </c>
      <c r="AA81">
        <f>HYPERLINK("https://klasma.github.io/Logging_0331/klagomål/A 61598-2021 FSC-klagomål.docx", "A 61598-2021")</f>
        <v/>
      </c>
      <c r="AB81">
        <f>HYPERLINK("https://klasma.github.io/Logging_0331/klagomålsmail/A 61598-2021 FSC-klagomål mail.docx", "A 61598-2021")</f>
        <v/>
      </c>
      <c r="AC81">
        <f>HYPERLINK("https://klasma.github.io/Logging_0331/tillsyn/A 61598-2021 tillsynsbegäran.docx", "A 61598-2021")</f>
        <v/>
      </c>
      <c r="AD81">
        <f>HYPERLINK("https://klasma.github.io/Logging_0331/tillsynsmail/A 61598-2021 tillsynsbegäran mail.docx", "A 61598-2021")</f>
        <v/>
      </c>
      <c r="AE81">
        <f>HYPERLINK("https://klasma.github.io/Logging_0331/fåglar/A 61598-2021 prioriterade fågelarter.docx", "A 61598-2021")</f>
        <v/>
      </c>
    </row>
    <row r="82" ht="15" customHeight="1">
      <c r="A82" t="inlineStr">
        <is>
          <t>A 55663-2024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45622</v>
      </c>
      <c r="E82" s="1" t="n">
        <v>46225</v>
      </c>
      <c r="F82" t="inlineStr">
        <is>
          <t>UPPSALA LÄN</t>
        </is>
      </c>
      <c r="G82" t="inlineStr">
        <is>
          <t>HEBY</t>
        </is>
      </c>
      <c r="H82" t="inlineStr">
        <is>
          <t>Bergvik skog väst AB</t>
        </is>
      </c>
      <c r="I82" t="n">
        <v>4.5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HYPERLINK("https://klasma.github.io/Logging_0331/artfynd/A 55663-2024 artfynd.xlsx", "A 55663-2024")</f>
        <v/>
      </c>
      <c r="X82">
        <f>HYPERLINK("https://klasma.github.io/Logging_0331/kartor/A 55663-2024 karta.png", "A 55663-2024")</f>
        <v/>
      </c>
      <c r="Y82">
        <f>HYPERLINK("https://klasma.github.io/Logging_0331/kartor_geotiff/A 55663-2024 georefererad karta.tif", "A 55663-2024")</f>
        <v/>
      </c>
      <c r="AA82">
        <f>HYPERLINK("https://klasma.github.io/Logging_0331/klagomål/A 55663-2024 FSC-klagomål.docx", "A 55663-2024")</f>
        <v/>
      </c>
      <c r="AB82">
        <f>HYPERLINK("https://klasma.github.io/Logging_0331/klagomålsmail/A 55663-2024 FSC-klagomål mail.docx", "A 55663-2024")</f>
        <v/>
      </c>
      <c r="AC82">
        <f>HYPERLINK("https://klasma.github.io/Logging_0331/tillsyn/A 55663-2024 tillsynsbegäran.docx", "A 55663-2024")</f>
        <v/>
      </c>
      <c r="AD82">
        <f>HYPERLINK("https://klasma.github.io/Logging_0331/tillsynsmail/A 55663-2024 tillsynsbegäran mail.docx", "A 55663-2024")</f>
        <v/>
      </c>
    </row>
    <row r="83" ht="15" customHeight="1">
      <c r="A83" t="inlineStr">
        <is>
          <t>A 17697-2024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46225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Mindre bastardsvärmare</t>
        </is>
      </c>
      <c r="W83">
        <f>HYPERLINK("https://klasma.github.io/Logging_0331/artfynd/A 17697-2024 artfynd.xlsx", "A 17697-2024")</f>
        <v/>
      </c>
      <c r="X83">
        <f>HYPERLINK("https://klasma.github.io/Logging_0331/kartor/A 17697-2024 karta.png", "A 17697-2024")</f>
        <v/>
      </c>
      <c r="Y83">
        <f>HYPERLINK("https://klasma.github.io/Logging_0331/kartor_geotiff/A 17697-2024 georefererad karta.tif", "A 17697-2024")</f>
        <v/>
      </c>
      <c r="AA83">
        <f>HYPERLINK("https://klasma.github.io/Logging_0331/klagomål/A 17697-2024 FSC-klagomål.docx", "A 17697-2024")</f>
        <v/>
      </c>
      <c r="AB83">
        <f>HYPERLINK("https://klasma.github.io/Logging_0331/klagomålsmail/A 17697-2024 FSC-klagomål mail.docx", "A 17697-2024")</f>
        <v/>
      </c>
      <c r="AC83">
        <f>HYPERLINK("https://klasma.github.io/Logging_0331/tillsyn/A 17697-2024 tillsynsbegäran.docx", "A 17697-2024")</f>
        <v/>
      </c>
      <c r="AD83">
        <f>HYPERLINK("https://klasma.github.io/Logging_0331/tillsynsmail/A 17697-2024 tillsynsbegäran mail.docx", "A 17697-2024")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46225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46225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46225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46225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46225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46225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46225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46225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46225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46225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46225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46225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46225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46225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46225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46225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46225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46225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46225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46225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46225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46225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46225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46225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46225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46225</v>
      </c>
      <c r="F109" t="inlineStr">
        <is>
          <t>UPPSALA LÄN</t>
        </is>
      </c>
      <c r="G109" t="inlineStr">
        <is>
          <t>HEBY</t>
        </is>
      </c>
      <c r="H109" t="inlineStr">
        <is>
          <t>Övriga Aktiebolag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46225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46225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46225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46225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46225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46225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46225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44565</v>
      </c>
      <c r="E117" s="1" t="n">
        <v>46225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65626-2021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46225</v>
      </c>
      <c r="F118" t="inlineStr">
        <is>
          <t>UPPSALA LÄN</t>
        </is>
      </c>
      <c r="G118" t="inlineStr">
        <is>
          <t>HEBY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46225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46225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46225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46225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46225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46225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46225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46225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46225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44850</v>
      </c>
      <c r="E128" s="1" t="n">
        <v>46225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46225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46225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46225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46225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46225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46225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46225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46225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46225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46225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46225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46225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46225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46225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46225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46225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46225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46225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46225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46225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46225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46225</v>
      </c>
      <c r="F150" t="inlineStr">
        <is>
          <t>UPPSALA LÄN</t>
        </is>
      </c>
      <c r="G150" t="inlineStr">
        <is>
          <t>HEBY</t>
        </is>
      </c>
      <c r="H150" t="inlineStr">
        <is>
          <t>Övriga Aktiebolag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45331</v>
      </c>
      <c r="E151" s="1" t="n">
        <v>46225</v>
      </c>
      <c r="F151" t="inlineStr">
        <is>
          <t>UPPSALA LÄN</t>
        </is>
      </c>
      <c r="G151" t="inlineStr">
        <is>
          <t>HEBY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46225</v>
      </c>
      <c r="F152" t="inlineStr">
        <is>
          <t>UPPSALA LÄN</t>
        </is>
      </c>
      <c r="G152" t="inlineStr">
        <is>
          <t>HEBY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46225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46225</v>
      </c>
      <c r="F154" t="inlineStr">
        <is>
          <t>UPPSALA LÄN</t>
        </is>
      </c>
      <c r="G154" t="inlineStr">
        <is>
          <t>HEBY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45379</v>
      </c>
      <c r="E155" s="1" t="n">
        <v>46225</v>
      </c>
      <c r="F155" t="inlineStr">
        <is>
          <t>UPPSALA LÄN</t>
        </is>
      </c>
      <c r="G155" t="inlineStr">
        <is>
          <t>HEBY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46225</v>
      </c>
      <c r="F156" t="inlineStr">
        <is>
          <t>UPPSALA LÄN</t>
        </is>
      </c>
      <c r="G156" t="inlineStr">
        <is>
          <t>HEBY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46225</v>
      </c>
      <c r="F157" t="inlineStr">
        <is>
          <t>UPPSALA LÄN</t>
        </is>
      </c>
      <c r="G157" t="inlineStr">
        <is>
          <t>HEBY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46225</v>
      </c>
      <c r="F158" t="inlineStr">
        <is>
          <t>UPPSALA LÄN</t>
        </is>
      </c>
      <c r="G158" t="inlineStr">
        <is>
          <t>HEBY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46225</v>
      </c>
      <c r="F159" t="inlineStr">
        <is>
          <t>UPPSALA LÄN</t>
        </is>
      </c>
      <c r="G159" t="inlineStr">
        <is>
          <t>HEBY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45250</v>
      </c>
      <c r="E160" s="1" t="n">
        <v>46225</v>
      </c>
      <c r="F160" t="inlineStr">
        <is>
          <t>UPPSALA LÄN</t>
        </is>
      </c>
      <c r="G160" t="inlineStr">
        <is>
          <t>HEBY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46225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46225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38049-2021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44404</v>
      </c>
      <c r="E163" s="1" t="n">
        <v>46225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46225</v>
      </c>
      <c r="F164" t="inlineStr">
        <is>
          <t>UPPSALA LÄN</t>
        </is>
      </c>
      <c r="G164" t="inlineStr">
        <is>
          <t>HEBY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42938-2022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44833</v>
      </c>
      <c r="E165" s="1" t="n">
        <v>46225</v>
      </c>
      <c r="F165" t="inlineStr">
        <is>
          <t>UPPSALA LÄN</t>
        </is>
      </c>
      <c r="G165" t="inlineStr">
        <is>
          <t>HEBY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44978</v>
      </c>
      <c r="E166" s="1" t="n">
        <v>46225</v>
      </c>
      <c r="F166" t="inlineStr">
        <is>
          <t>UPPSALA LÄN</t>
        </is>
      </c>
      <c r="G166" t="inlineStr">
        <is>
          <t>HEBY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44925</v>
      </c>
      <c r="E167" s="1" t="n">
        <v>46225</v>
      </c>
      <c r="F167" t="inlineStr">
        <is>
          <t>UPPSALA LÄN</t>
        </is>
      </c>
      <c r="G167" t="inlineStr">
        <is>
          <t>HEBY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46225</v>
      </c>
      <c r="F168" t="inlineStr">
        <is>
          <t>UPPSALA LÄN</t>
        </is>
      </c>
      <c r="G168" t="inlineStr">
        <is>
          <t>HEBY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46225</v>
      </c>
      <c r="F169" t="inlineStr">
        <is>
          <t>UPPSALA LÄN</t>
        </is>
      </c>
      <c r="G169" t="inlineStr">
        <is>
          <t>HEBY</t>
        </is>
      </c>
      <c r="H169" t="inlineStr">
        <is>
          <t>Allmännings- och besparingsskogar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46225</v>
      </c>
      <c r="F170" t="inlineStr">
        <is>
          <t>UPPSALA LÄN</t>
        </is>
      </c>
      <c r="G170" t="inlineStr">
        <is>
          <t>HEBY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44477</v>
      </c>
      <c r="E171" s="1" t="n">
        <v>46225</v>
      </c>
      <c r="F171" t="inlineStr">
        <is>
          <t>UPPSALA LÄN</t>
        </is>
      </c>
      <c r="G171" t="inlineStr">
        <is>
          <t>HEBY</t>
        </is>
      </c>
      <c r="H171" t="inlineStr">
        <is>
          <t>Bergvik skog väst AB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46225</v>
      </c>
      <c r="F172" t="inlineStr">
        <is>
          <t>UPPSALA LÄN</t>
        </is>
      </c>
      <c r="G172" t="inlineStr">
        <is>
          <t>HEBY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45339</v>
      </c>
      <c r="E173" s="1" t="n">
        <v>46225</v>
      </c>
      <c r="F173" t="inlineStr">
        <is>
          <t>UPPSALA LÄN</t>
        </is>
      </c>
      <c r="G173" t="inlineStr">
        <is>
          <t>HEBY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46225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46225</v>
      </c>
      <c r="F175" t="inlineStr">
        <is>
          <t>UPPSALA LÄN</t>
        </is>
      </c>
      <c r="G175" t="inlineStr">
        <is>
          <t>HEBY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46225</v>
      </c>
      <c r="F176" t="inlineStr">
        <is>
          <t>UPPSALA LÄN</t>
        </is>
      </c>
      <c r="G176" t="inlineStr">
        <is>
          <t>HEBY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46225</v>
      </c>
      <c r="F177" t="inlineStr">
        <is>
          <t>UPPSALA LÄN</t>
        </is>
      </c>
      <c r="G177" t="inlineStr">
        <is>
          <t>HEBY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46225</v>
      </c>
      <c r="F178" t="inlineStr">
        <is>
          <t>UPPSALA LÄN</t>
        </is>
      </c>
      <c r="G178" t="inlineStr">
        <is>
          <t>HEBY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46225</v>
      </c>
      <c r="F179" t="inlineStr">
        <is>
          <t>UPPSALA LÄN</t>
        </is>
      </c>
      <c r="G179" t="inlineStr">
        <is>
          <t>HEBY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46225</v>
      </c>
      <c r="F180" t="inlineStr">
        <is>
          <t>UPPSALA LÄN</t>
        </is>
      </c>
      <c r="G180" t="inlineStr">
        <is>
          <t>HEBY</t>
        </is>
      </c>
      <c r="I180" t="n">
        <v>15.8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46225</v>
      </c>
      <c r="F181" t="inlineStr">
        <is>
          <t>UPPSALA LÄN</t>
        </is>
      </c>
      <c r="G181" t="inlineStr">
        <is>
          <t>HEBY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46225</v>
      </c>
      <c r="F182" t="inlineStr">
        <is>
          <t>UPPSALA LÄN</t>
        </is>
      </c>
      <c r="G182" t="inlineStr">
        <is>
          <t>HEBY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46225</v>
      </c>
      <c r="F183" t="inlineStr">
        <is>
          <t>UPPSALA LÄN</t>
        </is>
      </c>
      <c r="G183" t="inlineStr">
        <is>
          <t>HEBY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45519</v>
      </c>
      <c r="E184" s="1" t="n">
        <v>46225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46225</v>
      </c>
      <c r="F185" t="inlineStr">
        <is>
          <t>UPPSALA LÄN</t>
        </is>
      </c>
      <c r="G185" t="inlineStr">
        <is>
          <t>HEBY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46225</v>
      </c>
      <c r="F186" t="inlineStr">
        <is>
          <t>UPPSALA LÄN</t>
        </is>
      </c>
      <c r="G186" t="inlineStr">
        <is>
          <t>HEBY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46225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46225</v>
      </c>
      <c r="F188" t="inlineStr">
        <is>
          <t>UPPSALA LÄN</t>
        </is>
      </c>
      <c r="G188" t="inlineStr">
        <is>
          <t>HEBY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46225</v>
      </c>
      <c r="F189" t="inlineStr">
        <is>
          <t>UPPSALA LÄN</t>
        </is>
      </c>
      <c r="G189" t="inlineStr">
        <is>
          <t>HEBY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46225</v>
      </c>
      <c r="F190" t="inlineStr">
        <is>
          <t>UPPSALA LÄN</t>
        </is>
      </c>
      <c r="G190" t="inlineStr">
        <is>
          <t>HEBY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46225</v>
      </c>
      <c r="F191" t="inlineStr">
        <is>
          <t>UPPSALA LÄN</t>
        </is>
      </c>
      <c r="G191" t="inlineStr">
        <is>
          <t>HEBY</t>
        </is>
      </c>
      <c r="H191" t="inlineStr">
        <is>
          <t>Kyrkan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46225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46225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46225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46225</v>
      </c>
      <c r="F195" t="inlineStr">
        <is>
          <t>UPPSALA LÄN</t>
        </is>
      </c>
      <c r="G195" t="inlineStr">
        <is>
          <t>HEBY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46225</v>
      </c>
      <c r="F196" t="inlineStr">
        <is>
          <t>UPPSALA LÄN</t>
        </is>
      </c>
      <c r="G196" t="inlineStr">
        <is>
          <t>HEBY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45820</v>
      </c>
      <c r="E197" s="1" t="n">
        <v>46225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46225</v>
      </c>
      <c r="F198" t="inlineStr">
        <is>
          <t>UPPSALA LÄN</t>
        </is>
      </c>
      <c r="G198" t="inlineStr">
        <is>
          <t>HEBY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46225</v>
      </c>
      <c r="F199" t="inlineStr">
        <is>
          <t>UPPSALA LÄN</t>
        </is>
      </c>
      <c r="G199" t="inlineStr">
        <is>
          <t>HEBY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46225</v>
      </c>
      <c r="F200" t="inlineStr">
        <is>
          <t>UPPSALA LÄN</t>
        </is>
      </c>
      <c r="G200" t="inlineStr">
        <is>
          <t>HEBY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46225</v>
      </c>
      <c r="F201" t="inlineStr">
        <is>
          <t>UPPSALA LÄN</t>
        </is>
      </c>
      <c r="G201" t="inlineStr">
        <is>
          <t>HEBY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46225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46225</v>
      </c>
      <c r="F203" t="inlineStr">
        <is>
          <t>UPPSALA LÄN</t>
        </is>
      </c>
      <c r="G203" t="inlineStr">
        <is>
          <t>HEBY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46225</v>
      </c>
      <c r="F204" t="inlineStr">
        <is>
          <t>UPPSALA LÄN</t>
        </is>
      </c>
      <c r="G204" t="inlineStr">
        <is>
          <t>HEBY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46225</v>
      </c>
      <c r="F205" t="inlineStr">
        <is>
          <t>UPPSALA LÄN</t>
        </is>
      </c>
      <c r="G205" t="inlineStr">
        <is>
          <t>HEBY</t>
        </is>
      </c>
      <c r="H205" t="inlineStr">
        <is>
          <t>Övriga Aktiebolag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46225</v>
      </c>
      <c r="F206" t="inlineStr">
        <is>
          <t>UPPSALA LÄN</t>
        </is>
      </c>
      <c r="G206" t="inlineStr">
        <is>
          <t>HEBY</t>
        </is>
      </c>
      <c r="H206" t="inlineStr">
        <is>
          <t>Övriga Aktiebolag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11555-2026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46084</v>
      </c>
      <c r="E207" s="1" t="n">
        <v>46225</v>
      </c>
      <c r="F207" t="inlineStr">
        <is>
          <t>UPPSALA LÄN</t>
        </is>
      </c>
      <c r="G207" t="inlineStr">
        <is>
          <t>HEBY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46225</v>
      </c>
      <c r="F208" t="inlineStr">
        <is>
          <t>UPPSALA LÄN</t>
        </is>
      </c>
      <c r="G208" t="inlineStr">
        <is>
          <t>HEBY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46225</v>
      </c>
      <c r="F209" t="inlineStr">
        <is>
          <t>UPPSALA LÄN</t>
        </is>
      </c>
      <c r="G209" t="inlineStr">
        <is>
          <t>HEBY</t>
        </is>
      </c>
      <c r="I209" t="n">
        <v>14.8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46225</v>
      </c>
      <c r="F210" t="inlineStr">
        <is>
          <t>UPPSALA LÄN</t>
        </is>
      </c>
      <c r="G210" t="inlineStr">
        <is>
          <t>HEBY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46225</v>
      </c>
      <c r="F211" t="inlineStr">
        <is>
          <t>UPPSALA LÄN</t>
        </is>
      </c>
      <c r="G211" t="inlineStr">
        <is>
          <t>HEBY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46058</v>
      </c>
      <c r="E212" s="1" t="n">
        <v>46225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46225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46225</v>
      </c>
      <c r="F214" t="inlineStr">
        <is>
          <t>UPPSALA LÄN</t>
        </is>
      </c>
      <c r="G214" t="inlineStr">
        <is>
          <t>HEBY</t>
        </is>
      </c>
      <c r="H214" t="inlineStr">
        <is>
          <t>Kommuner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46225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46225</v>
      </c>
      <c r="F216" t="inlineStr">
        <is>
          <t>UPPSALA LÄN</t>
        </is>
      </c>
      <c r="G216" t="inlineStr">
        <is>
          <t>HEBY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46225</v>
      </c>
      <c r="F217" t="inlineStr">
        <is>
          <t>UPPSALA LÄN</t>
        </is>
      </c>
      <c r="G217" t="inlineStr">
        <is>
          <t>HEBY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46225</v>
      </c>
      <c r="F218" t="inlineStr">
        <is>
          <t>UPPSALA LÄN</t>
        </is>
      </c>
      <c r="G218" t="inlineStr">
        <is>
          <t>HEBY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46225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43.4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46225</v>
      </c>
      <c r="F220" t="inlineStr">
        <is>
          <t>UPPSALA LÄN</t>
        </is>
      </c>
      <c r="G220" t="inlineStr">
        <is>
          <t>HEBY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46225</v>
      </c>
      <c r="F221" t="inlineStr">
        <is>
          <t>UPPSALA LÄN</t>
        </is>
      </c>
      <c r="G221" t="inlineStr">
        <is>
          <t>HEBY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46225</v>
      </c>
      <c r="F222" t="inlineStr">
        <is>
          <t>UPPSALA LÄN</t>
        </is>
      </c>
      <c r="G222" t="inlineStr">
        <is>
          <t>HEBY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46225</v>
      </c>
      <c r="F223" t="inlineStr">
        <is>
          <t>UPPSALA LÄN</t>
        </is>
      </c>
      <c r="G223" t="inlineStr">
        <is>
          <t>HEBY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46225</v>
      </c>
      <c r="F224" t="inlineStr">
        <is>
          <t>UPPSALA LÄN</t>
        </is>
      </c>
      <c r="G224" t="inlineStr">
        <is>
          <t>HEBY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45825</v>
      </c>
      <c r="E225" s="1" t="n">
        <v>46225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11.8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46225</v>
      </c>
      <c r="F226" t="inlineStr">
        <is>
          <t>UPPSALA LÄN</t>
        </is>
      </c>
      <c r="G226" t="inlineStr">
        <is>
          <t>HEBY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46225</v>
      </c>
      <c r="F227" t="inlineStr">
        <is>
          <t>UPPSALA LÄN</t>
        </is>
      </c>
      <c r="G227" t="inlineStr">
        <is>
          <t>HEBY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45294</v>
      </c>
      <c r="E228" s="1" t="n">
        <v>46225</v>
      </c>
      <c r="F228" t="inlineStr">
        <is>
          <t>UPPSALA LÄN</t>
        </is>
      </c>
      <c r="G228" t="inlineStr">
        <is>
          <t>HEBY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46225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46056</v>
      </c>
      <c r="E230" s="1" t="n">
        <v>46225</v>
      </c>
      <c r="F230" t="inlineStr">
        <is>
          <t>UPPSALA LÄN</t>
        </is>
      </c>
      <c r="G230" t="inlineStr">
        <is>
          <t>HEBY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46225</v>
      </c>
      <c r="F231" t="inlineStr">
        <is>
          <t>UPPSALA LÄN</t>
        </is>
      </c>
      <c r="G231" t="inlineStr">
        <is>
          <t>HEBY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44574</v>
      </c>
      <c r="E232" s="1" t="n">
        <v>46225</v>
      </c>
      <c r="F232" t="inlineStr">
        <is>
          <t>UPPSALA LÄN</t>
        </is>
      </c>
      <c r="G232" t="inlineStr">
        <is>
          <t>HEBY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45439</v>
      </c>
      <c r="E233" s="1" t="n">
        <v>46225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46225</v>
      </c>
      <c r="F234" t="inlineStr">
        <is>
          <t>UPPSALA LÄN</t>
        </is>
      </c>
      <c r="G234" t="inlineStr">
        <is>
          <t>HEBY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46225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46073</v>
      </c>
      <c r="E236" s="1" t="n">
        <v>46225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10131-2026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46225</v>
      </c>
      <c r="F237" t="inlineStr">
        <is>
          <t>UPPSALA LÄN</t>
        </is>
      </c>
      <c r="G237" t="inlineStr">
        <is>
          <t>HEBY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45852</v>
      </c>
      <c r="E238" s="1" t="n">
        <v>46225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46225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46225</v>
      </c>
      <c r="F240" t="inlineStr">
        <is>
          <t>UPPSALA LÄN</t>
        </is>
      </c>
      <c r="G240" t="inlineStr">
        <is>
          <t>HEBY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46225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46225</v>
      </c>
      <c r="F242" t="inlineStr">
        <is>
          <t>UPPSALA LÄN</t>
        </is>
      </c>
      <c r="G242" t="inlineStr">
        <is>
          <t>HEBY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46225</v>
      </c>
      <c r="F243" t="inlineStr">
        <is>
          <t>UPPSALA LÄN</t>
        </is>
      </c>
      <c r="G243" t="inlineStr">
        <is>
          <t>HEBY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46225</v>
      </c>
      <c r="F244" t="inlineStr">
        <is>
          <t>UPPSALA LÄN</t>
        </is>
      </c>
      <c r="G244" t="inlineStr">
        <is>
          <t>HEBY</t>
        </is>
      </c>
      <c r="H244" t="inlineStr">
        <is>
          <t>Kyrkan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46225</v>
      </c>
      <c r="F245" t="inlineStr">
        <is>
          <t>UPPSALA LÄN</t>
        </is>
      </c>
      <c r="G245" t="inlineStr">
        <is>
          <t>HEBY</t>
        </is>
      </c>
      <c r="H245" t="inlineStr">
        <is>
          <t>Allmännings- och besparingsskogar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64899-2021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44512</v>
      </c>
      <c r="E246" s="1" t="n">
        <v>46225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öst AB</t>
        </is>
      </c>
      <c r="I246" t="n">
        <v>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46225</v>
      </c>
      <c r="F247" t="inlineStr">
        <is>
          <t>UPPSALA LÄN</t>
        </is>
      </c>
      <c r="G247" t="inlineStr">
        <is>
          <t>HEBY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46225</v>
      </c>
      <c r="F248" t="inlineStr">
        <is>
          <t>UPPSALA LÄN</t>
        </is>
      </c>
      <c r="G248" t="inlineStr">
        <is>
          <t>HEBY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46093</v>
      </c>
      <c r="E249" s="1" t="n">
        <v>46225</v>
      </c>
      <c r="F249" t="inlineStr">
        <is>
          <t>UPPSALA LÄN</t>
        </is>
      </c>
      <c r="G249" t="inlineStr">
        <is>
          <t>HEBY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46225</v>
      </c>
      <c r="F250" t="inlineStr">
        <is>
          <t>UPPSALA LÄN</t>
        </is>
      </c>
      <c r="G250" t="inlineStr">
        <is>
          <t>HEBY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46225</v>
      </c>
      <c r="F251" t="inlineStr">
        <is>
          <t>UPPSALA LÄN</t>
        </is>
      </c>
      <c r="G251" t="inlineStr">
        <is>
          <t>HEBY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13302-2026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46225</v>
      </c>
      <c r="F252" t="inlineStr">
        <is>
          <t>UPPSALA LÄN</t>
        </is>
      </c>
      <c r="G252" t="inlineStr">
        <is>
          <t>HEBY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46225</v>
      </c>
      <c r="F253" t="inlineStr">
        <is>
          <t>UPPSALA LÄN</t>
        </is>
      </c>
      <c r="G253" t="inlineStr">
        <is>
          <t>HEBY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46225</v>
      </c>
      <c r="F254" t="inlineStr">
        <is>
          <t>UPPSALA LÄN</t>
        </is>
      </c>
      <c r="G254" t="inlineStr">
        <is>
          <t>HEBY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46225</v>
      </c>
      <c r="F255" t="inlineStr">
        <is>
          <t>UPPSALA LÄN</t>
        </is>
      </c>
      <c r="G255" t="inlineStr">
        <is>
          <t>HEBY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46225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46225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46225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60722-2022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44913</v>
      </c>
      <c r="E259" s="1" t="n">
        <v>46225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46225</v>
      </c>
      <c r="F260" t="inlineStr">
        <is>
          <t>UPPSALA LÄN</t>
        </is>
      </c>
      <c r="G260" t="inlineStr">
        <is>
          <t>HEBY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45075</v>
      </c>
      <c r="E261" s="1" t="n">
        <v>46225</v>
      </c>
      <c r="F261" t="inlineStr">
        <is>
          <t>UPPSALA LÄN</t>
        </is>
      </c>
      <c r="G261" t="inlineStr">
        <is>
          <t>HEBY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46225</v>
      </c>
      <c r="F262" t="inlineStr">
        <is>
          <t>UPPSALA LÄN</t>
        </is>
      </c>
      <c r="G262" t="inlineStr">
        <is>
          <t>HEBY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46072</v>
      </c>
      <c r="E263" s="1" t="n">
        <v>46225</v>
      </c>
      <c r="F263" t="inlineStr">
        <is>
          <t>UPPSALA LÄN</t>
        </is>
      </c>
      <c r="G263" t="inlineStr">
        <is>
          <t>HEBY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46110</v>
      </c>
      <c r="E264" s="1" t="n">
        <v>46225</v>
      </c>
      <c r="F264" t="inlineStr">
        <is>
          <t>UPPSALA LÄN</t>
        </is>
      </c>
      <c r="G264" t="inlineStr">
        <is>
          <t>HEBY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46225</v>
      </c>
      <c r="F265" t="inlineStr">
        <is>
          <t>UPPSALA LÄN</t>
        </is>
      </c>
      <c r="G265" t="inlineStr">
        <is>
          <t>HEBY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46225</v>
      </c>
      <c r="F266" t="inlineStr">
        <is>
          <t>UPPSALA LÄN</t>
        </is>
      </c>
      <c r="G266" t="inlineStr">
        <is>
          <t>HEBY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46225</v>
      </c>
      <c r="F267" t="inlineStr">
        <is>
          <t>UPPSALA LÄN</t>
        </is>
      </c>
      <c r="G267" t="inlineStr">
        <is>
          <t>HEBY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46225</v>
      </c>
      <c r="F268" t="inlineStr">
        <is>
          <t>UPPSALA LÄN</t>
        </is>
      </c>
      <c r="G268" t="inlineStr">
        <is>
          <t>HEBY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16506-2026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46112</v>
      </c>
      <c r="E269" s="1" t="n">
        <v>46225</v>
      </c>
      <c r="F269" t="inlineStr">
        <is>
          <t>UPPSALA LÄN</t>
        </is>
      </c>
      <c r="G269" t="inlineStr">
        <is>
          <t>HEBY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46225</v>
      </c>
      <c r="F270" t="inlineStr">
        <is>
          <t>UPPSALA LÄN</t>
        </is>
      </c>
      <c r="G270" t="inlineStr">
        <is>
          <t>HEBY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46112</v>
      </c>
      <c r="E271" s="1" t="n">
        <v>46225</v>
      </c>
      <c r="F271" t="inlineStr">
        <is>
          <t>UPPSALA LÄN</t>
        </is>
      </c>
      <c r="G271" t="inlineStr">
        <is>
          <t>HEBY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46225</v>
      </c>
      <c r="F272" t="inlineStr">
        <is>
          <t>UPPSALA LÄN</t>
        </is>
      </c>
      <c r="G272" t="inlineStr">
        <is>
          <t>HEBY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46225</v>
      </c>
      <c r="F273" t="inlineStr">
        <is>
          <t>UPPSALA LÄN</t>
        </is>
      </c>
      <c r="G273" t="inlineStr">
        <is>
          <t>HEBY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44586</v>
      </c>
      <c r="E274" s="1" t="n">
        <v>46225</v>
      </c>
      <c r="F274" t="inlineStr">
        <is>
          <t>UPPSALA LÄN</t>
        </is>
      </c>
      <c r="G274" t="inlineStr">
        <is>
          <t>HEBY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46225</v>
      </c>
      <c r="F275" t="inlineStr">
        <is>
          <t>UPPSALA LÄN</t>
        </is>
      </c>
      <c r="G275" t="inlineStr">
        <is>
          <t>HEBY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46225</v>
      </c>
      <c r="F276" t="inlineStr">
        <is>
          <t>UPPSALA LÄN</t>
        </is>
      </c>
      <c r="G276" t="inlineStr">
        <is>
          <t>HEBY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46225</v>
      </c>
      <c r="F277" t="inlineStr">
        <is>
          <t>UPPSALA LÄN</t>
        </is>
      </c>
      <c r="G277" t="inlineStr">
        <is>
          <t>HEBY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46225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46225</v>
      </c>
      <c r="F279" t="inlineStr">
        <is>
          <t>UPPSALA LÄN</t>
        </is>
      </c>
      <c r="G279" t="inlineStr">
        <is>
          <t>HEBY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46225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42859-2024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45566</v>
      </c>
      <c r="E281" s="1" t="n">
        <v>46225</v>
      </c>
      <c r="F281" t="inlineStr">
        <is>
          <t>UPPSALA LÄN</t>
        </is>
      </c>
      <c r="G281" t="inlineStr">
        <is>
          <t>HEBY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46225</v>
      </c>
      <c r="F282" t="inlineStr">
        <is>
          <t>UPPSALA LÄN</t>
        </is>
      </c>
      <c r="G282" t="inlineStr">
        <is>
          <t>HEBY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46225</v>
      </c>
      <c r="F283" t="inlineStr">
        <is>
          <t>UPPSALA LÄN</t>
        </is>
      </c>
      <c r="G283" t="inlineStr">
        <is>
          <t>HEBY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46225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46126</v>
      </c>
      <c r="E285" s="1" t="n">
        <v>46225</v>
      </c>
      <c r="F285" t="inlineStr">
        <is>
          <t>UPPSALA LÄN</t>
        </is>
      </c>
      <c r="G285" t="inlineStr">
        <is>
          <t>HEBY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46225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46225</v>
      </c>
      <c r="F287" t="inlineStr">
        <is>
          <t>UPPSALA LÄN</t>
        </is>
      </c>
      <c r="G287" t="inlineStr">
        <is>
          <t>HEBY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55488-2025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45971</v>
      </c>
      <c r="E288" s="1" t="n">
        <v>46225</v>
      </c>
      <c r="F288" t="inlineStr">
        <is>
          <t>UPPSALA LÄN</t>
        </is>
      </c>
      <c r="G288" t="inlineStr">
        <is>
          <t>HEBY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55496-2025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45971</v>
      </c>
      <c r="E289" s="1" t="n">
        <v>46225</v>
      </c>
      <c r="F289" t="inlineStr">
        <is>
          <t>UPPSALA LÄN</t>
        </is>
      </c>
      <c r="G289" t="inlineStr">
        <is>
          <t>HEBY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46225</v>
      </c>
      <c r="F290" t="inlineStr">
        <is>
          <t>UPPSALA LÄN</t>
        </is>
      </c>
      <c r="G290" t="inlineStr">
        <is>
          <t>HEBY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46225</v>
      </c>
      <c r="F291" t="inlineStr">
        <is>
          <t>UPPSALA LÄN</t>
        </is>
      </c>
      <c r="G291" t="inlineStr">
        <is>
          <t>HEBY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44574</v>
      </c>
      <c r="E292" s="1" t="n">
        <v>46225</v>
      </c>
      <c r="F292" t="inlineStr">
        <is>
          <t>UPPSALA LÄN</t>
        </is>
      </c>
      <c r="G292" t="inlineStr">
        <is>
          <t>HEBY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46225</v>
      </c>
      <c r="F293" t="inlineStr">
        <is>
          <t>UPPSALA LÄN</t>
        </is>
      </c>
      <c r="G293" t="inlineStr">
        <is>
          <t>HEBY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46225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väst AB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45519</v>
      </c>
      <c r="E295" s="1" t="n">
        <v>46225</v>
      </c>
      <c r="F295" t="inlineStr">
        <is>
          <t>UPPSALA LÄN</t>
        </is>
      </c>
      <c r="G295" t="inlineStr">
        <is>
          <t>HEBY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46225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66.90000000000001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46225</v>
      </c>
      <c r="F297" t="inlineStr">
        <is>
          <t>UPPSALA LÄN</t>
        </is>
      </c>
      <c r="G297" t="inlineStr">
        <is>
          <t>HEBY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46225</v>
      </c>
      <c r="F298" t="inlineStr">
        <is>
          <t>UPPSALA LÄN</t>
        </is>
      </c>
      <c r="G298" t="inlineStr">
        <is>
          <t>HEBY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46225</v>
      </c>
      <c r="F299" t="inlineStr">
        <is>
          <t>UPPSALA LÄN</t>
        </is>
      </c>
      <c r="G299" t="inlineStr">
        <is>
          <t>HEBY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46225</v>
      </c>
      <c r="F300" t="inlineStr">
        <is>
          <t>UPPSALA LÄN</t>
        </is>
      </c>
      <c r="G300" t="inlineStr">
        <is>
          <t>HEBY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46225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46225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46225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46225</v>
      </c>
      <c r="F304" t="inlineStr">
        <is>
          <t>UPPSALA LÄN</t>
        </is>
      </c>
      <c r="G304" t="inlineStr">
        <is>
          <t>HEBY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45317</v>
      </c>
      <c r="E305" s="1" t="n">
        <v>46225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46225</v>
      </c>
      <c r="F306" t="inlineStr">
        <is>
          <t>UPPSALA LÄN</t>
        </is>
      </c>
      <c r="G306" t="inlineStr">
        <is>
          <t>HEBY</t>
        </is>
      </c>
      <c r="H306" t="inlineStr">
        <is>
          <t>Allmännings- och besparingsskogar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46225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46225</v>
      </c>
      <c r="F308" t="inlineStr">
        <is>
          <t>UPPSALA LÄN</t>
        </is>
      </c>
      <c r="G308" t="inlineStr">
        <is>
          <t>HEBY</t>
        </is>
      </c>
      <c r="H308" t="inlineStr">
        <is>
          <t>Övriga Aktiebolag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46225</v>
      </c>
      <c r="F309" t="inlineStr">
        <is>
          <t>UPPSALA LÄN</t>
        </is>
      </c>
      <c r="G309" t="inlineStr">
        <is>
          <t>HEBY</t>
        </is>
      </c>
      <c r="H309" t="inlineStr">
        <is>
          <t>Övriga Aktiebolag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46225</v>
      </c>
      <c r="F310" t="inlineStr">
        <is>
          <t>UPPSALA LÄN</t>
        </is>
      </c>
      <c r="G310" t="inlineStr">
        <is>
          <t>HEBY</t>
        </is>
      </c>
      <c r="H310" t="inlineStr">
        <is>
          <t>Kyrkan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52292-2022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46225</v>
      </c>
      <c r="F311" t="inlineStr">
        <is>
          <t>UPPSALA LÄN</t>
        </is>
      </c>
      <c r="G311" t="inlineStr">
        <is>
          <t>HEBY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46225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46225</v>
      </c>
      <c r="F313" t="inlineStr">
        <is>
          <t>UPPSALA LÄN</t>
        </is>
      </c>
      <c r="G313" t="inlineStr">
        <is>
          <t>HEBY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46225</v>
      </c>
      <c r="F314" t="inlineStr">
        <is>
          <t>UPPSALA LÄN</t>
        </is>
      </c>
      <c r="G314" t="inlineStr">
        <is>
          <t>HEBY</t>
        </is>
      </c>
      <c r="H314" t="inlineStr">
        <is>
          <t>Kyrkan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46225</v>
      </c>
      <c r="F315" t="inlineStr">
        <is>
          <t>UPPSALA LÄN</t>
        </is>
      </c>
      <c r="G315" t="inlineStr">
        <is>
          <t>HEBY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46225</v>
      </c>
      <c r="F316" t="inlineStr">
        <is>
          <t>UPPSALA LÄN</t>
        </is>
      </c>
      <c r="G316" t="inlineStr">
        <is>
          <t>HEBY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46225</v>
      </c>
      <c r="F317" t="inlineStr">
        <is>
          <t>UPPSALA LÄN</t>
        </is>
      </c>
      <c r="G317" t="inlineStr">
        <is>
          <t>HEBY</t>
        </is>
      </c>
      <c r="H317" t="inlineStr">
        <is>
          <t>Övriga Aktiebolag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46225</v>
      </c>
      <c r="F318" t="inlineStr">
        <is>
          <t>UPPSALA LÄN</t>
        </is>
      </c>
      <c r="G318" t="inlineStr">
        <is>
          <t>HEBY</t>
        </is>
      </c>
      <c r="H318" t="inlineStr">
        <is>
          <t>Allmännings- och besparingsskogar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45331</v>
      </c>
      <c r="E319" s="1" t="n">
        <v>46225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46225</v>
      </c>
      <c r="F320" t="inlineStr">
        <is>
          <t>UPPSALA LÄN</t>
        </is>
      </c>
      <c r="G320" t="inlineStr">
        <is>
          <t>HEBY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45050</v>
      </c>
      <c r="E321" s="1" t="n">
        <v>46225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väst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44943</v>
      </c>
      <c r="E322" s="1" t="n">
        <v>46225</v>
      </c>
      <c r="F322" t="inlineStr">
        <is>
          <t>UPPSALA LÄN</t>
        </is>
      </c>
      <c r="G322" t="inlineStr">
        <is>
          <t>HEBY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44944</v>
      </c>
      <c r="E323" s="1" t="n">
        <v>46225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44944</v>
      </c>
      <c r="E324" s="1" t="n">
        <v>46225</v>
      </c>
      <c r="F324" t="inlineStr">
        <is>
          <t>UPPSALA LÄN</t>
        </is>
      </c>
      <c r="G324" t="inlineStr">
        <is>
          <t>HEBY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45586</v>
      </c>
      <c r="E325" s="1" t="n">
        <v>46225</v>
      </c>
      <c r="F325" t="inlineStr">
        <is>
          <t>UPPSALA LÄN</t>
        </is>
      </c>
      <c r="G325" t="inlineStr">
        <is>
          <t>HEBY</t>
        </is>
      </c>
      <c r="H325" t="inlineStr">
        <is>
          <t>Kyrkan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46225</v>
      </c>
      <c r="F326" t="inlineStr">
        <is>
          <t>UPPSALA LÄN</t>
        </is>
      </c>
      <c r="G326" t="inlineStr">
        <is>
          <t>HEBY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46225</v>
      </c>
      <c r="F327" t="inlineStr">
        <is>
          <t>UPPSALA LÄN</t>
        </is>
      </c>
      <c r="G327" t="inlineStr">
        <is>
          <t>HEBY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46225</v>
      </c>
      <c r="F328" t="inlineStr">
        <is>
          <t>UPPSALA LÄN</t>
        </is>
      </c>
      <c r="G328" t="inlineStr">
        <is>
          <t>HEBY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46225</v>
      </c>
      <c r="F329" t="inlineStr">
        <is>
          <t>UPPSALA LÄN</t>
        </is>
      </c>
      <c r="G329" t="inlineStr">
        <is>
          <t>HEBY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62042-2025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46005</v>
      </c>
      <c r="E330" s="1" t="n">
        <v>46225</v>
      </c>
      <c r="F330" t="inlineStr">
        <is>
          <t>UPPSALA LÄN</t>
        </is>
      </c>
      <c r="G330" t="inlineStr">
        <is>
          <t>HEBY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44974</v>
      </c>
      <c r="E331" s="1" t="n">
        <v>46225</v>
      </c>
      <c r="F331" t="inlineStr">
        <is>
          <t>UPPSALA LÄN</t>
        </is>
      </c>
      <c r="G331" t="inlineStr">
        <is>
          <t>HEBY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46225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39831-2025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46225</v>
      </c>
      <c r="F333" t="inlineStr">
        <is>
          <t>UPPSALA LÄN</t>
        </is>
      </c>
      <c r="G333" t="inlineStr">
        <is>
          <t>HEBY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46225</v>
      </c>
      <c r="F334" t="inlineStr">
        <is>
          <t>UPPSALA LÄN</t>
        </is>
      </c>
      <c r="G334" t="inlineStr">
        <is>
          <t>HEBY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45904</v>
      </c>
      <c r="E335" s="1" t="n">
        <v>46225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62475-2025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46225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46225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46225</v>
      </c>
      <c r="F338" t="inlineStr">
        <is>
          <t>UPPSALA LÄN</t>
        </is>
      </c>
      <c r="G338" t="inlineStr">
        <is>
          <t>HEBY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61453-2022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44916</v>
      </c>
      <c r="E339" s="1" t="n">
        <v>46225</v>
      </c>
      <c r="F339" t="inlineStr">
        <is>
          <t>UPPSALA LÄN</t>
        </is>
      </c>
      <c r="G339" t="inlineStr">
        <is>
          <t>HEBY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45805</v>
      </c>
      <c r="E340" s="1" t="n">
        <v>46225</v>
      </c>
      <c r="F340" t="inlineStr">
        <is>
          <t>UPPSALA LÄN</t>
        </is>
      </c>
      <c r="G340" t="inlineStr">
        <is>
          <t>HEBY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46023</v>
      </c>
      <c r="E341" s="1" t="n">
        <v>46225</v>
      </c>
      <c r="F341" t="inlineStr">
        <is>
          <t>UPPSALA LÄN</t>
        </is>
      </c>
      <c r="G341" t="inlineStr">
        <is>
          <t>HEBY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45364</v>
      </c>
      <c r="E342" s="1" t="n">
        <v>46225</v>
      </c>
      <c r="F342" t="inlineStr">
        <is>
          <t>UPPSALA LÄN</t>
        </is>
      </c>
      <c r="G342" t="inlineStr">
        <is>
          <t>HEBY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45364</v>
      </c>
      <c r="E343" s="1" t="n">
        <v>46225</v>
      </c>
      <c r="F343" t="inlineStr">
        <is>
          <t>UPPSALA LÄN</t>
        </is>
      </c>
      <c r="G343" t="inlineStr">
        <is>
          <t>HEBY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20719-2026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46225</v>
      </c>
      <c r="F344" t="inlineStr">
        <is>
          <t>UPPSALA LÄN</t>
        </is>
      </c>
      <c r="G344" t="inlineStr">
        <is>
          <t>HEBY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44888</v>
      </c>
      <c r="E345" s="1" t="n">
        <v>46225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45006</v>
      </c>
      <c r="E346" s="1" t="n">
        <v>46225</v>
      </c>
      <c r="F346" t="inlineStr">
        <is>
          <t>UPPSALA LÄN</t>
        </is>
      </c>
      <c r="G346" t="inlineStr">
        <is>
          <t>HEBY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46225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44701</v>
      </c>
      <c r="E348" s="1" t="n">
        <v>46225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6523-2022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44601</v>
      </c>
      <c r="E349" s="1" t="n">
        <v>46225</v>
      </c>
      <c r="F349" t="inlineStr">
        <is>
          <t>UPPSALA LÄN</t>
        </is>
      </c>
      <c r="G349" t="inlineStr">
        <is>
          <t>HEBY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18278-2024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45422</v>
      </c>
      <c r="E350" s="1" t="n">
        <v>46225</v>
      </c>
      <c r="F350" t="inlineStr">
        <is>
          <t>UPPSALA LÄN</t>
        </is>
      </c>
      <c r="G350" t="inlineStr">
        <is>
          <t>HEBY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46225</v>
      </c>
      <c r="F351" t="inlineStr">
        <is>
          <t>UPPSALA LÄN</t>
        </is>
      </c>
      <c r="G351" t="inlineStr">
        <is>
          <t>HEBY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44697</v>
      </c>
      <c r="E352" s="1" t="n">
        <v>46225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väst AB</t>
        </is>
      </c>
      <c r="I352" t="n">
        <v>14.3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59486-2021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44491</v>
      </c>
      <c r="E353" s="1" t="n">
        <v>46225</v>
      </c>
      <c r="F353" t="inlineStr">
        <is>
          <t>UPPSALA LÄN</t>
        </is>
      </c>
      <c r="G353" t="inlineStr">
        <is>
          <t>HEBY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45092</v>
      </c>
      <c r="E354" s="1" t="n">
        <v>46225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46225</v>
      </c>
      <c r="F355" t="inlineStr">
        <is>
          <t>UPPSALA LÄN</t>
        </is>
      </c>
      <c r="G355" t="inlineStr">
        <is>
          <t>HEBY</t>
        </is>
      </c>
      <c r="H355" t="inlineStr">
        <is>
          <t>Övriga Aktiebolag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44956</v>
      </c>
      <c r="E356" s="1" t="n">
        <v>46225</v>
      </c>
      <c r="F356" t="inlineStr">
        <is>
          <t>UPPSALA LÄN</t>
        </is>
      </c>
      <c r="G356" t="inlineStr">
        <is>
          <t>HEBY</t>
        </is>
      </c>
      <c r="H356" t="inlineStr">
        <is>
          <t>Kyrkan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44960</v>
      </c>
      <c r="E357" s="1" t="n">
        <v>46225</v>
      </c>
      <c r="F357" t="inlineStr">
        <is>
          <t>UPPSALA LÄN</t>
        </is>
      </c>
      <c r="G357" t="inlineStr">
        <is>
          <t>HEBY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46225</v>
      </c>
      <c r="F358" t="inlineStr">
        <is>
          <t>UPPSALA LÄN</t>
        </is>
      </c>
      <c r="G358" t="inlineStr">
        <is>
          <t>HEBY</t>
        </is>
      </c>
      <c r="H358" t="inlineStr">
        <is>
          <t>Allmännings- och besparingsskogar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44984</v>
      </c>
      <c r="E359" s="1" t="n">
        <v>46225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70158-2021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44533</v>
      </c>
      <c r="E360" s="1" t="n">
        <v>46225</v>
      </c>
      <c r="F360" t="inlineStr">
        <is>
          <t>UPPSALA LÄN</t>
        </is>
      </c>
      <c r="G360" t="inlineStr">
        <is>
          <t>HEBY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45294</v>
      </c>
      <c r="E361" s="1" t="n">
        <v>46225</v>
      </c>
      <c r="F361" t="inlineStr">
        <is>
          <t>UPPSALA LÄN</t>
        </is>
      </c>
      <c r="G361" t="inlineStr">
        <is>
          <t>HEBY</t>
        </is>
      </c>
      <c r="H361" t="inlineStr">
        <is>
          <t>Kommuner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45805</v>
      </c>
      <c r="E362" s="1" t="n">
        <v>46225</v>
      </c>
      <c r="F362" t="inlineStr">
        <is>
          <t>UPPSALA LÄN</t>
        </is>
      </c>
      <c r="G362" t="inlineStr">
        <is>
          <t>HEBY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43957-2021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44434</v>
      </c>
      <c r="E363" s="1" t="n">
        <v>46225</v>
      </c>
      <c r="F363" t="inlineStr">
        <is>
          <t>UPPSALA LÄN</t>
        </is>
      </c>
      <c r="G363" t="inlineStr">
        <is>
          <t>HEBY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44802</v>
      </c>
      <c r="E364" s="1" t="n">
        <v>46225</v>
      </c>
      <c r="F364" t="inlineStr">
        <is>
          <t>UPPSALA LÄN</t>
        </is>
      </c>
      <c r="G364" t="inlineStr">
        <is>
          <t>HEBY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45770</v>
      </c>
      <c r="E365" s="1" t="n">
        <v>46225</v>
      </c>
      <c r="F365" t="inlineStr">
        <is>
          <t>UPPSALA LÄN</t>
        </is>
      </c>
      <c r="G365" t="inlineStr">
        <is>
          <t>HEBY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16083-2025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46225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43179-2021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44431</v>
      </c>
      <c r="E367" s="1" t="n">
        <v>46225</v>
      </c>
      <c r="F367" t="inlineStr">
        <is>
          <t>UPPSALA LÄN</t>
        </is>
      </c>
      <c r="G367" t="inlineStr">
        <is>
          <t>HEBY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21302-2023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45058</v>
      </c>
      <c r="E368" s="1" t="n">
        <v>46225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45030</v>
      </c>
      <c r="E369" s="1" t="n">
        <v>46225</v>
      </c>
      <c r="F369" t="inlineStr">
        <is>
          <t>UPPSALA LÄN</t>
        </is>
      </c>
      <c r="G369" t="inlineStr">
        <is>
          <t>HEBY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44810</v>
      </c>
      <c r="E370" s="1" t="n">
        <v>46225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46225</v>
      </c>
      <c r="F371" t="inlineStr">
        <is>
          <t>UPPSALA LÄN</t>
        </is>
      </c>
      <c r="G371" t="inlineStr">
        <is>
          <t>HEBY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44984</v>
      </c>
      <c r="E372" s="1" t="n">
        <v>46225</v>
      </c>
      <c r="F372" t="inlineStr">
        <is>
          <t>UPPSALA LÄN</t>
        </is>
      </c>
      <c r="G372" t="inlineStr">
        <is>
          <t>HEBY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45114</v>
      </c>
      <c r="E373" s="1" t="n">
        <v>46225</v>
      </c>
      <c r="F373" t="inlineStr">
        <is>
          <t>UPPSALA LÄN</t>
        </is>
      </c>
      <c r="G373" t="inlineStr">
        <is>
          <t>HEBY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44754</v>
      </c>
      <c r="E374" s="1" t="n">
        <v>46225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öst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46225</v>
      </c>
      <c r="F375" t="inlineStr">
        <is>
          <t>UPPSALA LÄN</t>
        </is>
      </c>
      <c r="G375" t="inlineStr">
        <is>
          <t>HEBY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45132</v>
      </c>
      <c r="E376" s="1" t="n">
        <v>46225</v>
      </c>
      <c r="F376" t="inlineStr">
        <is>
          <t>UPPSALA LÄN</t>
        </is>
      </c>
      <c r="G376" t="inlineStr">
        <is>
          <t>HEBY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44694</v>
      </c>
      <c r="E377" s="1" t="n">
        <v>46225</v>
      </c>
      <c r="F377" t="inlineStr">
        <is>
          <t>UPPSALA LÄN</t>
        </is>
      </c>
      <c r="G377" t="inlineStr">
        <is>
          <t>HEBY</t>
        </is>
      </c>
      <c r="I377" t="n">
        <v>22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45132</v>
      </c>
      <c r="E378" s="1" t="n">
        <v>46225</v>
      </c>
      <c r="F378" t="inlineStr">
        <is>
          <t>UPPSALA LÄN</t>
        </is>
      </c>
      <c r="G378" t="inlineStr">
        <is>
          <t>HEBY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8182-2022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44609</v>
      </c>
      <c r="E379" s="1" t="n">
        <v>46225</v>
      </c>
      <c r="F379" t="inlineStr">
        <is>
          <t>UPPSALA LÄN</t>
        </is>
      </c>
      <c r="G379" t="inlineStr">
        <is>
          <t>HEBY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27840-2023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46225</v>
      </c>
      <c r="F380" t="inlineStr">
        <is>
          <t>UPPSALA LÄN</t>
        </is>
      </c>
      <c r="G380" t="inlineStr">
        <is>
          <t>HEBY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14916-2025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46225</v>
      </c>
      <c r="F381" t="inlineStr">
        <is>
          <t>UPPSALA LÄN</t>
        </is>
      </c>
      <c r="G381" t="inlineStr">
        <is>
          <t>HEBY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46225</v>
      </c>
      <c r="F382" t="inlineStr">
        <is>
          <t>UPPSALA LÄN</t>
        </is>
      </c>
      <c r="G382" t="inlineStr">
        <is>
          <t>HEBY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44464-2021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44435</v>
      </c>
      <c r="E383" s="1" t="n">
        <v>46225</v>
      </c>
      <c r="F383" t="inlineStr">
        <is>
          <t>UPPSALA LÄN</t>
        </is>
      </c>
      <c r="G383" t="inlineStr">
        <is>
          <t>HEBY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45351</v>
      </c>
      <c r="E384" s="1" t="n">
        <v>46225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46225</v>
      </c>
      <c r="F385" t="inlineStr">
        <is>
          <t>UPPSALA LÄN</t>
        </is>
      </c>
      <c r="G385" t="inlineStr">
        <is>
          <t>HEBY</t>
        </is>
      </c>
      <c r="H385" t="inlineStr">
        <is>
          <t>Kyrkan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46225</v>
      </c>
      <c r="F386" t="inlineStr">
        <is>
          <t>UPPSALA LÄN</t>
        </is>
      </c>
      <c r="G386" t="inlineStr">
        <is>
          <t>HEBY</t>
        </is>
      </c>
      <c r="H386" t="inlineStr">
        <is>
          <t>Kyrkan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46164</v>
      </c>
      <c r="E387" s="1" t="n">
        <v>46225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väst AB</t>
        </is>
      </c>
      <c r="I387" t="n">
        <v>35.2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46225</v>
      </c>
      <c r="F388" t="inlineStr">
        <is>
          <t>UPPSALA LÄN</t>
        </is>
      </c>
      <c r="G388" t="inlineStr">
        <is>
          <t>HEBY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51091-2023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45218</v>
      </c>
      <c r="E389" s="1" t="n">
        <v>46225</v>
      </c>
      <c r="F389" t="inlineStr">
        <is>
          <t>UPPSALA LÄN</t>
        </is>
      </c>
      <c r="G389" t="inlineStr">
        <is>
          <t>HEBY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29518-2026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46225</v>
      </c>
      <c r="F390" t="inlineStr">
        <is>
          <t>UPPSALA LÄN</t>
        </is>
      </c>
      <c r="G390" t="inlineStr">
        <is>
          <t>HEBY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46225</v>
      </c>
      <c r="F391" t="inlineStr">
        <is>
          <t>UPPSALA LÄN</t>
        </is>
      </c>
      <c r="G391" t="inlineStr">
        <is>
          <t>HEBY</t>
        </is>
      </c>
      <c r="H391" t="inlineStr">
        <is>
          <t>Bergvik skog väst AB</t>
        </is>
      </c>
      <c r="I391" t="n">
        <v>46.8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46225</v>
      </c>
      <c r="F392" t="inlineStr">
        <is>
          <t>UPPSALA LÄN</t>
        </is>
      </c>
      <c r="G392" t="inlineStr">
        <is>
          <t>HEBY</t>
        </is>
      </c>
      <c r="I392" t="n">
        <v>10.9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46225</v>
      </c>
      <c r="F393" t="inlineStr">
        <is>
          <t>UPPSALA LÄN</t>
        </is>
      </c>
      <c r="G393" t="inlineStr">
        <is>
          <t>HEBY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18144-2022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44684</v>
      </c>
      <c r="E394" s="1" t="n">
        <v>46225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46225</v>
      </c>
      <c r="F395" t="inlineStr">
        <is>
          <t>UPPSALA LÄN</t>
        </is>
      </c>
      <c r="G395" t="inlineStr">
        <is>
          <t>HEBY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44939</v>
      </c>
      <c r="E396" s="1" t="n">
        <v>46225</v>
      </c>
      <c r="F396" t="inlineStr">
        <is>
          <t>UPPSALA LÄN</t>
        </is>
      </c>
      <c r="G396" t="inlineStr">
        <is>
          <t>HEBY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46225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46225</v>
      </c>
      <c r="F398" t="inlineStr">
        <is>
          <t>UPPSALA LÄN</t>
        </is>
      </c>
      <c r="G398" t="inlineStr">
        <is>
          <t>HEBY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46225</v>
      </c>
      <c r="F399" t="inlineStr">
        <is>
          <t>UPPSALA LÄN</t>
        </is>
      </c>
      <c r="G399" t="inlineStr">
        <is>
          <t>HEBY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70976-2021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44538</v>
      </c>
      <c r="E400" s="1" t="n">
        <v>46225</v>
      </c>
      <c r="F400" t="inlineStr">
        <is>
          <t>UPPSALA LÄN</t>
        </is>
      </c>
      <c r="G400" t="inlineStr">
        <is>
          <t>HEBY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46225</v>
      </c>
      <c r="F401" t="inlineStr">
        <is>
          <t>UPPSALA LÄN</t>
        </is>
      </c>
      <c r="G401" t="inlineStr">
        <is>
          <t>HEBY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38203-2021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44405</v>
      </c>
      <c r="E402" s="1" t="n">
        <v>46225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45099</v>
      </c>
      <c r="E403" s="1" t="n">
        <v>46225</v>
      </c>
      <c r="F403" t="inlineStr">
        <is>
          <t>UPPSALA LÄN</t>
        </is>
      </c>
      <c r="G403" t="inlineStr">
        <is>
          <t>HEBY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46225</v>
      </c>
      <c r="F404" t="inlineStr">
        <is>
          <t>UPPSALA LÄN</t>
        </is>
      </c>
      <c r="G404" t="inlineStr">
        <is>
          <t>HEBY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44944</v>
      </c>
      <c r="E405" s="1" t="n">
        <v>46225</v>
      </c>
      <c r="F405" t="inlineStr">
        <is>
          <t>UPPSALA LÄN</t>
        </is>
      </c>
      <c r="G405" t="inlineStr">
        <is>
          <t>HEBY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44917</v>
      </c>
      <c r="E406" s="1" t="n">
        <v>46225</v>
      </c>
      <c r="F406" t="inlineStr">
        <is>
          <t>UPPSALA LÄN</t>
        </is>
      </c>
      <c r="G406" t="inlineStr">
        <is>
          <t>HEBY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50859-2022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44862</v>
      </c>
      <c r="E407" s="1" t="n">
        <v>46225</v>
      </c>
      <c r="F407" t="inlineStr">
        <is>
          <t>UPPSALA LÄN</t>
        </is>
      </c>
      <c r="G407" t="inlineStr">
        <is>
          <t>HEBY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44568</v>
      </c>
      <c r="E408" s="1" t="n">
        <v>46225</v>
      </c>
      <c r="F408" t="inlineStr">
        <is>
          <t>UPPSALA LÄN</t>
        </is>
      </c>
      <c r="G408" t="inlineStr">
        <is>
          <t>HEBY</t>
        </is>
      </c>
      <c r="I408" t="n">
        <v>10.6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46225</v>
      </c>
      <c r="F409" t="inlineStr">
        <is>
          <t>UPPSALA LÄN</t>
        </is>
      </c>
      <c r="G409" t="inlineStr">
        <is>
          <t>HEBY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46225</v>
      </c>
      <c r="F410" t="inlineStr">
        <is>
          <t>UPPSALA LÄN</t>
        </is>
      </c>
      <c r="G410" t="inlineStr">
        <is>
          <t>HEBY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64191-2023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46225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46225</v>
      </c>
      <c r="F412" t="inlineStr">
        <is>
          <t>UPPSALA LÄN</t>
        </is>
      </c>
      <c r="G412" t="inlineStr">
        <is>
          <t>HEBY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45090</v>
      </c>
      <c r="E413" s="1" t="n">
        <v>46225</v>
      </c>
      <c r="F413" t="inlineStr">
        <is>
          <t>UPPSALA LÄN</t>
        </is>
      </c>
      <c r="G413" t="inlineStr">
        <is>
          <t>HEBY</t>
        </is>
      </c>
      <c r="H413" t="inlineStr">
        <is>
          <t>Övriga Aktiebolag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66055-2021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44517</v>
      </c>
      <c r="E414" s="1" t="n">
        <v>46225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öst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31143-2023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46225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46225</v>
      </c>
      <c r="F416" t="inlineStr">
        <is>
          <t>UPPSALA LÄN</t>
        </is>
      </c>
      <c r="G416" t="inlineStr">
        <is>
          <t>HEBY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72180-2021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44543</v>
      </c>
      <c r="E417" s="1" t="n">
        <v>46225</v>
      </c>
      <c r="F417" t="inlineStr">
        <is>
          <t>UPPSALA LÄN</t>
        </is>
      </c>
      <c r="G417" t="inlineStr">
        <is>
          <t>HEBY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62145-2022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44914</v>
      </c>
      <c r="E418" s="1" t="n">
        <v>46225</v>
      </c>
      <c r="F418" t="inlineStr">
        <is>
          <t>UPPSALA LÄN</t>
        </is>
      </c>
      <c r="G418" t="inlineStr">
        <is>
          <t>HEBY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46223</v>
      </c>
      <c r="E419" s="1" t="n">
        <v>46225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väst AB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46223</v>
      </c>
      <c r="E420" s="1" t="n">
        <v>46225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väst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46225</v>
      </c>
      <c r="F421" t="inlineStr">
        <is>
          <t>UPPSALA LÄN</t>
        </is>
      </c>
      <c r="G421" t="inlineStr">
        <is>
          <t>HEBY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46225</v>
      </c>
      <c r="F422" t="inlineStr">
        <is>
          <t>UPPSALA LÄN</t>
        </is>
      </c>
      <c r="G422" t="inlineStr">
        <is>
          <t>HEBY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45117</v>
      </c>
      <c r="E423" s="1" t="n">
        <v>46225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45117</v>
      </c>
      <c r="E424" s="1" t="n">
        <v>46225</v>
      </c>
      <c r="F424" t="inlineStr">
        <is>
          <t>UPPSALA LÄN</t>
        </is>
      </c>
      <c r="G424" t="inlineStr">
        <is>
          <t>HEBY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46225</v>
      </c>
      <c r="F425" t="inlineStr">
        <is>
          <t>UPPSALA LÄN</t>
        </is>
      </c>
      <c r="G425" t="inlineStr">
        <is>
          <t>HEBY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45317</v>
      </c>
      <c r="E426" s="1" t="n">
        <v>46225</v>
      </c>
      <c r="F426" t="inlineStr">
        <is>
          <t>UPPSALA LÄN</t>
        </is>
      </c>
      <c r="G426" t="inlineStr">
        <is>
          <t>HEBY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73622-2021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44552</v>
      </c>
      <c r="E427" s="1" t="n">
        <v>46225</v>
      </c>
      <c r="F427" t="inlineStr">
        <is>
          <t>UPPSALA LÄN</t>
        </is>
      </c>
      <c r="G427" t="inlineStr">
        <is>
          <t>HEBY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31522-2026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46220</v>
      </c>
      <c r="E428" s="1" t="n">
        <v>46225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55.9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46225</v>
      </c>
      <c r="F429" t="inlineStr">
        <is>
          <t>UPPSALA LÄN</t>
        </is>
      </c>
      <c r="G429" t="inlineStr">
        <is>
          <t>HEBY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45029</v>
      </c>
      <c r="E430" s="1" t="n">
        <v>46225</v>
      </c>
      <c r="F430" t="inlineStr">
        <is>
          <t>UPPSALA LÄN</t>
        </is>
      </c>
      <c r="G430" t="inlineStr">
        <is>
          <t>HEBY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44568</v>
      </c>
      <c r="E431" s="1" t="n">
        <v>46225</v>
      </c>
      <c r="F431" t="inlineStr">
        <is>
          <t>UPPSALA LÄN</t>
        </is>
      </c>
      <c r="G431" t="inlineStr">
        <is>
          <t>HEBY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45098</v>
      </c>
      <c r="E432" s="1" t="n">
        <v>46225</v>
      </c>
      <c r="F432" t="inlineStr">
        <is>
          <t>UPPSALA LÄN</t>
        </is>
      </c>
      <c r="G432" t="inlineStr">
        <is>
          <t>HEBY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8051-2023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46225</v>
      </c>
      <c r="F433" t="inlineStr">
        <is>
          <t>UPPSALA LÄN</t>
        </is>
      </c>
      <c r="G433" t="inlineStr">
        <is>
          <t>HEBY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45532</v>
      </c>
      <c r="E434" s="1" t="n">
        <v>46225</v>
      </c>
      <c r="F434" t="inlineStr">
        <is>
          <t>UPPSALA LÄN</t>
        </is>
      </c>
      <c r="G434" t="inlineStr">
        <is>
          <t>HEBY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46225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11379-2025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45726</v>
      </c>
      <c r="E436" s="1" t="n">
        <v>46225</v>
      </c>
      <c r="F436" t="inlineStr">
        <is>
          <t>UPPSALA LÄN</t>
        </is>
      </c>
      <c r="G436" t="inlineStr">
        <is>
          <t>HEBY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46225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44993</v>
      </c>
      <c r="E438" s="1" t="n">
        <v>46225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45511</v>
      </c>
      <c r="E439" s="1" t="n">
        <v>46225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64364-2021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44511</v>
      </c>
      <c r="E440" s="1" t="n">
        <v>46225</v>
      </c>
      <c r="F440" t="inlineStr">
        <is>
          <t>UPPSALA LÄN</t>
        </is>
      </c>
      <c r="G440" t="inlineStr">
        <is>
          <t>HEBY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45117</v>
      </c>
      <c r="E441" s="1" t="n">
        <v>46225</v>
      </c>
      <c r="F441" t="inlineStr">
        <is>
          <t>UPPSALA LÄN</t>
        </is>
      </c>
      <c r="G441" t="inlineStr">
        <is>
          <t>HEBY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48029-2024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46225</v>
      </c>
      <c r="F442" t="inlineStr">
        <is>
          <t>UPPSALA LÄN</t>
        </is>
      </c>
      <c r="G442" t="inlineStr">
        <is>
          <t>HEBY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9815-2022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44620</v>
      </c>
      <c r="E443" s="1" t="n">
        <v>46225</v>
      </c>
      <c r="F443" t="inlineStr">
        <is>
          <t>UPPSALA LÄN</t>
        </is>
      </c>
      <c r="G443" t="inlineStr">
        <is>
          <t>HEBY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44951</v>
      </c>
      <c r="E444" s="1" t="n">
        <v>46225</v>
      </c>
      <c r="F444" t="inlineStr">
        <is>
          <t>UPPSALA LÄN</t>
        </is>
      </c>
      <c r="G444" t="inlineStr">
        <is>
          <t>HEBY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8660-2022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44613</v>
      </c>
      <c r="E445" s="1" t="n">
        <v>46225</v>
      </c>
      <c r="F445" t="inlineStr">
        <is>
          <t>UPPSALA LÄN</t>
        </is>
      </c>
      <c r="G445" t="inlineStr">
        <is>
          <t>HEBY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45331</v>
      </c>
      <c r="E446" s="1" t="n">
        <v>46225</v>
      </c>
      <c r="F446" t="inlineStr">
        <is>
          <t>UPPSALA LÄN</t>
        </is>
      </c>
      <c r="G446" t="inlineStr">
        <is>
          <t>HEBY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74215-2021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44558</v>
      </c>
      <c r="E447" s="1" t="n">
        <v>46225</v>
      </c>
      <c r="F447" t="inlineStr">
        <is>
          <t>UPPSALA LÄN</t>
        </is>
      </c>
      <c r="G447" t="inlineStr">
        <is>
          <t>HEBY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45173</v>
      </c>
      <c r="E448" s="1" t="n">
        <v>46225</v>
      </c>
      <c r="F448" t="inlineStr">
        <is>
          <t>UPPSALA LÄN</t>
        </is>
      </c>
      <c r="G448" t="inlineStr">
        <is>
          <t>HEBY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40926-2023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45173</v>
      </c>
      <c r="E449" s="1" t="n">
        <v>46225</v>
      </c>
      <c r="F449" t="inlineStr">
        <is>
          <t>UPPSALA LÄN</t>
        </is>
      </c>
      <c r="G449" t="inlineStr">
        <is>
          <t>HEBY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13978-2023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45008</v>
      </c>
      <c r="E450" s="1" t="n">
        <v>46225</v>
      </c>
      <c r="F450" t="inlineStr">
        <is>
          <t>UPPSALA LÄN</t>
        </is>
      </c>
      <c r="G450" t="inlineStr">
        <is>
          <t>HEBY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45547</v>
      </c>
      <c r="E451" s="1" t="n">
        <v>46225</v>
      </c>
      <c r="F451" t="inlineStr">
        <is>
          <t>UPPSALA LÄN</t>
        </is>
      </c>
      <c r="G451" t="inlineStr">
        <is>
          <t>HEBY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6226-2024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45337</v>
      </c>
      <c r="E452" s="1" t="n">
        <v>46225</v>
      </c>
      <c r="F452" t="inlineStr">
        <is>
          <t>UPPSALA LÄN</t>
        </is>
      </c>
      <c r="G452" t="inlineStr">
        <is>
          <t>HEBY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45181</v>
      </c>
      <c r="E453" s="1" t="n">
        <v>46225</v>
      </c>
      <c r="F453" t="inlineStr">
        <is>
          <t>UPPSALA LÄN</t>
        </is>
      </c>
      <c r="G453" t="inlineStr">
        <is>
          <t>HEBY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50163-2024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45599</v>
      </c>
      <c r="E454" s="1" t="n">
        <v>46225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46225</v>
      </c>
      <c r="F455" t="inlineStr">
        <is>
          <t>UPPSALA LÄN</t>
        </is>
      </c>
      <c r="G455" t="inlineStr">
        <is>
          <t>HEBY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45727</v>
      </c>
      <c r="E456" s="1" t="n">
        <v>46225</v>
      </c>
      <c r="F456" t="inlineStr">
        <is>
          <t>UPPSALA LÄN</t>
        </is>
      </c>
      <c r="G456" t="inlineStr">
        <is>
          <t>HEBY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45747</v>
      </c>
      <c r="E457" s="1" t="n">
        <v>46225</v>
      </c>
      <c r="F457" t="inlineStr">
        <is>
          <t>UPPSALA LÄN</t>
        </is>
      </c>
      <c r="G457" t="inlineStr">
        <is>
          <t>HEBY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45674</v>
      </c>
      <c r="E458" s="1" t="n">
        <v>46225</v>
      </c>
      <c r="F458" t="inlineStr">
        <is>
          <t>UPPSALA LÄN</t>
        </is>
      </c>
      <c r="G458" t="inlineStr">
        <is>
          <t>HEBY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44802</v>
      </c>
      <c r="E459" s="1" t="n">
        <v>46225</v>
      </c>
      <c r="F459" t="inlineStr">
        <is>
          <t>UPPSALA LÄN</t>
        </is>
      </c>
      <c r="G459" t="inlineStr">
        <is>
          <t>HEBY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44802</v>
      </c>
      <c r="E460" s="1" t="n">
        <v>46225</v>
      </c>
      <c r="F460" t="inlineStr">
        <is>
          <t>UPPSALA LÄN</t>
        </is>
      </c>
      <c r="G460" t="inlineStr">
        <is>
          <t>HEBY</t>
        </is>
      </c>
      <c r="I460" t="n">
        <v>12.1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39154-2023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46225</v>
      </c>
      <c r="F461" t="inlineStr">
        <is>
          <t>UPPSALA LÄN</t>
        </is>
      </c>
      <c r="G461" t="inlineStr">
        <is>
          <t>HEBY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44623</v>
      </c>
      <c r="E462" s="1" t="n">
        <v>46225</v>
      </c>
      <c r="F462" t="inlineStr">
        <is>
          <t>UPPSALA LÄN</t>
        </is>
      </c>
      <c r="G462" t="inlineStr">
        <is>
          <t>HEBY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19718-2023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45050</v>
      </c>
      <c r="E463" s="1" t="n">
        <v>46225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8181-2022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44609</v>
      </c>
      <c r="E464" s="1" t="n">
        <v>46225</v>
      </c>
      <c r="F464" t="inlineStr">
        <is>
          <t>UPPSALA LÄN</t>
        </is>
      </c>
      <c r="G464" t="inlineStr">
        <is>
          <t>HEBY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45821-2023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45195</v>
      </c>
      <c r="E465" s="1" t="n">
        <v>46225</v>
      </c>
      <c r="F465" t="inlineStr">
        <is>
          <t>UPPSALA LÄN</t>
        </is>
      </c>
      <c r="G465" t="inlineStr">
        <is>
          <t>HEBY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45195</v>
      </c>
      <c r="E466" s="1" t="n">
        <v>46225</v>
      </c>
      <c r="F466" t="inlineStr">
        <is>
          <t>UPPSALA LÄN</t>
        </is>
      </c>
      <c r="G466" t="inlineStr">
        <is>
          <t>HEBY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45133</v>
      </c>
      <c r="E467" s="1" t="n">
        <v>46225</v>
      </c>
      <c r="F467" t="inlineStr">
        <is>
          <t>UPPSALA LÄN</t>
        </is>
      </c>
      <c r="G467" t="inlineStr">
        <is>
          <t>HEBY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19896-2022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44697</v>
      </c>
      <c r="E468" s="1" t="n">
        <v>46225</v>
      </c>
      <c r="F468" t="inlineStr">
        <is>
          <t>UPPSALA LÄN</t>
        </is>
      </c>
      <c r="G468" t="inlineStr">
        <is>
          <t>HEBY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45009-2022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44841</v>
      </c>
      <c r="E469" s="1" t="n">
        <v>46225</v>
      </c>
      <c r="F469" t="inlineStr">
        <is>
          <t>UPPSALA LÄN</t>
        </is>
      </c>
      <c r="G469" t="inlineStr">
        <is>
          <t>HEBY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34593-2023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45138</v>
      </c>
      <c r="E470" s="1" t="n">
        <v>46225</v>
      </c>
      <c r="F470" t="inlineStr">
        <is>
          <t>UPPSALA LÄN</t>
        </is>
      </c>
      <c r="G470" t="inlineStr">
        <is>
          <t>HEBY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44694</v>
      </c>
      <c r="E471" s="1" t="n">
        <v>46225</v>
      </c>
      <c r="F471" t="inlineStr">
        <is>
          <t>UPPSALA LÄN</t>
        </is>
      </c>
      <c r="G471" t="inlineStr">
        <is>
          <t>HEBY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33379-2022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44788</v>
      </c>
      <c r="E472" s="1" t="n">
        <v>46225</v>
      </c>
      <c r="F472" t="inlineStr">
        <is>
          <t>UPPSALA LÄN</t>
        </is>
      </c>
      <c r="G472" t="inlineStr">
        <is>
          <t>HEBY</t>
        </is>
      </c>
      <c r="I472" t="n">
        <v>18.8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45243</v>
      </c>
      <c r="E473" s="1" t="n">
        <v>46225</v>
      </c>
      <c r="F473" t="inlineStr">
        <is>
          <t>UPPSALA LÄN</t>
        </is>
      </c>
      <c r="G473" t="inlineStr">
        <is>
          <t>HEBY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46225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44752</v>
      </c>
      <c r="E475" s="1" t="n">
        <v>46225</v>
      </c>
      <c r="F475" t="inlineStr">
        <is>
          <t>UPPSALA LÄN</t>
        </is>
      </c>
      <c r="G475" t="inlineStr">
        <is>
          <t>HEBY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41546-2023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45175</v>
      </c>
      <c r="E476" s="1" t="n">
        <v>46225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34146-2022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44791</v>
      </c>
      <c r="E477" s="1" t="n">
        <v>46225</v>
      </c>
      <c r="F477" t="inlineStr">
        <is>
          <t>UPPSALA LÄN</t>
        </is>
      </c>
      <c r="G477" t="inlineStr">
        <is>
          <t>HEBY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42731-2023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45181</v>
      </c>
      <c r="E478" s="1" t="n">
        <v>46225</v>
      </c>
      <c r="F478" t="inlineStr">
        <is>
          <t>UPPSALA LÄN</t>
        </is>
      </c>
      <c r="G478" t="inlineStr">
        <is>
          <t>HEBY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25997-2022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44734</v>
      </c>
      <c r="E479" s="1" t="n">
        <v>46225</v>
      </c>
      <c r="F479" t="inlineStr">
        <is>
          <t>UPPSALA LÄN</t>
        </is>
      </c>
      <c r="G479" t="inlineStr">
        <is>
          <t>HEBY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3368-2024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45317</v>
      </c>
      <c r="E480" s="1" t="n">
        <v>46225</v>
      </c>
      <c r="F480" t="inlineStr">
        <is>
          <t>UPPSALA LÄN</t>
        </is>
      </c>
      <c r="G480" t="inlineStr">
        <is>
          <t>HEBY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26085-2022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44734</v>
      </c>
      <c r="E481" s="1" t="n">
        <v>46225</v>
      </c>
      <c r="F481" t="inlineStr">
        <is>
          <t>UPPSALA LÄN</t>
        </is>
      </c>
      <c r="G481" t="inlineStr">
        <is>
          <t>HEBY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46225</v>
      </c>
      <c r="F482" t="inlineStr">
        <is>
          <t>UPPSALA LÄN</t>
        </is>
      </c>
      <c r="G482" t="inlineStr">
        <is>
          <t>HEBY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46225</v>
      </c>
      <c r="F483" t="inlineStr">
        <is>
          <t>UPPSALA LÄN</t>
        </is>
      </c>
      <c r="G483" t="inlineStr">
        <is>
          <t>HEBY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45293</v>
      </c>
      <c r="E484" s="1" t="n">
        <v>46225</v>
      </c>
      <c r="F484" t="inlineStr">
        <is>
          <t>UPPSALA LÄN</t>
        </is>
      </c>
      <c r="G484" t="inlineStr">
        <is>
          <t>HEBY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45693</v>
      </c>
      <c r="E485" s="1" t="n">
        <v>46225</v>
      </c>
      <c r="F485" t="inlineStr">
        <is>
          <t>UPPSALA LÄN</t>
        </is>
      </c>
      <c r="G485" t="inlineStr">
        <is>
          <t>HEBY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44781</v>
      </c>
      <c r="E486" s="1" t="n">
        <v>46225</v>
      </c>
      <c r="F486" t="inlineStr">
        <is>
          <t>UPPSALA LÄN</t>
        </is>
      </c>
      <c r="G486" t="inlineStr">
        <is>
          <t>HEBY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45128</v>
      </c>
      <c r="E487" s="1" t="n">
        <v>46225</v>
      </c>
      <c r="F487" t="inlineStr">
        <is>
          <t>UPPSALA LÄN</t>
        </is>
      </c>
      <c r="G487" t="inlineStr">
        <is>
          <t>HEBY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46430-2023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45197</v>
      </c>
      <c r="E488" s="1" t="n">
        <v>46225</v>
      </c>
      <c r="F488" t="inlineStr">
        <is>
          <t>UPPSALA LÄN</t>
        </is>
      </c>
      <c r="G488" t="inlineStr">
        <is>
          <t>HEBY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44732</v>
      </c>
      <c r="E489" s="1" t="n">
        <v>46225</v>
      </c>
      <c r="F489" t="inlineStr">
        <is>
          <t>UPPSALA LÄN</t>
        </is>
      </c>
      <c r="G489" t="inlineStr">
        <is>
          <t>HEBY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45582</v>
      </c>
      <c r="E490" s="1" t="n">
        <v>46225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44914</v>
      </c>
      <c r="E491" s="1" t="n">
        <v>46225</v>
      </c>
      <c r="F491" t="inlineStr">
        <is>
          <t>UPPSALA LÄN</t>
        </is>
      </c>
      <c r="G491" t="inlineStr">
        <is>
          <t>HEBY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16167-2024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45406</v>
      </c>
      <c r="E492" s="1" t="n">
        <v>46225</v>
      </c>
      <c r="F492" t="inlineStr">
        <is>
          <t>UPPSALA LÄN</t>
        </is>
      </c>
      <c r="G492" t="inlineStr">
        <is>
          <t>HEBY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60461-2022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44911</v>
      </c>
      <c r="E493" s="1" t="n">
        <v>46225</v>
      </c>
      <c r="F493" t="inlineStr">
        <is>
          <t>UPPSALA LÄN</t>
        </is>
      </c>
      <c r="G493" t="inlineStr">
        <is>
          <t>HEBY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19721-2022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44694</v>
      </c>
      <c r="E494" s="1" t="n">
        <v>46225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46225</v>
      </c>
      <c r="F495" t="inlineStr">
        <is>
          <t>UPPSALA LÄN</t>
        </is>
      </c>
      <c r="G495" t="inlineStr">
        <is>
          <t>HEBY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60295-2021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46225</v>
      </c>
      <c r="F496" t="inlineStr">
        <is>
          <t>UPPSALA LÄN</t>
        </is>
      </c>
      <c r="G496" t="inlineStr">
        <is>
          <t>HEBY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44093-2024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46225</v>
      </c>
      <c r="F497" t="inlineStr">
        <is>
          <t>UPPSALA LÄN</t>
        </is>
      </c>
      <c r="G497" t="inlineStr">
        <is>
          <t>HEBY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15326-2022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44659</v>
      </c>
      <c r="E498" s="1" t="n">
        <v>46225</v>
      </c>
      <c r="F498" t="inlineStr">
        <is>
          <t>UPPSALA LÄN</t>
        </is>
      </c>
      <c r="G498" t="inlineStr">
        <is>
          <t>HEBY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8856-2022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44614</v>
      </c>
      <c r="E499" s="1" t="n">
        <v>46225</v>
      </c>
      <c r="F499" t="inlineStr">
        <is>
          <t>UPPSALA LÄN</t>
        </is>
      </c>
      <c r="G499" t="inlineStr">
        <is>
          <t>HEBY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23411-2024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45453</v>
      </c>
      <c r="E500" s="1" t="n">
        <v>46225</v>
      </c>
      <c r="F500" t="inlineStr">
        <is>
          <t>UPPSALA LÄN</t>
        </is>
      </c>
      <c r="G500" t="inlineStr">
        <is>
          <t>HEBY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44942</v>
      </c>
      <c r="E501" s="1" t="n">
        <v>46225</v>
      </c>
      <c r="F501" t="inlineStr">
        <is>
          <t>UPPSALA LÄN</t>
        </is>
      </c>
      <c r="G501" t="inlineStr">
        <is>
          <t>HEBY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44942</v>
      </c>
      <c r="E502" s="1" t="n">
        <v>46225</v>
      </c>
      <c r="F502" t="inlineStr">
        <is>
          <t>UPPSALA LÄN</t>
        </is>
      </c>
      <c r="G502" t="inlineStr">
        <is>
          <t>HEBY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45664</v>
      </c>
      <c r="E503" s="1" t="n">
        <v>46225</v>
      </c>
      <c r="F503" t="inlineStr">
        <is>
          <t>UPPSALA LÄN</t>
        </is>
      </c>
      <c r="G503" t="inlineStr">
        <is>
          <t>HEBY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6866-2022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44602</v>
      </c>
      <c r="E504" s="1" t="n">
        <v>46225</v>
      </c>
      <c r="F504" t="inlineStr">
        <is>
          <t>UPPSALA LÄN</t>
        </is>
      </c>
      <c r="G504" t="inlineStr">
        <is>
          <t>HEBY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46225</v>
      </c>
      <c r="F505" t="inlineStr">
        <is>
          <t>UPPSALA LÄN</t>
        </is>
      </c>
      <c r="G505" t="inlineStr">
        <is>
          <t>HEBY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18148-2022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44684</v>
      </c>
      <c r="E506" s="1" t="n">
        <v>46225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41.8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66873-2021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44522</v>
      </c>
      <c r="E507" s="1" t="n">
        <v>46225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29387-2022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44753</v>
      </c>
      <c r="E508" s="1" t="n">
        <v>46225</v>
      </c>
      <c r="F508" t="inlineStr">
        <is>
          <t>UPPSALA LÄN</t>
        </is>
      </c>
      <c r="G508" t="inlineStr">
        <is>
          <t>HEBY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45006</v>
      </c>
      <c r="E509" s="1" t="n">
        <v>46225</v>
      </c>
      <c r="F509" t="inlineStr">
        <is>
          <t>UPPSALA LÄN</t>
        </is>
      </c>
      <c r="G509" t="inlineStr">
        <is>
          <t>HEBY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25995-2022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44734</v>
      </c>
      <c r="E510" s="1" t="n">
        <v>46225</v>
      </c>
      <c r="F510" t="inlineStr">
        <is>
          <t>UPPSALA LÄN</t>
        </is>
      </c>
      <c r="G510" t="inlineStr">
        <is>
          <t>HEBY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45083</v>
      </c>
      <c r="E511" s="1" t="n">
        <v>46225</v>
      </c>
      <c r="F511" t="inlineStr">
        <is>
          <t>UPPSALA LÄN</t>
        </is>
      </c>
      <c r="G511" t="inlineStr">
        <is>
          <t>HEBY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44964</v>
      </c>
      <c r="E512" s="1" t="n">
        <v>46225</v>
      </c>
      <c r="F512" t="inlineStr">
        <is>
          <t>UPPSALA LÄN</t>
        </is>
      </c>
      <c r="G512" t="inlineStr">
        <is>
          <t>HEBY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20882-2022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44701</v>
      </c>
      <c r="E513" s="1" t="n">
        <v>46225</v>
      </c>
      <c r="F513" t="inlineStr">
        <is>
          <t>UPPSALA LÄN</t>
        </is>
      </c>
      <c r="G513" t="inlineStr">
        <is>
          <t>HEBY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45013</v>
      </c>
      <c r="E514" s="1" t="n">
        <v>46225</v>
      </c>
      <c r="F514" t="inlineStr">
        <is>
          <t>UPPSALA LÄN</t>
        </is>
      </c>
      <c r="G514" t="inlineStr">
        <is>
          <t>HEBY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56352-2021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44480</v>
      </c>
      <c r="E515" s="1" t="n">
        <v>46225</v>
      </c>
      <c r="F515" t="inlineStr">
        <is>
          <t>UPPSALA LÄN</t>
        </is>
      </c>
      <c r="G515" t="inlineStr">
        <is>
          <t>HEBY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9767-2023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44984</v>
      </c>
      <c r="E516" s="1" t="n">
        <v>46225</v>
      </c>
      <c r="F516" t="inlineStr">
        <is>
          <t>UPPSALA LÄN</t>
        </is>
      </c>
      <c r="G516" t="inlineStr">
        <is>
          <t>HEBY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51521-2023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45215</v>
      </c>
      <c r="E517" s="1" t="n">
        <v>46225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44984</v>
      </c>
      <c r="E518" s="1" t="n">
        <v>46225</v>
      </c>
      <c r="F518" t="inlineStr">
        <is>
          <t>UPPSALA LÄN</t>
        </is>
      </c>
      <c r="G518" t="inlineStr">
        <is>
          <t>HEBY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45964-2021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44441</v>
      </c>
      <c r="E519" s="1" t="n">
        <v>46225</v>
      </c>
      <c r="F519" t="inlineStr">
        <is>
          <t>UPPSALA LÄN</t>
        </is>
      </c>
      <c r="G519" t="inlineStr">
        <is>
          <t>HEBY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13243-2022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44644</v>
      </c>
      <c r="E520" s="1" t="n">
        <v>46225</v>
      </c>
      <c r="F520" t="inlineStr">
        <is>
          <t>UPPSALA LÄN</t>
        </is>
      </c>
      <c r="G520" t="inlineStr">
        <is>
          <t>HEBY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45035</v>
      </c>
      <c r="E521" s="1" t="n">
        <v>46225</v>
      </c>
      <c r="F521" t="inlineStr">
        <is>
          <t>UPPSALA LÄN</t>
        </is>
      </c>
      <c r="G521" t="inlineStr">
        <is>
          <t>HEBY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45639</v>
      </c>
      <c r="E522" s="1" t="n">
        <v>46225</v>
      </c>
      <c r="F522" t="inlineStr">
        <is>
          <t>UPPSALA LÄN</t>
        </is>
      </c>
      <c r="G522" t="inlineStr">
        <is>
          <t>HEBY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9497-2023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44981</v>
      </c>
      <c r="E523" s="1" t="n">
        <v>46225</v>
      </c>
      <c r="F523" t="inlineStr">
        <is>
          <t>UPPSALA LÄN</t>
        </is>
      </c>
      <c r="G523" t="inlineStr">
        <is>
          <t>HEBY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60788-2022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44914</v>
      </c>
      <c r="E524" s="1" t="n">
        <v>46225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11835-2024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45376</v>
      </c>
      <c r="E525" s="1" t="n">
        <v>46225</v>
      </c>
      <c r="F525" t="inlineStr">
        <is>
          <t>UPPSALA LÄN</t>
        </is>
      </c>
      <c r="G525" t="inlineStr">
        <is>
          <t>HEBY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45252</v>
      </c>
      <c r="E526" s="1" t="n">
        <v>46225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46225</v>
      </c>
      <c r="F527" t="inlineStr">
        <is>
          <t>UPPSALA LÄN</t>
        </is>
      </c>
      <c r="G527" t="inlineStr">
        <is>
          <t>HEBY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45135</v>
      </c>
      <c r="E528" s="1" t="n">
        <v>46225</v>
      </c>
      <c r="F528" t="inlineStr">
        <is>
          <t>UPPSALA LÄN</t>
        </is>
      </c>
      <c r="G528" t="inlineStr">
        <is>
          <t>HEBY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46225</v>
      </c>
      <c r="F529" t="inlineStr">
        <is>
          <t>UPPSALA LÄN</t>
        </is>
      </c>
      <c r="G529" t="inlineStr">
        <is>
          <t>HEBY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46225</v>
      </c>
      <c r="F530" t="inlineStr">
        <is>
          <t>UPPSALA LÄN</t>
        </is>
      </c>
      <c r="G530" t="inlineStr">
        <is>
          <t>HEBY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52252-2024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45607</v>
      </c>
      <c r="E531" s="1" t="n">
        <v>46225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50172-2024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45599</v>
      </c>
      <c r="E532" s="1" t="n">
        <v>46225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7173-2024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45344</v>
      </c>
      <c r="E533" s="1" t="n">
        <v>46225</v>
      </c>
      <c r="F533" t="inlineStr">
        <is>
          <t>UPPSALA LÄN</t>
        </is>
      </c>
      <c r="G533" t="inlineStr">
        <is>
          <t>HEBY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45686</v>
      </c>
      <c r="E534" s="1" t="n">
        <v>46225</v>
      </c>
      <c r="F534" t="inlineStr">
        <is>
          <t>UPPSALA LÄN</t>
        </is>
      </c>
      <c r="G534" t="inlineStr">
        <is>
          <t>HEBY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60456-2022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44911</v>
      </c>
      <c r="E535" s="1" t="n">
        <v>46225</v>
      </c>
      <c r="F535" t="inlineStr">
        <is>
          <t>UPPSALA LÄN</t>
        </is>
      </c>
      <c r="G535" t="inlineStr">
        <is>
          <t>HEBY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39536-2024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46225</v>
      </c>
      <c r="F536" t="inlineStr">
        <is>
          <t>UPPSALA LÄN</t>
        </is>
      </c>
      <c r="G536" t="inlineStr">
        <is>
          <t>HEBY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45519</v>
      </c>
      <c r="E537" s="1" t="n">
        <v>46225</v>
      </c>
      <c r="F537" t="inlineStr">
        <is>
          <t>UPPSALA LÄN</t>
        </is>
      </c>
      <c r="G537" t="inlineStr">
        <is>
          <t>HEBY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45519</v>
      </c>
      <c r="E538" s="1" t="n">
        <v>46225</v>
      </c>
      <c r="F538" t="inlineStr">
        <is>
          <t>UPPSALA LÄN</t>
        </is>
      </c>
      <c r="G538" t="inlineStr">
        <is>
          <t>HEBY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58124-2022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44900</v>
      </c>
      <c r="E539" s="1" t="n">
        <v>46225</v>
      </c>
      <c r="F539" t="inlineStr">
        <is>
          <t>UPPSALA LÄN</t>
        </is>
      </c>
      <c r="G539" t="inlineStr">
        <is>
          <t>HEBY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21310-2023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46225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45209</v>
      </c>
      <c r="E541" s="1" t="n">
        <v>46225</v>
      </c>
      <c r="F541" t="inlineStr">
        <is>
          <t>UPPSALA LÄN</t>
        </is>
      </c>
      <c r="G541" t="inlineStr">
        <is>
          <t>HEBY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9043-2023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44979</v>
      </c>
      <c r="E542" s="1" t="n">
        <v>46225</v>
      </c>
      <c r="F542" t="inlineStr">
        <is>
          <t>UPPSALA LÄN</t>
        </is>
      </c>
      <c r="G542" t="inlineStr">
        <is>
          <t>HEBY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45713</v>
      </c>
      <c r="E543" s="1" t="n">
        <v>46225</v>
      </c>
      <c r="F543" t="inlineStr">
        <is>
          <t>UPPSALA LÄN</t>
        </is>
      </c>
      <c r="G543" t="inlineStr">
        <is>
          <t>HEBY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45321</v>
      </c>
      <c r="E544" s="1" t="n">
        <v>46225</v>
      </c>
      <c r="F544" t="inlineStr">
        <is>
          <t>UPPSALA LÄN</t>
        </is>
      </c>
      <c r="G544" t="inlineStr">
        <is>
          <t>HEBY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52955-2022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44875</v>
      </c>
      <c r="E545" s="1" t="n">
        <v>46225</v>
      </c>
      <c r="F545" t="inlineStr">
        <is>
          <t>UPPSALA LÄN</t>
        </is>
      </c>
      <c r="G545" t="inlineStr">
        <is>
          <t>HEBY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45117</v>
      </c>
      <c r="E546" s="1" t="n">
        <v>46225</v>
      </c>
      <c r="F546" t="inlineStr">
        <is>
          <t>UPPSALA LÄN</t>
        </is>
      </c>
      <c r="G546" t="inlineStr">
        <is>
          <t>HEBY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14262-2025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45740</v>
      </c>
      <c r="E547" s="1" t="n">
        <v>46225</v>
      </c>
      <c r="F547" t="inlineStr">
        <is>
          <t>UPPSALA LÄN</t>
        </is>
      </c>
      <c r="G547" t="inlineStr">
        <is>
          <t>HEBY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45175</v>
      </c>
      <c r="E548" s="1" t="n">
        <v>46225</v>
      </c>
      <c r="F548" t="inlineStr">
        <is>
          <t>UPPSALA LÄN</t>
        </is>
      </c>
      <c r="G548" t="inlineStr">
        <is>
          <t>HEBY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54594-2024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45617</v>
      </c>
      <c r="E549" s="1" t="n">
        <v>46225</v>
      </c>
      <c r="F549" t="inlineStr">
        <is>
          <t>UPPSALA LÄN</t>
        </is>
      </c>
      <c r="G549" t="inlineStr">
        <is>
          <t>HEBY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46225</v>
      </c>
      <c r="F550" t="inlineStr">
        <is>
          <t>UPPSALA LÄN</t>
        </is>
      </c>
      <c r="G550" t="inlineStr">
        <is>
          <t>HEBY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22334-2025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46225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14437-2024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45394</v>
      </c>
      <c r="E552" s="1" t="n">
        <v>46225</v>
      </c>
      <c r="F552" t="inlineStr">
        <is>
          <t>UPPSALA LÄN</t>
        </is>
      </c>
      <c r="G552" t="inlineStr">
        <is>
          <t>HEBY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22455-2025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45786</v>
      </c>
      <c r="E553" s="1" t="n">
        <v>46225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8699-2024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45355</v>
      </c>
      <c r="E554" s="1" t="n">
        <v>46225</v>
      </c>
      <c r="F554" t="inlineStr">
        <is>
          <t>UPPSALA LÄN</t>
        </is>
      </c>
      <c r="G554" t="inlineStr">
        <is>
          <t>HEBY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45390</v>
      </c>
      <c r="E555" s="1" t="n">
        <v>46225</v>
      </c>
      <c r="F555" t="inlineStr">
        <is>
          <t>UPPSALA LÄN</t>
        </is>
      </c>
      <c r="G555" t="inlineStr">
        <is>
          <t>HEBY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13213-2022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44644</v>
      </c>
      <c r="E556" s="1" t="n">
        <v>46225</v>
      </c>
      <c r="F556" t="inlineStr">
        <is>
          <t>UPPSALA LÄN</t>
        </is>
      </c>
      <c r="G556" t="inlineStr">
        <is>
          <t>HEBY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46225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46225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41556-2023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46225</v>
      </c>
      <c r="F559" t="inlineStr">
        <is>
          <t>UPPSALA LÄN</t>
        </is>
      </c>
      <c r="G559" t="inlineStr">
        <is>
          <t>HEBY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44946</v>
      </c>
      <c r="E560" s="1" t="n">
        <v>46225</v>
      </c>
      <c r="F560" t="inlineStr">
        <is>
          <t>UPPSALA LÄN</t>
        </is>
      </c>
      <c r="G560" t="inlineStr">
        <is>
          <t>HEBY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45328</v>
      </c>
      <c r="E561" s="1" t="n">
        <v>46225</v>
      </c>
      <c r="F561" t="inlineStr">
        <is>
          <t>UPPSALA LÄN</t>
        </is>
      </c>
      <c r="G561" t="inlineStr">
        <is>
          <t>HEBY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33734-2023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45133</v>
      </c>
      <c r="E562" s="1" t="n">
        <v>46225</v>
      </c>
      <c r="F562" t="inlineStr">
        <is>
          <t>UPPSALA LÄN</t>
        </is>
      </c>
      <c r="G562" t="inlineStr">
        <is>
          <t>HEBY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32867-2023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45112</v>
      </c>
      <c r="E563" s="1" t="n">
        <v>46225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46225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45610</v>
      </c>
      <c r="E565" s="1" t="n">
        <v>46225</v>
      </c>
      <c r="F565" t="inlineStr">
        <is>
          <t>UPPSALA LÄN</t>
        </is>
      </c>
      <c r="G565" t="inlineStr">
        <is>
          <t>HEBY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45797</v>
      </c>
      <c r="E566" s="1" t="n">
        <v>46225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1334-2022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44629</v>
      </c>
      <c r="E567" s="1" t="n">
        <v>46225</v>
      </c>
      <c r="F567" t="inlineStr">
        <is>
          <t>UPPSALA LÄN</t>
        </is>
      </c>
      <c r="G567" t="inlineStr">
        <is>
          <t>HEBY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10324-2021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44546</v>
      </c>
      <c r="E568" s="1" t="n">
        <v>46225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517-2022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44588</v>
      </c>
      <c r="E569" s="1" t="n">
        <v>46225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30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2310-2022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44684</v>
      </c>
      <c r="E570" s="1" t="n">
        <v>46225</v>
      </c>
      <c r="F570" t="inlineStr">
        <is>
          <t>UPPSALA LÄN</t>
        </is>
      </c>
      <c r="G570" t="inlineStr">
        <is>
          <t>HEBY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1330-2022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44629</v>
      </c>
      <c r="E571" s="1" t="n">
        <v>46225</v>
      </c>
      <c r="F571" t="inlineStr">
        <is>
          <t>UPPSALA LÄN</t>
        </is>
      </c>
      <c r="G571" t="inlineStr">
        <is>
          <t>HEBY</t>
        </is>
      </c>
      <c r="I571" t="n">
        <v>25.1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  <c r="Z571">
        <f>HYPERLINK("https://klasma.github.io/Logging_0331/knärot/S 1330-2022 karta knärot.png", "S 1330-2022")</f>
        <v/>
      </c>
      <c r="AA571">
        <f>HYPERLINK("https://klasma.github.io/Logging_0331/klagomål/S 1330-2022 FSC-klagomål.docx", "S 1330-2022")</f>
        <v/>
      </c>
      <c r="AB571">
        <f>HYPERLINK("https://klasma.github.io/Logging_0331/klagomålsmail/S 1330-2022 FSC-klagomål mail.docx", "S 1330-2022")</f>
        <v/>
      </c>
      <c r="AC571">
        <f>HYPERLINK("https://klasma.github.io/Logging_0331/tillsyn/S 1330-2022 tillsynsbegäran.docx", "S 1330-2022")</f>
        <v/>
      </c>
      <c r="AD571">
        <f>HYPERLINK("https://klasma.github.io/Logging_0331/tillsynsmail/S 1330-2022 tillsynsbegäran mail.docx", "S 1330-2022")</f>
        <v/>
      </c>
    </row>
    <row r="572" ht="15" customHeight="1">
      <c r="A572" t="inlineStr">
        <is>
          <t>S 3256-2023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45191</v>
      </c>
      <c r="E572" s="1" t="n">
        <v>46225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5859-2021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44438</v>
      </c>
      <c r="E573" s="1" t="n">
        <v>46225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öst AB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4466-2022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44788</v>
      </c>
      <c r="E574" s="1" t="n">
        <v>46225</v>
      </c>
      <c r="F574" t="inlineStr">
        <is>
          <t>UPPSALA LÄN</t>
        </is>
      </c>
      <c r="G574" t="inlineStr">
        <is>
          <t>HEBY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46225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46225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46225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46225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46225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46225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3301-2025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45987</v>
      </c>
      <c r="E581" s="1" t="n">
        <v>46225</v>
      </c>
      <c r="F581" t="inlineStr">
        <is>
          <t>UPPSALA LÄN</t>
        </is>
      </c>
      <c r="G581" t="inlineStr">
        <is>
          <t>HEBY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3478-2025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46000</v>
      </c>
      <c r="E582" s="1" t="n">
        <v>46225</v>
      </c>
      <c r="F582" t="inlineStr">
        <is>
          <t>UPPSALA LÄN</t>
        </is>
      </c>
      <c r="G582" t="inlineStr">
        <is>
          <t>HEBY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598-2026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46085</v>
      </c>
      <c r="E583" s="1" t="n">
        <v>46225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43.4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1818-2026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46190</v>
      </c>
      <c r="E584" s="1" t="n">
        <v>46225</v>
      </c>
      <c r="F584" t="inlineStr">
        <is>
          <t>UPPSALA LÄN</t>
        </is>
      </c>
      <c r="G584" t="inlineStr">
        <is>
          <t>HEBY</t>
        </is>
      </c>
      <c r="H584" t="inlineStr">
        <is>
          <t>Kommuner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2026-07-22T01:38:10Z</dcterms:created>
  <dcterms:modified xmlns:dcterms="http://purl.org/dc/terms/" xmlns:xsi="http://www.w3.org/2001/XMLSchema-instance" xsi:type="dcterms:W3CDTF">2026-07-22T01:38:10Z</dcterms:modified>
</cp:coreProperties>
</file>
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46221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HYPERLINK("https://klasma.github.io/Logging_0331/knärot/A 50253-2025 karta knärot.png", "A 50253-2025")</f>
        <v/>
      </c>
      <c r="Y5">
        <f>HYPERLINK("https://klasma.github.io/Logging_0331/klagomål/A 50253-2025 FSC-klagomål.docx", "A 50253-2025")</f>
        <v/>
      </c>
      <c r="Z5">
        <f>HYPERLINK("https://klasma.github.io/Logging_0331/klagomålsmail/A 50253-2025 FSC-klagomål mail.docx", "A 50253-2025")</f>
        <v/>
      </c>
      <c r="AA5">
        <f>HYPERLINK("https://klasma.github.io/Logging_0331/tillsyn/A 50253-2025 tillsynsbegäran.docx", "A 50253-2025")</f>
        <v/>
      </c>
      <c r="AB5">
        <f>HYPERLINK("https://klasma.github.io/Logging_0331/tillsynsmail/A 50253-2025 tillsynsbegäran mail.docx", "A 50253-2025")</f>
        <v/>
      </c>
      <c r="AC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46221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HYPERLINK("https://klasma.github.io/Logging_0331/knärot/A 32759-2023 karta knärot.png", "A 32759-2023")</f>
        <v/>
      </c>
      <c r="Y6">
        <f>HYPERLINK("https://klasma.github.io/Logging_0331/klagomål/A 32759-2023 FSC-klagomål.docx", "A 32759-2023")</f>
        <v/>
      </c>
      <c r="Z6">
        <f>HYPERLINK("https://klasma.github.io/Logging_0331/klagomålsmail/A 32759-2023 FSC-klagomål mail.docx", "A 32759-2023")</f>
        <v/>
      </c>
      <c r="AA6">
        <f>HYPERLINK("https://klasma.github.io/Logging_0331/tillsyn/A 32759-2023 tillsynsbegäran.docx", "A 32759-2023")</f>
        <v/>
      </c>
      <c r="AB6">
        <f>HYPERLINK("https://klasma.github.io/Logging_0331/tillsynsmail/A 32759-2023 tillsynsbegäran mail.docx", "A 32759-2023")</f>
        <v/>
      </c>
      <c r="AC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46221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46221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46221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46221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s="2" t="inlineStr">
        <is>
          <t>Skrovlig taggsvamp
Motaggsvamp
Talltita
Grönpyrola
Fönsterlav
Skogsstjärna
Tjäder
Tofsmes
Revlummer</t>
        </is>
      </c>
      <c r="V12">
        <f>HYPERLINK("https://klasma.github.io/Logging_0331/artfynd/A 22535-2026 artfynd.xlsx", "A 22535-2026")</f>
        <v/>
      </c>
      <c r="W12">
        <f>HYPERLINK("https://klasma.github.io/Logging_0331/kartor/A 22535-2026 karta.png", "A 22535-2026")</f>
        <v/>
      </c>
      <c r="Y12">
        <f>HYPERLINK("https://klasma.github.io/Logging_0331/klagomål/A 22535-2026 FSC-klagomål.docx", "A 22535-2026")</f>
        <v/>
      </c>
      <c r="Z12">
        <f>HYPERLINK("https://klasma.github.io/Logging_0331/klagomålsmail/A 22535-2026 FSC-klagomål mail.docx", "A 22535-2026")</f>
        <v/>
      </c>
      <c r="AA12">
        <f>HYPERLINK("https://klasma.github.io/Logging_0331/tillsyn/A 22535-2026 tillsynsbegäran.docx", "A 22535-2026")</f>
        <v/>
      </c>
      <c r="AB12">
        <f>HYPERLINK("https://klasma.github.io/Logging_0331/tillsynsmail/A 22535-2026 tillsynsbegäran mail.docx", "A 22535-2026")</f>
        <v/>
      </c>
      <c r="AC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46221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s="2" t="inlineStr">
        <is>
          <t>Knärot
Kattfotslav
Talltita
Ullticka
Flagellkvastmossa
Grönpyrola
Rostfläck
Järpe
Tjäder</t>
        </is>
      </c>
      <c r="V13">
        <f>HYPERLINK("https://klasma.github.io/Logging_0331/artfynd/A 20980-2025 artfynd.xlsx", "A 20980-2025")</f>
        <v/>
      </c>
      <c r="W13">
        <f>HYPERLINK("https://klasma.github.io/Logging_0331/kartor/A 20980-2025 karta.png", "A 20980-2025")</f>
        <v/>
      </c>
      <c r="X13">
        <f>HYPERLINK("https://klasma.github.io/Logging_0331/knärot/A 20980-2025 karta knärot.png", "A 20980-2025")</f>
        <v/>
      </c>
      <c r="Y13">
        <f>HYPERLINK("https://klasma.github.io/Logging_0331/klagomål/A 20980-2025 FSC-klagomål.docx", "A 20980-2025")</f>
        <v/>
      </c>
      <c r="Z13">
        <f>HYPERLINK("https://klasma.github.io/Logging_0331/klagomålsmail/A 20980-2025 FSC-klagomål mail.docx", "A 20980-2025")</f>
        <v/>
      </c>
      <c r="AA13">
        <f>HYPERLINK("https://klasma.github.io/Logging_0331/tillsyn/A 20980-2025 tillsynsbegäran.docx", "A 20980-2025")</f>
        <v/>
      </c>
      <c r="AB13">
        <f>HYPERLINK("https://klasma.github.io/Logging_0331/tillsynsmail/A 20980-2025 tillsynsbegäran mail.docx", "A 20980-2025")</f>
        <v/>
      </c>
      <c r="AC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46221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46221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s="2" t="inlineStr">
        <is>
          <t>Knärot
Ullticka
Grovticka
Grönpyrola
Trådticka
Vedticka</t>
        </is>
      </c>
      <c r="V16">
        <f>HYPERLINK("https://klasma.github.io/Logging_0331/artfynd/A 62137-2022 artfynd.xlsx", "A 62137-2022")</f>
        <v/>
      </c>
      <c r="W16">
        <f>HYPERLINK("https://klasma.github.io/Logging_0331/kartor/A 62137-2022 karta.png", "A 62137-2022")</f>
        <v/>
      </c>
      <c r="X16">
        <f>HYPERLINK("https://klasma.github.io/Logging_0331/knärot/A 62137-2022 karta knärot.png", "A 62137-2022")</f>
        <v/>
      </c>
      <c r="Y16">
        <f>HYPERLINK("https://klasma.github.io/Logging_0331/klagomål/A 62137-2022 FSC-klagomål.docx", "A 62137-2022")</f>
        <v/>
      </c>
      <c r="Z16">
        <f>HYPERLINK("https://klasma.github.io/Logging_0331/klagomålsmail/A 62137-2022 FSC-klagomål mail.docx", "A 62137-2022")</f>
        <v/>
      </c>
      <c r="AA16">
        <f>HYPERLINK("https://klasma.github.io/Logging_0331/tillsyn/A 62137-2022 tillsynsbegäran.docx", "A 62137-2022")</f>
        <v/>
      </c>
      <c r="AB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46221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s="2" t="inlineStr">
        <is>
          <t>Rotfingersvamp
Motaggsvamp
Tvåfläckig kvickbagge
Grönpyrola
Plattlummer
Fönsterlav</t>
        </is>
      </c>
      <c r="V17">
        <f>HYPERLINK("https://klasma.github.io/Logging_0331/artfynd/A 21717-2026 artfynd.xlsx", "A 21717-2026")</f>
        <v/>
      </c>
      <c r="W17">
        <f>HYPERLINK("https://klasma.github.io/Logging_0331/kartor/A 21717-2026 karta.png", "A 21717-2026")</f>
        <v/>
      </c>
      <c r="X17">
        <f>HYPERLINK("https://klasma.github.io/Logging_0331/knärot/A 21717-2026 karta knärot.png", "A 21717-2026")</f>
        <v/>
      </c>
      <c r="Y17">
        <f>HYPERLINK("https://klasma.github.io/Logging_0331/klagomål/A 21717-2026 FSC-klagomål.docx", "A 21717-2026")</f>
        <v/>
      </c>
      <c r="Z17">
        <f>HYPERLINK("https://klasma.github.io/Logging_0331/klagomålsmail/A 21717-2026 FSC-klagomål mail.docx", "A 21717-2026")</f>
        <v/>
      </c>
      <c r="AA17">
        <f>HYPERLINK("https://klasma.github.io/Logging_0331/tillsyn/A 21717-2026 tillsynsbegäran.docx", "A 21717-2026")</f>
        <v/>
      </c>
      <c r="AB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46221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46221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s="2" t="inlineStr">
        <is>
          <t>Grönhjon
Ullticka
Vedtrappmossa
Jättesvampmal
Rostfläck
Blåsippa</t>
        </is>
      </c>
      <c r="V19">
        <f>HYPERLINK("https://klasma.github.io/Logging_0331/artfynd/A 56075-2023 artfynd.xlsx", "A 56075-2023")</f>
        <v/>
      </c>
      <c r="W19">
        <f>HYPERLINK("https://klasma.github.io/Logging_0331/kartor/A 56075-2023 karta.png", "A 56075-2023")</f>
        <v/>
      </c>
      <c r="Y19">
        <f>HYPERLINK("https://klasma.github.io/Logging_0331/klagomål/A 56075-2023 FSC-klagomål.docx", "A 56075-2023")</f>
        <v/>
      </c>
      <c r="Z19">
        <f>HYPERLINK("https://klasma.github.io/Logging_0331/klagomålsmail/A 56075-2023 FSC-klagomål mail.docx", "A 56075-2023")</f>
        <v/>
      </c>
      <c r="AA19">
        <f>HYPERLINK("https://klasma.github.io/Logging_0331/tillsyn/A 56075-2023 tillsynsbegäran.docx", "A 56075-2023")</f>
        <v/>
      </c>
      <c r="AB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46221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s="2" t="inlineStr">
        <is>
          <t>Knärot
Grönpyrola
Norrlandslav
Vedticka
Fläcknycklar</t>
        </is>
      </c>
      <c r="V20">
        <f>HYPERLINK("https://klasma.github.io/Logging_0331/artfynd/A 31572-2023 artfynd.xlsx", "A 31572-2023")</f>
        <v/>
      </c>
      <c r="W20">
        <f>HYPERLINK("https://klasma.github.io/Logging_0331/kartor/A 31572-2023 karta.png", "A 31572-2023")</f>
        <v/>
      </c>
      <c r="X20">
        <f>HYPERLINK("https://klasma.github.io/Logging_0331/knärot/A 31572-2023 karta knärot.png", "A 31572-2023")</f>
        <v/>
      </c>
      <c r="Y20">
        <f>HYPERLINK("https://klasma.github.io/Logging_0331/klagomål/A 31572-2023 FSC-klagomål.docx", "A 31572-2023")</f>
        <v/>
      </c>
      <c r="Z20">
        <f>HYPERLINK("https://klasma.github.io/Logging_0331/klagomålsmail/A 31572-2023 FSC-klagomål mail.docx", "A 31572-2023")</f>
        <v/>
      </c>
      <c r="AA20">
        <f>HYPERLINK("https://klasma.github.io/Logging_0331/tillsyn/A 31572-2023 tillsynsbegäran.docx", "A 31572-2023")</f>
        <v/>
      </c>
      <c r="AB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46221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46221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s="2" t="inlineStr">
        <is>
          <t>Garnlav
Knärot
Spillkråka
Kungsfågel
Revlummer</t>
        </is>
      </c>
      <c r="V22">
        <f>HYPERLINK("https://klasma.github.io/Logging_0331/artfynd/A 54352-2025 artfynd.xlsx", "A 54352-2025")</f>
        <v/>
      </c>
      <c r="W22">
        <f>HYPERLINK("https://klasma.github.io/Logging_0331/kartor/A 54352-2025 karta.png", "A 54352-2025")</f>
        <v/>
      </c>
      <c r="X22">
        <f>HYPERLINK("https://klasma.github.io/Logging_0331/knärot/A 54352-2025 karta knärot.png", "A 54352-2025")</f>
        <v/>
      </c>
      <c r="Y22">
        <f>HYPERLINK("https://klasma.github.io/Logging_0331/klagomål/A 54352-2025 FSC-klagomål.docx", "A 54352-2025")</f>
        <v/>
      </c>
      <c r="Z22">
        <f>HYPERLINK("https://klasma.github.io/Logging_0331/klagomålsmail/A 54352-2025 FSC-klagomål mail.docx", "A 54352-2025")</f>
        <v/>
      </c>
      <c r="AA22">
        <f>HYPERLINK("https://klasma.github.io/Logging_0331/tillsyn/A 54352-2025 tillsynsbegäran.docx", "A 54352-2025")</f>
        <v/>
      </c>
      <c r="AB22">
        <f>HYPERLINK("https://klasma.github.io/Logging_0331/tillsynsmail/A 54352-2025 tillsynsbegäran mail.docx", "A 54352-2025")</f>
        <v/>
      </c>
      <c r="AC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46221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s="2" t="inlineStr">
        <is>
          <t>Större flatbagge
Granbräken
Gulnål
Jättesvampmal
Rankstarr</t>
        </is>
      </c>
      <c r="V23">
        <f>HYPERLINK("https://klasma.github.io/Logging_0331/artfynd/A 4610-2025 artfynd.xlsx", "A 4610-2025")</f>
        <v/>
      </c>
      <c r="W23">
        <f>HYPERLINK("https://klasma.github.io/Logging_0331/kartor/A 4610-2025 karta.png", "A 4610-2025")</f>
        <v/>
      </c>
      <c r="Y23">
        <f>HYPERLINK("https://klasma.github.io/Logging_0331/klagomål/A 4610-2025 FSC-klagomål.docx", "A 4610-2025")</f>
        <v/>
      </c>
      <c r="Z23">
        <f>HYPERLINK("https://klasma.github.io/Logging_0331/klagomålsmail/A 4610-2025 FSC-klagomål mail.docx", "A 4610-2025")</f>
        <v/>
      </c>
      <c r="AA23">
        <f>HYPERLINK("https://klasma.github.io/Logging_0331/tillsyn/A 4610-2025 tillsynsbegäran.docx", "A 4610-2025")</f>
        <v/>
      </c>
      <c r="AB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46221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46221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Ask
Vårstarr
Blåsippa
Gullviva</t>
        </is>
      </c>
      <c r="V26">
        <f>HYPERLINK("https://klasma.github.io/Logging_0331/artfynd/A 9354-2026 artfynd.xlsx", "A 9354-2026")</f>
        <v/>
      </c>
      <c r="W26">
        <f>HYPERLINK("https://klasma.github.io/Logging_0331/kartor/A 9354-2026 karta.png", "A 9354-2026")</f>
        <v/>
      </c>
      <c r="Y26">
        <f>HYPERLINK("https://klasma.github.io/Logging_0331/klagomål/A 9354-2026 FSC-klagomål.docx", "A 9354-2026")</f>
        <v/>
      </c>
      <c r="Z26">
        <f>HYPERLINK("https://klasma.github.io/Logging_0331/klagomålsmail/A 9354-2026 FSC-klagomål mail.docx", "A 9354-2026")</f>
        <v/>
      </c>
      <c r="AA26">
        <f>HYPERLINK("https://klasma.github.io/Logging_0331/tillsyn/A 9354-2026 tillsynsbegäran.docx", "A 9354-2026")</f>
        <v/>
      </c>
      <c r="AB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46221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s="2" t="inlineStr">
        <is>
          <t>Vårärt
Grön sköldmossa
Stubbspretmossa
Blåsippa</t>
        </is>
      </c>
      <c r="V27">
        <f>HYPERLINK("https://klasma.github.io/Logging_0331/artfynd/A 14774-2023 artfynd.xlsx", "A 14774-2023")</f>
        <v/>
      </c>
      <c r="W27">
        <f>HYPERLINK("https://klasma.github.io/Logging_0331/kartor/A 14774-2023 karta.png", "A 14774-2023")</f>
        <v/>
      </c>
      <c r="Y27">
        <f>HYPERLINK("https://klasma.github.io/Logging_0331/klagomål/A 14774-2023 FSC-klagomål.docx", "A 14774-2023")</f>
        <v/>
      </c>
      <c r="Z27">
        <f>HYPERLINK("https://klasma.github.io/Logging_0331/klagomålsmail/A 14774-2023 FSC-klagomål mail.docx", "A 14774-2023")</f>
        <v/>
      </c>
      <c r="AA27">
        <f>HYPERLINK("https://klasma.github.io/Logging_0331/tillsyn/A 14774-2023 tillsynsbegäran.docx", "A 14774-2023")</f>
        <v/>
      </c>
      <c r="AB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46221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Aspsplintbock
Aspvedgnagare
Björksplintborre
Jättesvampmal</t>
        </is>
      </c>
      <c r="V28">
        <f>HYPERLINK("https://klasma.github.io/Logging_0331/artfynd/A 30090-2024 artfynd.xlsx", "A 30090-2024")</f>
        <v/>
      </c>
      <c r="W28">
        <f>HYPERLINK("https://klasma.github.io/Logging_0331/kartor/A 30090-2024 karta.png", "A 30090-2024")</f>
        <v/>
      </c>
      <c r="Y28">
        <f>HYPERLINK("https://klasma.github.io/Logging_0331/klagomål/A 30090-2024 FSC-klagomål.docx", "A 30090-2024")</f>
        <v/>
      </c>
      <c r="Z28">
        <f>HYPERLINK("https://klasma.github.io/Logging_0331/klagomålsmail/A 30090-2024 FSC-klagomål mail.docx", "A 30090-2024")</f>
        <v/>
      </c>
      <c r="AA28">
        <f>HYPERLINK("https://klasma.github.io/Logging_0331/tillsyn/A 30090-2024 tillsynsbegäran.docx", "A 30090-2024")</f>
        <v/>
      </c>
      <c r="AB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46221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s="2" t="inlineStr">
        <is>
          <t>Knärot
Bronshjon
Thomsons trägnagare
Vedticka</t>
        </is>
      </c>
      <c r="V29">
        <f>HYPERLINK("https://klasma.github.io/Logging_0331/artfynd/A 44525-2022 artfynd.xlsx", "A 44525-2022")</f>
        <v/>
      </c>
      <c r="W29">
        <f>HYPERLINK("https://klasma.github.io/Logging_0331/kartor/A 44525-2022 karta.png", "A 44525-2022")</f>
        <v/>
      </c>
      <c r="X29">
        <f>HYPERLINK("https://klasma.github.io/Logging_0331/knärot/A 44525-2022 karta knärot.png", "A 44525-2022")</f>
        <v/>
      </c>
      <c r="Y29">
        <f>HYPERLINK("https://klasma.github.io/Logging_0331/klagomål/A 44525-2022 FSC-klagomål.docx", "A 44525-2022")</f>
        <v/>
      </c>
      <c r="Z29">
        <f>HYPERLINK("https://klasma.github.io/Logging_0331/klagomålsmail/A 44525-2022 FSC-klagomål mail.docx", "A 44525-2022")</f>
        <v/>
      </c>
      <c r="AA29">
        <f>HYPERLINK("https://klasma.github.io/Logging_0331/tillsyn/A 44525-2022 tillsynsbegäran.docx", "A 44525-2022")</f>
        <v/>
      </c>
      <c r="AB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46221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s="2" t="inlineStr">
        <is>
          <t>Knärot
Blåsippa
Lopplummer (aggregat)
Revlummer</t>
        </is>
      </c>
      <c r="V30">
        <f>HYPERLINK("https://klasma.github.io/Logging_0331/artfynd/A 51733-2023 artfynd.xlsx", "A 51733-2023")</f>
        <v/>
      </c>
      <c r="W30">
        <f>HYPERLINK("https://klasma.github.io/Logging_0331/kartor/A 51733-2023 karta.png", "A 51733-2023")</f>
        <v/>
      </c>
      <c r="X30">
        <f>HYPERLINK("https://klasma.github.io/Logging_0331/knärot/A 51733-2023 karta knärot.png", "A 51733-2023")</f>
        <v/>
      </c>
      <c r="Y30">
        <f>HYPERLINK("https://klasma.github.io/Logging_0331/klagomål/A 51733-2023 FSC-klagomål.docx", "A 51733-2023")</f>
        <v/>
      </c>
      <c r="Z30">
        <f>HYPERLINK("https://klasma.github.io/Logging_0331/klagomålsmail/A 51733-2023 FSC-klagomål mail.docx", "A 51733-2023")</f>
        <v/>
      </c>
      <c r="AA30">
        <f>HYPERLINK("https://klasma.github.io/Logging_0331/tillsyn/A 51733-2023 tillsynsbegäran.docx", "A 51733-2023")</f>
        <v/>
      </c>
      <c r="AB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46221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46221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46221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46221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46221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s="2" t="inlineStr">
        <is>
          <t>Amphicyllis globiformis
Granvivel
Skrovlig flatbagge</t>
        </is>
      </c>
      <c r="V36">
        <f>HYPERLINK("https://klasma.github.io/Logging_0331/artfynd/A 44281-2024 artfynd.xlsx", "A 44281-2024")</f>
        <v/>
      </c>
      <c r="W36">
        <f>HYPERLINK("https://klasma.github.io/Logging_0331/kartor/A 44281-2024 karta.png", "A 44281-2024")</f>
        <v/>
      </c>
      <c r="Y36">
        <f>HYPERLINK("https://klasma.github.io/Logging_0331/klagomål/A 44281-2024 FSC-klagomål.docx", "A 44281-2024")</f>
        <v/>
      </c>
      <c r="Z36">
        <f>HYPERLINK("https://klasma.github.io/Logging_0331/klagomålsmail/A 44281-2024 FSC-klagomål mail.docx", "A 44281-2024")</f>
        <v/>
      </c>
      <c r="AA36">
        <f>HYPERLINK("https://klasma.github.io/Logging_0331/tillsyn/A 44281-2024 tillsynsbegäran.docx", "A 44281-2024")</f>
        <v/>
      </c>
      <c r="AB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46221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Y37">
        <f>HYPERLINK("https://klasma.github.io/Logging_0331/klagomål/A 23609-2026 FSC-klagomål.docx", "A 23609-2026")</f>
        <v/>
      </c>
      <c r="Z37">
        <f>HYPERLINK("https://klasma.github.io/Logging_0331/klagomålsmail/A 23609-2026 FSC-klagomål mail.docx", "A 23609-2026")</f>
        <v/>
      </c>
      <c r="AA37">
        <f>HYPERLINK("https://klasma.github.io/Logging_0331/tillsyn/A 23609-2026 tillsynsbegäran.docx", "A 23609-2026")</f>
        <v/>
      </c>
      <c r="AB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46221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s="2" t="inlineStr">
        <is>
          <t>Knärot
Gropticka
Spillkråka</t>
        </is>
      </c>
      <c r="V38">
        <f>HYPERLINK("https://klasma.github.io/Logging_0331/artfynd/A 54350-2025 artfynd.xlsx", "A 54350-2025")</f>
        <v/>
      </c>
      <c r="W38">
        <f>HYPERLINK("https://klasma.github.io/Logging_0331/kartor/A 54350-2025 karta.png", "A 54350-2025")</f>
        <v/>
      </c>
      <c r="X38">
        <f>HYPERLINK("https://klasma.github.io/Logging_0331/knärot/A 54350-2025 karta knärot.png", "A 54350-2025")</f>
        <v/>
      </c>
      <c r="Y38">
        <f>HYPERLINK("https://klasma.github.io/Logging_0331/klagomål/A 54350-2025 FSC-klagomål.docx", "A 54350-2025")</f>
        <v/>
      </c>
      <c r="Z38">
        <f>HYPERLINK("https://klasma.github.io/Logging_0331/klagomålsmail/A 54350-2025 FSC-klagomål mail.docx", "A 54350-2025")</f>
        <v/>
      </c>
      <c r="AA38">
        <f>HYPERLINK("https://klasma.github.io/Logging_0331/tillsyn/A 54350-2025 tillsynsbegäran.docx", "A 54350-2025")</f>
        <v/>
      </c>
      <c r="AB38">
        <f>HYPERLINK("https://klasma.github.io/Logging_0331/tillsynsmail/A 54350-2025 tillsynsbegäran mail.docx", "A 54350-2025")</f>
        <v/>
      </c>
      <c r="AC38">
        <f>HYPERLINK("https://klasma.github.io/Logging_0331/fåglar/A 54350-2025 prioriterade fågelarter.docx", "A 54350-2025")</f>
        <v/>
      </c>
    </row>
    <row r="39" ht="15" customHeight="1">
      <c r="A39" t="inlineStr">
        <is>
          <t>A 54814-2024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46221</v>
      </c>
      <c r="F39" t="inlineStr">
        <is>
          <t>UPPSALA LÄN</t>
        </is>
      </c>
      <c r="G39" t="inlineStr">
        <is>
          <t>HEBY</t>
        </is>
      </c>
      <c r="I39" t="n">
        <v>2.5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s="2" t="inlineStr">
        <is>
          <t>Knärot
Talltita
Kungsfågel</t>
        </is>
      </c>
      <c r="V39">
        <f>HYPERLINK("https://klasma.github.io/Logging_0331/artfynd/A 54814-2024 artfynd.xlsx", "A 54814-2024")</f>
        <v/>
      </c>
      <c r="W39">
        <f>HYPERLINK("https://klasma.github.io/Logging_0331/kartor/A 54814-2024 karta.png", "A 54814-2024")</f>
        <v/>
      </c>
      <c r="X39">
        <f>HYPERLINK("https://klasma.github.io/Logging_0331/knärot/A 54814-2024 karta knärot.png", "A 54814-2024")</f>
        <v/>
      </c>
      <c r="Y39">
        <f>HYPERLINK("https://klasma.github.io/Logging_0331/klagomål/A 54814-2024 FSC-klagomål.docx", "A 54814-2024")</f>
        <v/>
      </c>
      <c r="Z39">
        <f>HYPERLINK("https://klasma.github.io/Logging_0331/klagomålsmail/A 54814-2024 FSC-klagomål mail.docx", "A 54814-2024")</f>
        <v/>
      </c>
      <c r="AA39">
        <f>HYPERLINK("https://klasma.github.io/Logging_0331/tillsyn/A 54814-2024 tillsynsbegäran.docx", "A 54814-2024")</f>
        <v/>
      </c>
      <c r="AB39">
        <f>HYPERLINK("https://klasma.github.io/Logging_0331/tillsynsmail/A 54814-2024 tillsynsbegäran mail.docx", "A 54814-2024")</f>
        <v/>
      </c>
      <c r="AC39">
        <f>HYPERLINK("https://klasma.github.io/Logging_0331/fåglar/A 54814-2024 prioriterade fågelarter.docx", "A 54814-2024")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46221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s="2" t="inlineStr">
        <is>
          <t>Talltita
Älg
Orre</t>
        </is>
      </c>
      <c r="V40">
        <f>HYPERLINK("https://klasma.github.io/Logging_0331/artfynd/A 31450-2026 artfynd.xlsx", "A 31450-2026")</f>
        <v/>
      </c>
      <c r="W40">
        <f>HYPERLINK("https://klasma.github.io/Logging_0331/kartor/A 31450-2026 karta.png", "A 31450-2026")</f>
        <v/>
      </c>
      <c r="Y40">
        <f>HYPERLINK("https://klasma.github.io/Logging_0331/klagomål/A 31450-2026 FSC-klagomål.docx", "A 31450-2026")</f>
        <v/>
      </c>
      <c r="Z40">
        <f>HYPERLINK("https://klasma.github.io/Logging_0331/klagomålsmail/A 31450-2026 FSC-klagomål mail.docx", "A 31450-2026")</f>
        <v/>
      </c>
      <c r="AA40">
        <f>HYPERLINK("https://klasma.github.io/Logging_0331/tillsyn/A 31450-2026 tillsynsbegäran.docx", "A 31450-2026")</f>
        <v/>
      </c>
      <c r="AB40">
        <f>HYPERLINK("https://klasma.github.io/Logging_0331/tillsynsmail/A 31450-2026 tillsynsbegäran mail.docx", "A 31450-2026")</f>
        <v/>
      </c>
      <c r="AC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s="2" t="inlineStr">
        <is>
          <t>Aspsplintbock
Grönhjon
Noshornsoxe</t>
        </is>
      </c>
      <c r="V41">
        <f>HYPERLINK("https://klasma.github.io/Logging_0331/artfynd/S 2798-2024 artfynd.xlsx", "S 2798-2024")</f>
        <v/>
      </c>
      <c r="W41">
        <f>HYPERLINK("https://klasma.github.io/Logging_0331/kartor/S 2798-2024 karta.png", "S 2798-2024")</f>
        <v/>
      </c>
      <c r="Y41">
        <f>HYPERLINK("https://klasma.github.io/Logging_0331/klagomål/S 2798-2024 FSC-klagomål.docx", "S 2798-2024")</f>
        <v/>
      </c>
      <c r="Z41">
        <f>HYPERLINK("https://klasma.github.io/Logging_0331/klagomålsmail/S 2798-2024 FSC-klagomål mail.docx", "S 2798-2024")</f>
        <v/>
      </c>
      <c r="AA41">
        <f>HYPERLINK("https://klasma.github.io/Logging_0331/tillsyn/S 2798-2024 tillsynsbegäran.docx", "S 2798-2024")</f>
        <v/>
      </c>
      <c r="AB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46221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s="2" t="inlineStr">
        <is>
          <t>Aspfjädermossa
Skinnlav
Tibast</t>
        </is>
      </c>
      <c r="V42">
        <f>HYPERLINK("https://klasma.github.io/Logging_0331/artfynd/S 3073-2025 artfynd.xlsx", "S 3073-2025")</f>
        <v/>
      </c>
      <c r="W42">
        <f>HYPERLINK("https://klasma.github.io/Logging_0331/kartor/S 3073-2025 karta.png", "S 3073-2025")</f>
        <v/>
      </c>
      <c r="Y42">
        <f>HYPERLINK("https://klasma.github.io/Logging_0331/klagomål/S 3073-2025 FSC-klagomål.docx", "S 3073-2025")</f>
        <v/>
      </c>
      <c r="Z42">
        <f>HYPERLINK("https://klasma.github.io/Logging_0331/klagomålsmail/S 3073-2025 FSC-klagomål mail.docx", "S 3073-2025")</f>
        <v/>
      </c>
      <c r="AA42">
        <f>HYPERLINK("https://klasma.github.io/Logging_0331/tillsyn/S 3073-2025 tillsynsbegäran.docx", "S 3073-2025")</f>
        <v/>
      </c>
      <c r="AB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46221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s="2" t="inlineStr">
        <is>
          <t>Knärot
Motaggsvamp</t>
        </is>
      </c>
      <c r="V43">
        <f>HYPERLINK("https://klasma.github.io/Logging_0331/artfynd/A 2554-2024 artfynd.xlsx", "A 2554-2024")</f>
        <v/>
      </c>
      <c r="W43">
        <f>HYPERLINK("https://klasma.github.io/Logging_0331/kartor/A 2554-2024 karta.png", "A 2554-2024")</f>
        <v/>
      </c>
      <c r="X43">
        <f>HYPERLINK("https://klasma.github.io/Logging_0331/knärot/A 2554-2024 karta knärot.png", "A 2554-2024")</f>
        <v/>
      </c>
      <c r="Y43">
        <f>HYPERLINK("https://klasma.github.io/Logging_0331/klagomål/A 2554-2024 FSC-klagomål.docx", "A 2554-2024")</f>
        <v/>
      </c>
      <c r="Z43">
        <f>HYPERLINK("https://klasma.github.io/Logging_0331/klagomålsmail/A 2554-2024 FSC-klagomål mail.docx", "A 2554-2024")</f>
        <v/>
      </c>
      <c r="AA43">
        <f>HYPERLINK("https://klasma.github.io/Logging_0331/tillsyn/A 2554-2024 tillsynsbegäran.docx", "A 2554-2024")</f>
        <v/>
      </c>
      <c r="AB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46221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s="2" t="inlineStr">
        <is>
          <t>Lammticka
Motaggsvamp</t>
        </is>
      </c>
      <c r="V44">
        <f>HYPERLINK("https://klasma.github.io/Logging_0331/artfynd/A 41219-2025 artfynd.xlsx", "A 41219-2025")</f>
        <v/>
      </c>
      <c r="W44">
        <f>HYPERLINK("https://klasma.github.io/Logging_0331/kartor/A 41219-2025 karta.png", "A 41219-2025")</f>
        <v/>
      </c>
      <c r="Y44">
        <f>HYPERLINK("https://klasma.github.io/Logging_0331/klagomål/A 41219-2025 FSC-klagomål.docx", "A 41219-2025")</f>
        <v/>
      </c>
      <c r="Z44">
        <f>HYPERLINK("https://klasma.github.io/Logging_0331/klagomålsmail/A 41219-2025 FSC-klagomål mail.docx", "A 41219-2025")</f>
        <v/>
      </c>
      <c r="AA44">
        <f>HYPERLINK("https://klasma.github.io/Logging_0331/tillsyn/A 41219-2025 tillsynsbegäran.docx", "A 41219-2025")</f>
        <v/>
      </c>
      <c r="AB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46221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s="2" t="inlineStr">
        <is>
          <t>Knärot
Fläcknycklar</t>
        </is>
      </c>
      <c r="V45">
        <f>HYPERLINK("https://klasma.github.io/Logging_0331/artfynd/A 40662-2023 artfynd.xlsx", "A 40662-2023")</f>
        <v/>
      </c>
      <c r="W45">
        <f>HYPERLINK("https://klasma.github.io/Logging_0331/kartor/A 40662-2023 karta.png", "A 40662-2023")</f>
        <v/>
      </c>
      <c r="X45">
        <f>HYPERLINK("https://klasma.github.io/Logging_0331/knärot/A 40662-2023 karta knärot.png", "A 40662-2023")</f>
        <v/>
      </c>
      <c r="Y45">
        <f>HYPERLINK("https://klasma.github.io/Logging_0331/klagomål/A 40662-2023 FSC-klagomål.docx", "A 40662-2023")</f>
        <v/>
      </c>
      <c r="Z45">
        <f>HYPERLINK("https://klasma.github.io/Logging_0331/klagomålsmail/A 40662-2023 FSC-klagomål mail.docx", "A 40662-2023")</f>
        <v/>
      </c>
      <c r="AA45">
        <f>HYPERLINK("https://klasma.github.io/Logging_0331/tillsyn/A 40662-2023 tillsynsbegäran.docx", "A 40662-2023")</f>
        <v/>
      </c>
      <c r="AB45">
        <f>HYPERLINK("https://klasma.github.io/Logging_0331/tillsynsmail/A 40662-2023 tillsynsbegäran mail.docx", "A 40662-2023")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46221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Thomsons trägnagare
Kungsfågel</t>
        </is>
      </c>
      <c r="V46">
        <f>HYPERLINK("https://klasma.github.io/Logging_0331/artfynd/A 50558-2025 artfynd.xlsx", "A 50558-2025")</f>
        <v/>
      </c>
      <c r="W46">
        <f>HYPERLINK("https://klasma.github.io/Logging_0331/kartor/A 50558-2025 karta.png", "A 50558-2025")</f>
        <v/>
      </c>
      <c r="Y46">
        <f>HYPERLINK("https://klasma.github.io/Logging_0331/klagomål/A 50558-2025 FSC-klagomål.docx", "A 50558-2025")</f>
        <v/>
      </c>
      <c r="Z46">
        <f>HYPERLINK("https://klasma.github.io/Logging_0331/klagomålsmail/A 50558-2025 FSC-klagomål mail.docx", "A 50558-2025")</f>
        <v/>
      </c>
      <c r="AA46">
        <f>HYPERLINK("https://klasma.github.io/Logging_0331/tillsyn/A 50558-2025 tillsynsbegäran.docx", "A 50558-2025")</f>
        <v/>
      </c>
      <c r="AB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46221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Motaggsvamp</t>
        </is>
      </c>
      <c r="V47">
        <f>HYPERLINK("https://klasma.github.io/Logging_0331/artfynd/A 59728-2025 artfynd.xlsx", "A 59728-2025")</f>
        <v/>
      </c>
      <c r="W47">
        <f>HYPERLINK("https://klasma.github.io/Logging_0331/kartor/A 59728-2025 karta.png", "A 59728-2025")</f>
        <v/>
      </c>
      <c r="X47">
        <f>HYPERLINK("https://klasma.github.io/Logging_0331/knärot/A 59728-2025 karta knärot.png", "A 59728-2025")</f>
        <v/>
      </c>
      <c r="Y47">
        <f>HYPERLINK("https://klasma.github.io/Logging_0331/klagomål/A 59728-2025 FSC-klagomål.docx", "A 59728-2025")</f>
        <v/>
      </c>
      <c r="Z47">
        <f>HYPERLINK("https://klasma.github.io/Logging_0331/klagomålsmail/A 59728-2025 FSC-klagomål mail.docx", "A 59728-2025")</f>
        <v/>
      </c>
      <c r="AA47">
        <f>HYPERLINK("https://klasma.github.io/Logging_0331/tillsyn/A 59728-2025 tillsynsbegäran.docx", "A 59728-2025")</f>
        <v/>
      </c>
      <c r="AB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46221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s="2" t="inlineStr">
        <is>
          <t>Motaggsvamp
Plattlummer</t>
        </is>
      </c>
      <c r="V48">
        <f>HYPERLINK("https://klasma.github.io/Logging_0331/artfynd/A 20509-2026 artfynd.xlsx", "A 20509-2026")</f>
        <v/>
      </c>
      <c r="W48">
        <f>HYPERLINK("https://klasma.github.io/Logging_0331/kartor/A 20509-2026 karta.png", "A 20509-2026")</f>
        <v/>
      </c>
      <c r="Y48">
        <f>HYPERLINK("https://klasma.github.io/Logging_0331/klagomål/A 20509-2026 FSC-klagomål.docx", "A 20509-2026")</f>
        <v/>
      </c>
      <c r="Z48">
        <f>HYPERLINK("https://klasma.github.io/Logging_0331/klagomålsmail/A 20509-2026 FSC-klagomål mail.docx", "A 20509-2026")</f>
        <v/>
      </c>
      <c r="AA48">
        <f>HYPERLINK("https://klasma.github.io/Logging_0331/tillsyn/A 20509-2026 tillsynsbegäran.docx", "A 20509-2026")</f>
        <v/>
      </c>
      <c r="AB48">
        <f>HYPERLINK("https://klasma.github.io/Logging_0331/tillsynsmail/A 20509-2026 tillsynsbegäran mail.docx", "A 20509-2026")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46221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Större flatbagge
Tjäder</t>
        </is>
      </c>
      <c r="V49">
        <f>HYPERLINK("https://klasma.github.io/Logging_0331/artfynd/A 63982-2023 artfynd.xlsx", "A 63982-2023")</f>
        <v/>
      </c>
      <c r="W49">
        <f>HYPERLINK("https://klasma.github.io/Logging_0331/kartor/A 63982-2023 karta.png", "A 63982-2023")</f>
        <v/>
      </c>
      <c r="Y49">
        <f>HYPERLINK("https://klasma.github.io/Logging_0331/klagomål/A 63982-2023 FSC-klagomål.docx", "A 63982-2023")</f>
        <v/>
      </c>
      <c r="Z49">
        <f>HYPERLINK("https://klasma.github.io/Logging_0331/klagomålsmail/A 63982-2023 FSC-klagomål mail.docx", "A 63982-2023")</f>
        <v/>
      </c>
      <c r="AA49">
        <f>HYPERLINK("https://klasma.github.io/Logging_0331/tillsyn/A 63982-2023 tillsynsbegäran.docx", "A 63982-2023")</f>
        <v/>
      </c>
      <c r="AB49">
        <f>HYPERLINK("https://klasma.github.io/Logging_0331/tillsynsmail/A 63982-2023 tillsynsbegäran mail.docx", "A 63982-2023")</f>
        <v/>
      </c>
      <c r="AC49">
        <f>HYPERLINK("https://klasma.github.io/Logging_0331/fåglar/A 63982-2023 prioriterade fågelarter.docx", "A 63982-2023")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46221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Tjäder
Havsörn</t>
        </is>
      </c>
      <c r="V50">
        <f>HYPERLINK("https://klasma.github.io/Logging_0331/artfynd/A 25632-2026 artfynd.xlsx", "A 25632-2026")</f>
        <v/>
      </c>
      <c r="W50">
        <f>HYPERLINK("https://klasma.github.io/Logging_0331/kartor/A 25632-2026 karta.png", "A 25632-2026")</f>
        <v/>
      </c>
      <c r="Y50">
        <f>HYPERLINK("https://klasma.github.io/Logging_0331/klagomål/A 25632-2026 FSC-klagomål.docx", "A 25632-2026")</f>
        <v/>
      </c>
      <c r="Z50">
        <f>HYPERLINK("https://klasma.github.io/Logging_0331/klagomålsmail/A 25632-2026 FSC-klagomål mail.docx", "A 25632-2026")</f>
        <v/>
      </c>
      <c r="AA50">
        <f>HYPERLINK("https://klasma.github.io/Logging_0331/tillsyn/A 25632-2026 tillsynsbegäran.docx", "A 25632-2026")</f>
        <v/>
      </c>
      <c r="AB50">
        <f>HYPERLINK("https://klasma.github.io/Logging_0331/tillsynsmail/A 25632-2026 tillsynsbegäran mail.docx", "A 25632-2026")</f>
        <v/>
      </c>
      <c r="AC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Spädstarr
Repestarr</t>
        </is>
      </c>
      <c r="V51">
        <f>HYPERLINK("https://klasma.github.io/Logging_0331/artfynd/A 17972-2024 artfynd.xlsx", "A 17972-2024")</f>
        <v/>
      </c>
      <c r="W51">
        <f>HYPERLINK("https://klasma.github.io/Logging_0331/kartor/A 17972-2024 karta.png", "A 17972-2024")</f>
        <v/>
      </c>
      <c r="Y51">
        <f>HYPERLINK("https://klasma.github.io/Logging_0331/klagomål/A 17972-2024 FSC-klagomål.docx", "A 17972-2024")</f>
        <v/>
      </c>
      <c r="Z51">
        <f>HYPERLINK("https://klasma.github.io/Logging_0331/klagomålsmail/A 17972-2024 FSC-klagomål mail.docx", "A 17972-2024")</f>
        <v/>
      </c>
      <c r="AA51">
        <f>HYPERLINK("https://klasma.github.io/Logging_0331/tillsyn/A 17972-2024 tillsynsbegäran.docx", "A 17972-2024")</f>
        <v/>
      </c>
      <c r="AB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46221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Aspvedgnagare
Björksplintborre</t>
        </is>
      </c>
      <c r="V52">
        <f>HYPERLINK("https://klasma.github.io/Logging_0331/artfynd/S 2234-2024 artfynd.xlsx", "S 2234-2024")</f>
        <v/>
      </c>
      <c r="W52">
        <f>HYPERLINK("https://klasma.github.io/Logging_0331/kartor/S 2234-2024 karta.png", "S 2234-2024")</f>
        <v/>
      </c>
      <c r="Y52">
        <f>HYPERLINK("https://klasma.github.io/Logging_0331/klagomål/S 2234-2024 FSC-klagomål.docx", "S 2234-2024")</f>
        <v/>
      </c>
      <c r="Z52">
        <f>HYPERLINK("https://klasma.github.io/Logging_0331/klagomålsmail/S 2234-2024 FSC-klagomål mail.docx", "S 2234-2024")</f>
        <v/>
      </c>
      <c r="AA52">
        <f>HYPERLINK("https://klasma.github.io/Logging_0331/tillsyn/S 2234-2024 tillsynsbegäran.docx", "S 2234-2024")</f>
        <v/>
      </c>
      <c r="AB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46221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s="2" t="inlineStr">
        <is>
          <t>Lammticka
Motaggsvamp</t>
        </is>
      </c>
      <c r="V53">
        <f>HYPERLINK("https://klasma.github.io/Logging_0331/artfynd/S 846-2024 artfynd.xlsx", "S 846-2024")</f>
        <v/>
      </c>
      <c r="W53">
        <f>HYPERLINK("https://klasma.github.io/Logging_0331/kartor/S 846-2024 karta.png", "S 846-2024")</f>
        <v/>
      </c>
      <c r="Y53">
        <f>HYPERLINK("https://klasma.github.io/Logging_0331/klagomål/S 846-2024 FSC-klagomål.docx", "S 846-2024")</f>
        <v/>
      </c>
      <c r="Z53">
        <f>HYPERLINK("https://klasma.github.io/Logging_0331/klagomålsmail/S 846-2024 FSC-klagomål mail.docx", "S 846-2024")</f>
        <v/>
      </c>
      <c r="AA53">
        <f>HYPERLINK("https://klasma.github.io/Logging_0331/tillsyn/S 846-2024 tillsynsbegäran.docx", "S 846-2024")</f>
        <v/>
      </c>
      <c r="AB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46221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Ängsnycklar</t>
        </is>
      </c>
      <c r="V54">
        <f>HYPERLINK("https://klasma.github.io/Logging_0331/artfynd/A 46094-2022 artfynd.xlsx", "A 46094-2022")</f>
        <v/>
      </c>
      <c r="W54">
        <f>HYPERLINK("https://klasma.github.io/Logging_0331/kartor/A 46094-2022 karta.png", "A 46094-2022")</f>
        <v/>
      </c>
      <c r="Y54">
        <f>HYPERLINK("https://klasma.github.io/Logging_0331/klagomål/A 46094-2022 FSC-klagomål.docx", "A 46094-2022")</f>
        <v/>
      </c>
      <c r="Z54">
        <f>HYPERLINK("https://klasma.github.io/Logging_0331/klagomålsmail/A 46094-2022 FSC-klagomål mail.docx", "A 46094-2022")</f>
        <v/>
      </c>
      <c r="AA54">
        <f>HYPERLINK("https://klasma.github.io/Logging_0331/tillsyn/A 46094-2022 tillsynsbegäran.docx", "A 46094-2022")</f>
        <v/>
      </c>
      <c r="AB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46221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s="2" t="inlineStr">
        <is>
          <t>Väddnätfjäril</t>
        </is>
      </c>
      <c r="V55">
        <f>HYPERLINK("https://klasma.github.io/Logging_0331/artfynd/A 63826-2021 artfynd.xlsx", "A 63826-2021")</f>
        <v/>
      </c>
      <c r="W55">
        <f>HYPERLINK("https://klasma.github.io/Logging_0331/kartor/A 63826-2021 karta.png", "A 63826-2021")</f>
        <v/>
      </c>
      <c r="Y55">
        <f>HYPERLINK("https://klasma.github.io/Logging_0331/klagomål/A 63826-2021 FSC-klagomål.docx", "A 63826-2021")</f>
        <v/>
      </c>
      <c r="Z55">
        <f>HYPERLINK("https://klasma.github.io/Logging_0331/klagomålsmail/A 63826-2021 FSC-klagomål mail.docx", "A 63826-2021")</f>
        <v/>
      </c>
      <c r="AA55">
        <f>HYPERLINK("https://klasma.github.io/Logging_0331/tillsyn/A 63826-2021 tillsynsbegäran.docx", "A 63826-2021")</f>
        <v/>
      </c>
      <c r="AB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46221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HYPERLINK("https://klasma.github.io/Logging_0331/artfynd/A 41382-2022 artfynd.xlsx", "A 41382-2022")</f>
        <v/>
      </c>
      <c r="W56">
        <f>HYPERLINK("https://klasma.github.io/Logging_0331/kartor/A 41382-2022 karta.png", "A 41382-2022")</f>
        <v/>
      </c>
      <c r="Y56">
        <f>HYPERLINK("https://klasma.github.io/Logging_0331/klagomål/A 41382-2022 FSC-klagomål.docx", "A 41382-2022")</f>
        <v/>
      </c>
      <c r="Z56">
        <f>HYPERLINK("https://klasma.github.io/Logging_0331/klagomålsmail/A 41382-2022 FSC-klagomål mail.docx", "A 41382-2022")</f>
        <v/>
      </c>
      <c r="AA56">
        <f>HYPERLINK("https://klasma.github.io/Logging_0331/tillsyn/A 41382-2022 tillsynsbegäran.docx", "A 41382-2022")</f>
        <v/>
      </c>
      <c r="AB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46221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HYPERLINK("https://klasma.github.io/Logging_0331/artfynd/A 24562-2023 artfynd.xlsx", "A 24562-2023")</f>
        <v/>
      </c>
      <c r="W57">
        <f>HYPERLINK("https://klasma.github.io/Logging_0331/kartor/A 24562-2023 karta.png", "A 24562-2023")</f>
        <v/>
      </c>
      <c r="Y57">
        <f>HYPERLINK("https://klasma.github.io/Logging_0331/klagomål/A 24562-2023 FSC-klagomål.docx", "A 24562-2023")</f>
        <v/>
      </c>
      <c r="Z57">
        <f>HYPERLINK("https://klasma.github.io/Logging_0331/klagomålsmail/A 24562-2023 FSC-klagomål mail.docx", "A 24562-2023")</f>
        <v/>
      </c>
      <c r="AA57">
        <f>HYPERLINK("https://klasma.github.io/Logging_0331/tillsyn/A 24562-2023 tillsynsbegäran.docx", "A 24562-2023")</f>
        <v/>
      </c>
      <c r="AB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46221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Tretåig hackspett</t>
        </is>
      </c>
      <c r="V58">
        <f>HYPERLINK("https://klasma.github.io/Logging_0331/artfynd/A 26932-2023 artfynd.xlsx", "A 26932-2023")</f>
        <v/>
      </c>
      <c r="W58">
        <f>HYPERLINK("https://klasma.github.io/Logging_0331/kartor/A 26932-2023 karta.png", "A 26932-2023")</f>
        <v/>
      </c>
      <c r="Y58">
        <f>HYPERLINK("https://klasma.github.io/Logging_0331/klagomål/A 26932-2023 FSC-klagomål.docx", "A 26932-2023")</f>
        <v/>
      </c>
      <c r="Z58">
        <f>HYPERLINK("https://klasma.github.io/Logging_0331/klagomålsmail/A 26932-2023 FSC-klagomål mail.docx", "A 26932-2023")</f>
        <v/>
      </c>
      <c r="AA58">
        <f>HYPERLINK("https://klasma.github.io/Logging_0331/tillsyn/A 26932-2023 tillsynsbegäran.docx", "A 26932-2023")</f>
        <v/>
      </c>
      <c r="AB58">
        <f>HYPERLINK("https://klasma.github.io/Logging_0331/tillsynsmail/A 26932-2023 tillsynsbegäran mail.docx", "A 26932-2023")</f>
        <v/>
      </c>
      <c r="AC58">
        <f>HYPERLINK("https://klasma.github.io/Logging_0331/fåglar/A 26932-2023 prioriterade fågelarter.docx", "A 26932-2023")</f>
        <v/>
      </c>
    </row>
    <row r="59" ht="15" customHeight="1">
      <c r="A59" t="inlineStr">
        <is>
          <t>A 37076-2021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44395</v>
      </c>
      <c r="E59" s="1" t="n">
        <v>46221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HYPERLINK("https://klasma.github.io/Logging_0331/artfynd/A 37076-2021 artfynd.xlsx", "A 37076-2021")</f>
        <v/>
      </c>
      <c r="W59">
        <f>HYPERLINK("https://klasma.github.io/Logging_0331/kartor/A 37076-2021 karta.png", "A 37076-2021")</f>
        <v/>
      </c>
      <c r="X59">
        <f>HYPERLINK("https://klasma.github.io/Logging_0331/knärot/A 37076-2021 karta knärot.png", "A 37076-2021")</f>
        <v/>
      </c>
      <c r="Y59">
        <f>HYPERLINK("https://klasma.github.io/Logging_0331/klagomål/A 37076-2021 FSC-klagomål.docx", "A 37076-2021")</f>
        <v/>
      </c>
      <c r="Z59">
        <f>HYPERLINK("https://klasma.github.io/Logging_0331/klagomålsmail/A 37076-2021 FSC-klagomål mail.docx", "A 37076-2021")</f>
        <v/>
      </c>
      <c r="AA59">
        <f>HYPERLINK("https://klasma.github.io/Logging_0331/tillsyn/A 37076-2021 tillsynsbegäran.docx", "A 37076-2021")</f>
        <v/>
      </c>
      <c r="AB59">
        <f>HYPERLINK("https://klasma.github.io/Logging_0331/tillsynsmail/A 37076-2021 tillsynsbegäran mail.docx", "A 37076-2021")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46221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HYPERLINK("https://klasma.github.io/Logging_0331/artfynd/A 17006-2024 artfynd.xlsx", "A 17006-2024")</f>
        <v/>
      </c>
      <c r="W60">
        <f>HYPERLINK("https://klasma.github.io/Logging_0331/kartor/A 17006-2024 karta.png", "A 17006-2024")</f>
        <v/>
      </c>
      <c r="Y60">
        <f>HYPERLINK("https://klasma.github.io/Logging_0331/klagomål/A 17006-2024 FSC-klagomål.docx", "A 17006-2024")</f>
        <v/>
      </c>
      <c r="Z60">
        <f>HYPERLINK("https://klasma.github.io/Logging_0331/klagomålsmail/A 17006-2024 FSC-klagomål mail.docx", "A 17006-2024")</f>
        <v/>
      </c>
      <c r="AA60">
        <f>HYPERLINK("https://klasma.github.io/Logging_0331/tillsyn/A 17006-2024 tillsynsbegäran.docx", "A 17006-2024")</f>
        <v/>
      </c>
      <c r="AB60">
        <f>HYPERLINK("https://klasma.github.io/Logging_0331/tillsynsmail/A 17006-2024 tillsynsbegäran mail.docx", "A 17006-2024")</f>
        <v/>
      </c>
      <c r="AC60">
        <f>HYPERLINK("https://klasma.github.io/Logging_0331/fåglar/A 17006-2024 prioriterade fågelarter.docx", "A 17006-2024")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46221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Knärot</t>
        </is>
      </c>
      <c r="V61">
        <f>HYPERLINK("https://klasma.github.io/Logging_0331/artfynd/A 38417-2025 artfynd.xlsx", "A 38417-2025")</f>
        <v/>
      </c>
      <c r="W61">
        <f>HYPERLINK("https://klasma.github.io/Logging_0331/kartor/A 38417-2025 karta.png", "A 38417-2025")</f>
        <v/>
      </c>
      <c r="X61">
        <f>HYPERLINK("https://klasma.github.io/Logging_0331/knärot/A 38417-2025 karta knärot.png", "A 38417-2025")</f>
        <v/>
      </c>
      <c r="Y61">
        <f>HYPERLINK("https://klasma.github.io/Logging_0331/klagomål/A 38417-2025 FSC-klagomål.docx", "A 38417-2025")</f>
        <v/>
      </c>
      <c r="Z61">
        <f>HYPERLINK("https://klasma.github.io/Logging_0331/klagomålsmail/A 38417-2025 FSC-klagomål mail.docx", "A 38417-2025")</f>
        <v/>
      </c>
      <c r="AA61">
        <f>HYPERLINK("https://klasma.github.io/Logging_0331/tillsyn/A 38417-2025 tillsynsbegäran.docx", "A 38417-2025")</f>
        <v/>
      </c>
      <c r="AB61">
        <f>HYPERLINK("https://klasma.github.io/Logging_0331/tillsynsmail/A 38417-2025 tillsynsbegäran mail.docx", "A 38417-2025")</f>
        <v/>
      </c>
    </row>
    <row r="62" ht="15" customHeight="1">
      <c r="A62" t="inlineStr">
        <is>
          <t>A 9358-2026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46221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Mindre vattensalamander</t>
        </is>
      </c>
      <c r="V62">
        <f>HYPERLINK("https://klasma.github.io/Logging_0331/artfynd/A 9358-2026 artfynd.xlsx", "A 9358-2026")</f>
        <v/>
      </c>
      <c r="W62">
        <f>HYPERLINK("https://klasma.github.io/Logging_0331/kartor/A 9358-2026 karta.png", "A 9358-2026")</f>
        <v/>
      </c>
      <c r="Y62">
        <f>HYPERLINK("https://klasma.github.io/Logging_0331/klagomål/A 9358-2026 FSC-klagomål.docx", "A 9358-2026")</f>
        <v/>
      </c>
      <c r="Z62">
        <f>HYPERLINK("https://klasma.github.io/Logging_0331/klagomålsmail/A 9358-2026 FSC-klagomål mail.docx", "A 9358-2026")</f>
        <v/>
      </c>
      <c r="AA62">
        <f>HYPERLINK("https://klasma.github.io/Logging_0331/tillsyn/A 9358-2026 tillsynsbegäran.docx", "A 9358-2026")</f>
        <v/>
      </c>
      <c r="AB62">
        <f>HYPERLINK("https://klasma.github.io/Logging_0331/tillsynsmail/A 9358-2026 tillsynsbegäran mail.docx", "A 9358-2026")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46221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Tallticka</t>
        </is>
      </c>
      <c r="V63">
        <f>HYPERLINK("https://klasma.github.io/Logging_0331/artfynd/A 27871-2023 artfynd.xlsx", "A 27871-2023")</f>
        <v/>
      </c>
      <c r="W63">
        <f>HYPERLINK("https://klasma.github.io/Logging_0331/kartor/A 27871-2023 karta.png", "A 27871-2023")</f>
        <v/>
      </c>
      <c r="Y63">
        <f>HYPERLINK("https://klasma.github.io/Logging_0331/klagomål/A 27871-2023 FSC-klagomål.docx", "A 27871-2023")</f>
        <v/>
      </c>
      <c r="Z63">
        <f>HYPERLINK("https://klasma.github.io/Logging_0331/klagomålsmail/A 27871-2023 FSC-klagomål mail.docx", "A 27871-2023")</f>
        <v/>
      </c>
      <c r="AA63">
        <f>HYPERLINK("https://klasma.github.io/Logging_0331/tillsyn/A 27871-2023 tillsynsbegäran.docx", "A 27871-2023")</f>
        <v/>
      </c>
      <c r="AB63">
        <f>HYPERLINK("https://klasma.github.io/Logging_0331/tillsynsmail/A 27871-2023 tillsynsbegäran mail.docx", "A 27871-2023")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46221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Kungsspindling</t>
        </is>
      </c>
      <c r="V64">
        <f>HYPERLINK("https://klasma.github.io/Logging_0331/artfynd/A 9455-2026 artfynd.xlsx", "A 9455-2026")</f>
        <v/>
      </c>
      <c r="W64">
        <f>HYPERLINK("https://klasma.github.io/Logging_0331/kartor/A 9455-2026 karta.png", "A 9455-2026")</f>
        <v/>
      </c>
      <c r="Y64">
        <f>HYPERLINK("https://klasma.github.io/Logging_0331/klagomål/A 9455-2026 FSC-klagomål.docx", "A 9455-2026")</f>
        <v/>
      </c>
      <c r="Z64">
        <f>HYPERLINK("https://klasma.github.io/Logging_0331/klagomålsmail/A 9455-2026 FSC-klagomål mail.docx", "A 9455-2026")</f>
        <v/>
      </c>
      <c r="AA64">
        <f>HYPERLINK("https://klasma.github.io/Logging_0331/tillsyn/A 9455-2026 tillsynsbegäran.docx", "A 9455-2026")</f>
        <v/>
      </c>
      <c r="AB64">
        <f>HYPERLINK("https://klasma.github.io/Logging_0331/tillsynsmail/A 9455-2026 tillsynsbegäran mail.docx", "A 9455-2026")</f>
        <v/>
      </c>
    </row>
    <row r="65" ht="15" customHeight="1">
      <c r="A65" t="inlineStr">
        <is>
          <t>A 55763-2025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45972</v>
      </c>
      <c r="E65" s="1" t="n">
        <v>46221</v>
      </c>
      <c r="F65" t="inlineStr">
        <is>
          <t>UPPSALA LÄN</t>
        </is>
      </c>
      <c r="G65" t="inlineStr">
        <is>
          <t>HEBY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Kandelabersvamp</t>
        </is>
      </c>
      <c r="V65">
        <f>HYPERLINK("https://klasma.github.io/Logging_0331/artfynd/A 55763-2025 artfynd.xlsx", "A 55763-2025")</f>
        <v/>
      </c>
      <c r="W65">
        <f>HYPERLINK("https://klasma.github.io/Logging_0331/kartor/A 55763-2025 karta.png", "A 55763-2025")</f>
        <v/>
      </c>
      <c r="Y65">
        <f>HYPERLINK("https://klasma.github.io/Logging_0331/klagomål/A 55763-2025 FSC-klagomål.docx", "A 55763-2025")</f>
        <v/>
      </c>
      <c r="Z65">
        <f>HYPERLINK("https://klasma.github.io/Logging_0331/klagomålsmail/A 55763-2025 FSC-klagomål mail.docx", "A 55763-2025")</f>
        <v/>
      </c>
      <c r="AA65">
        <f>HYPERLINK("https://klasma.github.io/Logging_0331/tillsyn/A 55763-2025 tillsynsbegäran.docx", "A 55763-2025")</f>
        <v/>
      </c>
      <c r="AB65">
        <f>HYPERLINK("https://klasma.github.io/Logging_0331/tillsynsmail/A 55763-2025 tillsynsbegäran mail.docx", "A 55763-2025")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46221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Mindre vattensalamander</t>
        </is>
      </c>
      <c r="V66">
        <f>HYPERLINK("https://klasma.github.io/Logging_0331/artfynd/A 11560-2026 artfynd.xlsx", "A 11560-2026")</f>
        <v/>
      </c>
      <c r="W66">
        <f>HYPERLINK("https://klasma.github.io/Logging_0331/kartor/A 11560-2026 karta.png", "A 11560-2026")</f>
        <v/>
      </c>
      <c r="Y66">
        <f>HYPERLINK("https://klasma.github.io/Logging_0331/klagomål/A 11560-2026 FSC-klagomål.docx", "A 11560-2026")</f>
        <v/>
      </c>
      <c r="Z66">
        <f>HYPERLINK("https://klasma.github.io/Logging_0331/klagomålsmail/A 11560-2026 FSC-klagomål mail.docx", "A 11560-2026")</f>
        <v/>
      </c>
      <c r="AA66">
        <f>HYPERLINK("https://klasma.github.io/Logging_0331/tillsyn/A 11560-2026 tillsynsbegäran.docx", "A 11560-2026")</f>
        <v/>
      </c>
      <c r="AB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46221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Stor aspticka</t>
        </is>
      </c>
      <c r="V67">
        <f>HYPERLINK("https://klasma.github.io/Logging_0331/artfynd/A 11841-2026 artfynd.xlsx", "A 11841-2026")</f>
        <v/>
      </c>
      <c r="W67">
        <f>HYPERLINK("https://klasma.github.io/Logging_0331/kartor/A 11841-2026 karta.png", "A 11841-2026")</f>
        <v/>
      </c>
      <c r="Y67">
        <f>HYPERLINK("https://klasma.github.io/Logging_0331/klagomål/A 11841-2026 FSC-klagomål.docx", "A 11841-2026")</f>
        <v/>
      </c>
      <c r="Z67">
        <f>HYPERLINK("https://klasma.github.io/Logging_0331/klagomålsmail/A 11841-2026 FSC-klagomål mail.docx", "A 11841-2026")</f>
        <v/>
      </c>
      <c r="AA67">
        <f>HYPERLINK("https://klasma.github.io/Logging_0331/tillsyn/A 11841-2026 tillsynsbegäran.docx", "A 11841-2026")</f>
        <v/>
      </c>
      <c r="AB67">
        <f>HYPERLINK("https://klasma.github.io/Logging_0331/tillsynsmail/A 11841-2026 tillsynsbegäran mail.docx", "A 11841-2026")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46221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s="2" t="inlineStr">
        <is>
          <t>Motaggsvamp</t>
        </is>
      </c>
      <c r="V68">
        <f>HYPERLINK("https://klasma.github.io/Logging_0331/artfynd/A 8624-2024 artfynd.xlsx", "A 8624-2024")</f>
        <v/>
      </c>
      <c r="W68">
        <f>HYPERLINK("https://klasma.github.io/Logging_0331/kartor/A 8624-2024 karta.png", "A 8624-2024")</f>
        <v/>
      </c>
      <c r="Y68">
        <f>HYPERLINK("https://klasma.github.io/Logging_0331/klagomål/A 8624-2024 FSC-klagomål.docx", "A 8624-2024")</f>
        <v/>
      </c>
      <c r="Z68">
        <f>HYPERLINK("https://klasma.github.io/Logging_0331/klagomålsmail/A 8624-2024 FSC-klagomål mail.docx", "A 8624-2024")</f>
        <v/>
      </c>
      <c r="AA68">
        <f>HYPERLINK("https://klasma.github.io/Logging_0331/tillsyn/A 8624-2024 tillsynsbegäran.docx", "A 8624-2024")</f>
        <v/>
      </c>
      <c r="AB68">
        <f>HYPERLINK("https://klasma.github.io/Logging_0331/tillsynsmail/A 8624-2024 tillsynsbegäran mail.docx", "A 8624-2024")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46221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Vedtrappmossa</t>
        </is>
      </c>
      <c r="V69">
        <f>HYPERLINK("https://klasma.github.io/Logging_0331/artfynd/A 9618-2026 artfynd.xlsx", "A 9618-2026")</f>
        <v/>
      </c>
      <c r="W69">
        <f>HYPERLINK("https://klasma.github.io/Logging_0331/kartor/A 9618-2026 karta.png", "A 9618-2026")</f>
        <v/>
      </c>
      <c r="Y69">
        <f>HYPERLINK("https://klasma.github.io/Logging_0331/klagomål/A 9618-2026 FSC-klagomål.docx", "A 9618-2026")</f>
        <v/>
      </c>
      <c r="Z69">
        <f>HYPERLINK("https://klasma.github.io/Logging_0331/klagomålsmail/A 9618-2026 FSC-klagomål mail.docx", "A 9618-2026")</f>
        <v/>
      </c>
      <c r="AA69">
        <f>HYPERLINK("https://klasma.github.io/Logging_0331/tillsyn/A 9618-2026 tillsynsbegäran.docx", "A 9618-2026")</f>
        <v/>
      </c>
      <c r="AB69">
        <f>HYPERLINK("https://klasma.github.io/Logging_0331/tillsynsmail/A 9618-2026 tillsynsbegäran mail.docx", "A 9618-2026")</f>
        <v/>
      </c>
    </row>
    <row r="70" ht="15" customHeight="1">
      <c r="A70" t="inlineStr">
        <is>
          <t>A 31569-2023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46221</v>
      </c>
      <c r="F70" t="inlineStr">
        <is>
          <t>UPPSALA LÄN</t>
        </is>
      </c>
      <c r="G70" t="inlineStr">
        <is>
          <t>HEBY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s="2" t="inlineStr">
        <is>
          <t>Knärot</t>
        </is>
      </c>
      <c r="V70">
        <f>HYPERLINK("https://klasma.github.io/Logging_0331/artfynd/A 31569-2023 artfynd.xlsx", "A 31569-2023")</f>
        <v/>
      </c>
      <c r="W70">
        <f>HYPERLINK("https://klasma.github.io/Logging_0331/kartor/A 31569-2023 karta.png", "A 31569-2023")</f>
        <v/>
      </c>
      <c r="X70">
        <f>HYPERLINK("https://klasma.github.io/Logging_0331/knärot/A 31569-2023 karta knärot.png", "A 31569-2023")</f>
        <v/>
      </c>
      <c r="Y70">
        <f>HYPERLINK("https://klasma.github.io/Logging_0331/klagomål/A 31569-2023 FSC-klagomål.docx", "A 31569-2023")</f>
        <v/>
      </c>
      <c r="Z70">
        <f>HYPERLINK("https://klasma.github.io/Logging_0331/klagomålsmail/A 31569-2023 FSC-klagomål mail.docx", "A 31569-2023")</f>
        <v/>
      </c>
      <c r="AA70">
        <f>HYPERLINK("https://klasma.github.io/Logging_0331/tillsyn/A 31569-2023 tillsynsbegäran.docx", "A 31569-2023")</f>
        <v/>
      </c>
      <c r="AB70">
        <f>HYPERLINK("https://klasma.github.io/Logging_0331/tillsynsmail/A 31569-2023 tillsynsbegäran mail.docx", "A 31569-2023")</f>
        <v/>
      </c>
    </row>
    <row r="71" ht="15" customHeight="1">
      <c r="A71" t="inlineStr">
        <is>
          <t>A 11011-2025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45723</v>
      </c>
      <c r="E71" s="1" t="n">
        <v>46221</v>
      </c>
      <c r="F71" t="inlineStr">
        <is>
          <t>UPPSALA LÄN</t>
        </is>
      </c>
      <c r="G71" t="inlineStr">
        <is>
          <t>HEBY</t>
        </is>
      </c>
      <c r="H71" t="inlineStr">
        <is>
          <t>Kyrkan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Motaggsvamp</t>
        </is>
      </c>
      <c r="V71">
        <f>HYPERLINK("https://klasma.github.io/Logging_0331/artfynd/A 11011-2025 artfynd.xlsx", "A 11011-2025")</f>
        <v/>
      </c>
      <c r="W71">
        <f>HYPERLINK("https://klasma.github.io/Logging_0331/kartor/A 11011-2025 karta.png", "A 11011-2025")</f>
        <v/>
      </c>
      <c r="Y71">
        <f>HYPERLINK("https://klasma.github.io/Logging_0331/klagomål/A 11011-2025 FSC-klagomål.docx", "A 11011-2025")</f>
        <v/>
      </c>
      <c r="Z71">
        <f>HYPERLINK("https://klasma.github.io/Logging_0331/klagomålsmail/A 11011-2025 FSC-klagomål mail.docx", "A 11011-2025")</f>
        <v/>
      </c>
      <c r="AA71">
        <f>HYPERLINK("https://klasma.github.io/Logging_0331/tillsyn/A 11011-2025 tillsynsbegäran.docx", "A 11011-2025")</f>
        <v/>
      </c>
      <c r="AB71">
        <f>HYPERLINK("https://klasma.github.io/Logging_0331/tillsynsmail/A 11011-2025 tillsynsbegäran mail.docx", "A 11011-2025")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46221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Stenichnus poweri</t>
        </is>
      </c>
      <c r="V72">
        <f>HYPERLINK("https://klasma.github.io/Logging_0331/artfynd/A 26596-2024 artfynd.xlsx", "A 26596-2024")</f>
        <v/>
      </c>
      <c r="W72">
        <f>HYPERLINK("https://klasma.github.io/Logging_0331/kartor/A 26596-2024 karta.png", "A 26596-2024")</f>
        <v/>
      </c>
      <c r="Y72">
        <f>HYPERLINK("https://klasma.github.io/Logging_0331/klagomål/A 26596-2024 FSC-klagomål.docx", "A 26596-2024")</f>
        <v/>
      </c>
      <c r="Z72">
        <f>HYPERLINK("https://klasma.github.io/Logging_0331/klagomålsmail/A 26596-2024 FSC-klagomål mail.docx", "A 26596-2024")</f>
        <v/>
      </c>
      <c r="AA72">
        <f>HYPERLINK("https://klasma.github.io/Logging_0331/tillsyn/A 26596-2024 tillsynsbegäran.docx", "A 26596-2024")</f>
        <v/>
      </c>
      <c r="AB72">
        <f>HYPERLINK("https://klasma.github.io/Logging_0331/tillsynsmail/A 26596-2024 tillsynsbegäran mail.docx", "A 26596-2024")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46221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Björksplintborre</t>
        </is>
      </c>
      <c r="V73">
        <f>HYPERLINK("https://klasma.github.io/Logging_0331/artfynd/A 20530-2026 artfynd.xlsx", "A 20530-2026")</f>
        <v/>
      </c>
      <c r="W73">
        <f>HYPERLINK("https://klasma.github.io/Logging_0331/kartor/A 20530-2026 karta.png", "A 20530-2026")</f>
        <v/>
      </c>
      <c r="Y73">
        <f>HYPERLINK("https://klasma.github.io/Logging_0331/klagomål/A 20530-2026 FSC-klagomål.docx", "A 20530-2026")</f>
        <v/>
      </c>
      <c r="Z73">
        <f>HYPERLINK("https://klasma.github.io/Logging_0331/klagomålsmail/A 20530-2026 FSC-klagomål mail.docx", "A 20530-2026")</f>
        <v/>
      </c>
      <c r="AA73">
        <f>HYPERLINK("https://klasma.github.io/Logging_0331/tillsyn/A 20530-2026 tillsynsbegäran.docx", "A 20530-2026")</f>
        <v/>
      </c>
      <c r="AB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46221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Berggräsfjäril</t>
        </is>
      </c>
      <c r="V74">
        <f>HYPERLINK("https://klasma.github.io/Logging_0331/artfynd/A 3374-2024 artfynd.xlsx", "A 3374-2024")</f>
        <v/>
      </c>
      <c r="W74">
        <f>HYPERLINK("https://klasma.github.io/Logging_0331/kartor/A 3374-2024 karta.png", "A 3374-2024")</f>
        <v/>
      </c>
      <c r="Y74">
        <f>HYPERLINK("https://klasma.github.io/Logging_0331/klagomål/A 3374-2024 FSC-klagomål.docx", "A 3374-2024")</f>
        <v/>
      </c>
      <c r="Z74">
        <f>HYPERLINK("https://klasma.github.io/Logging_0331/klagomålsmail/A 3374-2024 FSC-klagomål mail.docx", "A 3374-2024")</f>
        <v/>
      </c>
      <c r="AA74">
        <f>HYPERLINK("https://klasma.github.io/Logging_0331/tillsyn/A 3374-2024 tillsynsbegäran.docx", "A 3374-2024")</f>
        <v/>
      </c>
      <c r="AB74">
        <f>HYPERLINK("https://klasma.github.io/Logging_0331/tillsynsmail/A 3374-2024 tillsynsbegäran mail.docx", "A 3374-2024")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46221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HYPERLINK("https://klasma.github.io/Logging_0331/artfynd/A 53992-2023 artfynd.xlsx", "A 53992-2023")</f>
        <v/>
      </c>
      <c r="W75">
        <f>HYPERLINK("https://klasma.github.io/Logging_0331/kartor/A 53992-2023 karta.png", "A 53992-2023")</f>
        <v/>
      </c>
      <c r="Y75">
        <f>HYPERLINK("https://klasma.github.io/Logging_0331/klagomål/A 53992-2023 FSC-klagomål.docx", "A 53992-2023")</f>
        <v/>
      </c>
      <c r="Z75">
        <f>HYPERLINK("https://klasma.github.io/Logging_0331/klagomålsmail/A 53992-2023 FSC-klagomål mail.docx", "A 53992-2023")</f>
        <v/>
      </c>
      <c r="AA75">
        <f>HYPERLINK("https://klasma.github.io/Logging_0331/tillsyn/A 53992-2023 tillsynsbegäran.docx", "A 53992-2023")</f>
        <v/>
      </c>
      <c r="AB75">
        <f>HYPERLINK("https://klasma.github.io/Logging_0331/tillsynsmail/A 53992-2023 tillsynsbegäran mail.docx", "A 53992-2023")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46221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s="2" t="inlineStr">
        <is>
          <t>Gullpudra</t>
        </is>
      </c>
      <c r="V76">
        <f>HYPERLINK("https://klasma.github.io/Logging_0331/artfynd/A 63940-2023 artfynd.xlsx", "A 63940-2023")</f>
        <v/>
      </c>
      <c r="W76">
        <f>HYPERLINK("https://klasma.github.io/Logging_0331/kartor/A 63940-2023 karta.png", "A 63940-2023")</f>
        <v/>
      </c>
      <c r="Y76">
        <f>HYPERLINK("https://klasma.github.io/Logging_0331/klagomål/A 63940-2023 FSC-klagomål.docx", "A 63940-2023")</f>
        <v/>
      </c>
      <c r="Z76">
        <f>HYPERLINK("https://klasma.github.io/Logging_0331/klagomålsmail/A 63940-2023 FSC-klagomål mail.docx", "A 63940-2023")</f>
        <v/>
      </c>
      <c r="AA76">
        <f>HYPERLINK("https://klasma.github.io/Logging_0331/tillsyn/A 63940-2023 tillsynsbegäran.docx", "A 63940-2023")</f>
        <v/>
      </c>
      <c r="AB76">
        <f>HYPERLINK("https://klasma.github.io/Logging_0331/tillsynsmail/A 63940-2023 tillsynsbegäran mail.docx", "A 63940-2023")</f>
        <v/>
      </c>
    </row>
    <row r="77" ht="15" customHeight="1">
      <c r="A77" t="inlineStr">
        <is>
          <t>A 21043-2026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46221</v>
      </c>
      <c r="F77" t="inlineStr">
        <is>
          <t>UPPSALA LÄN</t>
        </is>
      </c>
      <c r="G77" t="inlineStr">
        <is>
          <t>HEBY</t>
        </is>
      </c>
      <c r="I77" t="n">
        <v>1.3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Backklöver</t>
        </is>
      </c>
      <c r="V77">
        <f>HYPERLINK("https://klasma.github.io/Logging_0331/artfynd/A 21043-2026 artfynd.xlsx", "A 21043-2026")</f>
        <v/>
      </c>
      <c r="W77">
        <f>HYPERLINK("https://klasma.github.io/Logging_0331/kartor/A 21043-2026 karta.png", "A 21043-2026")</f>
        <v/>
      </c>
      <c r="Y77">
        <f>HYPERLINK("https://klasma.github.io/Logging_0331/klagomål/A 21043-2026 FSC-klagomål.docx", "A 21043-2026")</f>
        <v/>
      </c>
      <c r="Z77">
        <f>HYPERLINK("https://klasma.github.io/Logging_0331/klagomålsmail/A 21043-2026 FSC-klagomål mail.docx", "A 21043-2026")</f>
        <v/>
      </c>
      <c r="AA77">
        <f>HYPERLINK("https://klasma.github.io/Logging_0331/tillsyn/A 21043-2026 tillsynsbegäran.docx", "A 21043-2026")</f>
        <v/>
      </c>
      <c r="AB77">
        <f>HYPERLINK("https://klasma.github.io/Logging_0331/tillsynsmail/A 21043-2026 tillsynsbegäran mail.docx", "A 21043-2026")</f>
        <v/>
      </c>
    </row>
    <row r="78" ht="15" customHeight="1">
      <c r="A78" t="inlineStr">
        <is>
          <t>A 19751-2023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46221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Blåsippa</t>
        </is>
      </c>
      <c r="V78">
        <f>HYPERLINK("https://klasma.github.io/Logging_0331/artfynd/A 19751-2023 artfynd.xlsx", "A 19751-2023")</f>
        <v/>
      </c>
      <c r="W78">
        <f>HYPERLINK("https://klasma.github.io/Logging_0331/kartor/A 19751-2023 karta.png", "A 19751-2023")</f>
        <v/>
      </c>
      <c r="X78">
        <f>HYPERLINK("https://klasma.github.io/Logging_0331/knärot/A 19751-2023 karta knärot.png", "A 19751-2023")</f>
        <v/>
      </c>
      <c r="Y78">
        <f>HYPERLINK("https://klasma.github.io/Logging_0331/klagomål/A 19751-2023 FSC-klagomål.docx", "A 19751-2023")</f>
        <v/>
      </c>
      <c r="Z78">
        <f>HYPERLINK("https://klasma.github.io/Logging_0331/klagomålsmail/A 19751-2023 FSC-klagomål mail.docx", "A 19751-2023")</f>
        <v/>
      </c>
      <c r="AA78">
        <f>HYPERLINK("https://klasma.github.io/Logging_0331/tillsyn/A 19751-2023 tillsynsbegäran.docx", "A 19751-2023")</f>
        <v/>
      </c>
      <c r="AB78">
        <f>HYPERLINK("https://klasma.github.io/Logging_0331/tillsynsmail/A 19751-2023 tillsynsbegäran mail.docx", "A 19751-2023")</f>
        <v/>
      </c>
    </row>
    <row r="79" ht="15" customHeight="1">
      <c r="A79" t="inlineStr">
        <is>
          <t>A 54368-2024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46221</v>
      </c>
      <c r="F79" t="inlineStr">
        <is>
          <t>UPPSALA LÄN</t>
        </is>
      </c>
      <c r="G79" t="inlineStr">
        <is>
          <t>HEBY</t>
        </is>
      </c>
      <c r="H79" t="inlineStr">
        <is>
          <t>Allmännings- och besparingsskogar</t>
        </is>
      </c>
      <c r="I79" t="n">
        <v>13.9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Talltita</t>
        </is>
      </c>
      <c r="V79">
        <f>HYPERLINK("https://klasma.github.io/Logging_0331/artfynd/A 54368-2024 artfynd.xlsx", "A 54368-2024")</f>
        <v/>
      </c>
      <c r="W79">
        <f>HYPERLINK("https://klasma.github.io/Logging_0331/kartor/A 54368-2024 karta.png", "A 54368-2024")</f>
        <v/>
      </c>
      <c r="Y79">
        <f>HYPERLINK("https://klasma.github.io/Logging_0331/klagomål/A 54368-2024 FSC-klagomål.docx", "A 54368-2024")</f>
        <v/>
      </c>
      <c r="Z79">
        <f>HYPERLINK("https://klasma.github.io/Logging_0331/klagomålsmail/A 54368-2024 FSC-klagomål mail.docx", "A 54368-2024")</f>
        <v/>
      </c>
      <c r="AA79">
        <f>HYPERLINK("https://klasma.github.io/Logging_0331/tillsyn/A 54368-2024 tillsynsbegäran.docx", "A 54368-2024")</f>
        <v/>
      </c>
      <c r="AB79">
        <f>HYPERLINK("https://klasma.github.io/Logging_0331/tillsynsmail/A 54368-2024 tillsynsbegäran mail.docx", "A 54368-2024")</f>
        <v/>
      </c>
      <c r="AC79">
        <f>HYPERLINK("https://klasma.github.io/Logging_0331/fåglar/A 54368-2024 prioriterade fågelarter.docx", "A 54368-2024")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46221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Granbarkgnagare</t>
        </is>
      </c>
      <c r="V80">
        <f>HYPERLINK("https://klasma.github.io/Logging_0331/artfynd/A 49707-2023 artfynd.xlsx", "A 49707-2023")</f>
        <v/>
      </c>
      <c r="W80">
        <f>HYPERLINK("https://klasma.github.io/Logging_0331/kartor/A 49707-2023 karta.png", "A 49707-2023")</f>
        <v/>
      </c>
      <c r="Y80">
        <f>HYPERLINK("https://klasma.github.io/Logging_0331/klagomål/A 49707-2023 FSC-klagomål.docx", "A 49707-2023")</f>
        <v/>
      </c>
      <c r="Z80">
        <f>HYPERLINK("https://klasma.github.io/Logging_0331/klagomålsmail/A 49707-2023 FSC-klagomål mail.docx", "A 49707-2023")</f>
        <v/>
      </c>
      <c r="AA80">
        <f>HYPERLINK("https://klasma.github.io/Logging_0331/tillsyn/A 49707-2023 tillsynsbegäran.docx", "A 49707-2023")</f>
        <v/>
      </c>
      <c r="AB80">
        <f>HYPERLINK("https://klasma.github.io/Logging_0331/tillsynsmail/A 49707-2023 tillsynsbegäran mail.docx", "A 49707-2023")</f>
        <v/>
      </c>
    </row>
    <row r="81" ht="15" customHeight="1">
      <c r="A81" t="inlineStr">
        <is>
          <t>A 19555-2025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45770</v>
      </c>
      <c r="E81" s="1" t="n">
        <v>46221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Sparvuggla</t>
        </is>
      </c>
      <c r="V81">
        <f>HYPERLINK("https://klasma.github.io/Logging_0331/artfynd/A 19555-2025 artfynd.xlsx", "A 19555-2025")</f>
        <v/>
      </c>
      <c r="W81">
        <f>HYPERLINK("https://klasma.github.io/Logging_0331/kartor/A 19555-2025 karta.png", "A 19555-2025")</f>
        <v/>
      </c>
      <c r="Y81">
        <f>HYPERLINK("https://klasma.github.io/Logging_0331/klagomål/A 19555-2025 FSC-klagomål.docx", "A 19555-2025")</f>
        <v/>
      </c>
      <c r="Z81">
        <f>HYPERLINK("https://klasma.github.io/Logging_0331/klagomålsmail/A 19555-2025 FSC-klagomål mail.docx", "A 19555-2025")</f>
        <v/>
      </c>
      <c r="AA81">
        <f>HYPERLINK("https://klasma.github.io/Logging_0331/tillsyn/A 19555-2025 tillsynsbegäran.docx", "A 19555-2025")</f>
        <v/>
      </c>
      <c r="AB81">
        <f>HYPERLINK("https://klasma.github.io/Logging_0331/tillsynsmail/A 19555-2025 tillsynsbegäran mail.docx", "A 19555-2025")</f>
        <v/>
      </c>
      <c r="AC81">
        <f>HYPERLINK("https://klasma.github.io/Logging_0331/fåglar/A 19555-2025 prioriterade fågelarter.docx", "A 19555-2025")</f>
        <v/>
      </c>
    </row>
    <row r="82" ht="15" customHeight="1">
      <c r="A82" t="inlineStr">
        <is>
          <t>A 61598-2021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46221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Trana</t>
        </is>
      </c>
      <c r="V82">
        <f>HYPERLINK("https://klasma.github.io/Logging_0331/artfynd/A 61598-2021 artfynd.xlsx", "A 61598-2021")</f>
        <v/>
      </c>
      <c r="W82">
        <f>HYPERLINK("https://klasma.github.io/Logging_0331/kartor/A 61598-2021 karta.png", "A 61598-2021")</f>
        <v/>
      </c>
      <c r="Y82">
        <f>HYPERLINK("https://klasma.github.io/Logging_0331/klagomål/A 61598-2021 FSC-klagomål.docx", "A 61598-2021")</f>
        <v/>
      </c>
      <c r="Z82">
        <f>HYPERLINK("https://klasma.github.io/Logging_0331/klagomålsmail/A 61598-2021 FSC-klagomål mail.docx", "A 61598-2021")</f>
        <v/>
      </c>
      <c r="AA82">
        <f>HYPERLINK("https://klasma.github.io/Logging_0331/tillsyn/A 61598-2021 tillsynsbegäran.docx", "A 61598-2021")</f>
        <v/>
      </c>
      <c r="AB82">
        <f>HYPERLINK("https://klasma.github.io/Logging_0331/tillsynsmail/A 61598-2021 tillsynsbegäran mail.docx", "A 61598-2021")</f>
        <v/>
      </c>
      <c r="AC82">
        <f>HYPERLINK("https://klasma.github.io/Logging_0331/fåglar/A 61598-2021 prioriterade fågelarter.docx", "A 61598-2021")</f>
        <v/>
      </c>
    </row>
    <row r="83" ht="15" customHeight="1">
      <c r="A83" t="inlineStr">
        <is>
          <t>A 55663-2024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46221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4.5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Ullticka</t>
        </is>
      </c>
      <c r="V83">
        <f>HYPERLINK("https://klasma.github.io/Logging_0331/artfynd/A 55663-2024 artfynd.xlsx", "A 55663-2024")</f>
        <v/>
      </c>
      <c r="W83">
        <f>HYPERLINK("https://klasma.github.io/Logging_0331/kartor/A 55663-2024 karta.png", "A 55663-2024")</f>
        <v/>
      </c>
      <c r="Y83">
        <f>HYPERLINK("https://klasma.github.io/Logging_0331/klagomål/A 55663-2024 FSC-klagomål.docx", "A 55663-2024")</f>
        <v/>
      </c>
      <c r="Z83">
        <f>HYPERLINK("https://klasma.github.io/Logging_0331/klagomålsmail/A 55663-2024 FSC-klagomål mail.docx", "A 55663-2024")</f>
        <v/>
      </c>
      <c r="AA83">
        <f>HYPERLINK("https://klasma.github.io/Logging_0331/tillsyn/A 55663-2024 tillsynsbegäran.docx", "A 55663-2024")</f>
        <v/>
      </c>
      <c r="AB83">
        <f>HYPERLINK("https://klasma.github.io/Logging_0331/tillsynsmail/A 55663-2024 tillsynsbegäran mail.docx", "A 55663-2024")</f>
        <v/>
      </c>
    </row>
    <row r="84" ht="15" customHeight="1">
      <c r="A84" t="inlineStr">
        <is>
          <t>A 17697-2024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46221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Mindre bastardsvärmare</t>
        </is>
      </c>
      <c r="V84">
        <f>HYPERLINK("https://klasma.github.io/Logging_0331/artfynd/A 17697-2024 artfynd.xlsx", "A 17697-2024")</f>
        <v/>
      </c>
      <c r="W84">
        <f>HYPERLINK("https://klasma.github.io/Logging_0331/kartor/A 17697-2024 karta.png", "A 17697-2024")</f>
        <v/>
      </c>
      <c r="Y84">
        <f>HYPERLINK("https://klasma.github.io/Logging_0331/klagomål/A 17697-2024 FSC-klagomål.docx", "A 17697-2024")</f>
        <v/>
      </c>
      <c r="Z84">
        <f>HYPERLINK("https://klasma.github.io/Logging_0331/klagomålsmail/A 17697-2024 FSC-klagomål mail.docx", "A 17697-2024")</f>
        <v/>
      </c>
      <c r="AA84">
        <f>HYPERLINK("https://klasma.github.io/Logging_0331/tillsyn/A 17697-2024 tillsynsbegäran.docx", "A 17697-2024")</f>
        <v/>
      </c>
      <c r="AB84">
        <f>HYPERLINK("https://klasma.github.io/Logging_0331/tillsynsmail/A 17697-2024 tillsynsbegäran mail.docx", "A 17697-2024")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46221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Y85">
        <f>HYPERLINK("https://klasma.github.io/Logging_0331/klagomål/S 1335-2022 FSC-klagomål.docx", "S 1335-2022")</f>
        <v/>
      </c>
      <c r="Z85">
        <f>HYPERLINK("https://klasma.github.io/Logging_0331/klagomålsmail/S 1335-2022 FSC-klagomål mail.docx", "S 1335-2022")</f>
        <v/>
      </c>
      <c r="AA85">
        <f>HYPERLINK("https://klasma.github.io/Logging_0331/tillsyn/S 1335-2022 tillsynsbegäran.docx", "S 1335-2022")</f>
        <v/>
      </c>
      <c r="AB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46221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Gränsticka</t>
        </is>
      </c>
      <c r="V86">
        <f>HYPERLINK("https://klasma.github.io/Logging_0331/artfynd/S 3624-2024 artfynd.xlsx", "S 3624-2024")</f>
        <v/>
      </c>
      <c r="W86">
        <f>HYPERLINK("https://klasma.github.io/Logging_0331/kartor/S 3624-2024 karta.png", "S 3624-2024")</f>
        <v/>
      </c>
      <c r="Y86">
        <f>HYPERLINK("https://klasma.github.io/Logging_0331/klagomål/S 3624-2024 FSC-klagomål.docx", "S 3624-2024")</f>
        <v/>
      </c>
      <c r="Z86">
        <f>HYPERLINK("https://klasma.github.io/Logging_0331/klagomålsmail/S 3624-2024 FSC-klagomål mail.docx", "S 3624-2024")</f>
        <v/>
      </c>
      <c r="AA86">
        <f>HYPERLINK("https://klasma.github.io/Logging_0331/tillsyn/S 3624-2024 tillsynsbegäran.docx", "S 3624-2024")</f>
        <v/>
      </c>
      <c r="AB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46221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HYPERLINK("https://klasma.github.io/Logging_0331/artfynd/S 883-2026 artfynd.xlsx", "S 883-2026")</f>
        <v/>
      </c>
      <c r="W87">
        <f>HYPERLINK("https://klasma.github.io/Logging_0331/kartor/S 883-2026 karta.png", "S 883-2026")</f>
        <v/>
      </c>
      <c r="Y87">
        <f>HYPERLINK("https://klasma.github.io/Logging_0331/klagomål/S 883-2026 FSC-klagomål.docx", "S 883-2026")</f>
        <v/>
      </c>
      <c r="Z87">
        <f>HYPERLINK("https://klasma.github.io/Logging_0331/klagomålsmail/S 883-2026 FSC-klagomål mail.docx", "S 883-2026")</f>
        <v/>
      </c>
      <c r="AA87">
        <f>HYPERLINK("https://klasma.github.io/Logging_0331/tillsyn/S 883-2026 tillsynsbegäran.docx", "S 883-2026")</f>
        <v/>
      </c>
      <c r="AB87">
        <f>HYPERLINK("https://klasma.github.io/Logging_0331/tillsynsmail/S 883-2026 tillsynsbegäran mail.docx", "S 883-2026")</f>
        <v/>
      </c>
      <c r="AC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46221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46221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44404</v>
      </c>
      <c r="E90" s="1" t="n">
        <v>46221</v>
      </c>
      <c r="F90" t="inlineStr">
        <is>
          <t>UPPSALA LÄN</t>
        </is>
      </c>
      <c r="G90" t="inlineStr">
        <is>
          <t>HEBY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44404</v>
      </c>
      <c r="E91" s="1" t="n">
        <v>46221</v>
      </c>
      <c r="F91" t="inlineStr">
        <is>
          <t>UPPSALA LÄN</t>
        </is>
      </c>
      <c r="G91" t="inlineStr">
        <is>
          <t>HEBY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38051-2021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44404</v>
      </c>
      <c r="E92" s="1" t="n">
        <v>46221</v>
      </c>
      <c r="F92" t="inlineStr">
        <is>
          <t>UPPSALA LÄN</t>
        </is>
      </c>
      <c r="G92" t="inlineStr">
        <is>
          <t>HEBY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9824-2022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46221</v>
      </c>
      <c r="F93" t="inlineStr">
        <is>
          <t>UPPSALA LÄN</t>
        </is>
      </c>
      <c r="G93" t="inlineStr">
        <is>
          <t>HEBY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56138-2021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46221</v>
      </c>
      <c r="F94" t="inlineStr">
        <is>
          <t>UPPSALA LÄN</t>
        </is>
      </c>
      <c r="G94" t="inlineStr">
        <is>
          <t>HEBY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49352-2021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46221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42987-2021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44431</v>
      </c>
      <c r="E96" s="1" t="n">
        <v>46221</v>
      </c>
      <c r="F96" t="inlineStr">
        <is>
          <t>UPPSALA LÄN</t>
        </is>
      </c>
      <c r="G96" t="inlineStr">
        <is>
          <t>HEBY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29644-2022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46221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46221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46221</v>
      </c>
      <c r="F99" t="inlineStr">
        <is>
          <t>UPPSALA LÄN</t>
        </is>
      </c>
      <c r="G99" t="inlineStr">
        <is>
          <t>HEBY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65623-2021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46221</v>
      </c>
      <c r="F100" t="inlineStr">
        <is>
          <t>UPPSALA LÄN</t>
        </is>
      </c>
      <c r="G100" t="inlineStr">
        <is>
          <t>HEBY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46221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46221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46221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46221</v>
      </c>
      <c r="F104" t="inlineStr">
        <is>
          <t>UPPSALA LÄN</t>
        </is>
      </c>
      <c r="G104" t="inlineStr">
        <is>
          <t>HEBY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46221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46221</v>
      </c>
      <c r="F106" t="inlineStr">
        <is>
          <t>UPPSALA LÄN</t>
        </is>
      </c>
      <c r="G106" t="inlineStr">
        <is>
          <t>HEBY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46560-2021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46221</v>
      </c>
      <c r="F107" t="inlineStr">
        <is>
          <t>UPPSALA LÄN</t>
        </is>
      </c>
      <c r="G107" t="inlineStr">
        <is>
          <t>HEBY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46221</v>
      </c>
      <c r="F108" t="inlineStr">
        <is>
          <t>UPPSALA LÄN</t>
        </is>
      </c>
      <c r="G108" t="inlineStr">
        <is>
          <t>HEBY</t>
        </is>
      </c>
      <c r="H108" t="inlineStr">
        <is>
          <t>Övriga Aktiebolag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46221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56376-2021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46221</v>
      </c>
      <c r="F110" t="inlineStr">
        <is>
          <t>UPPSALA LÄN</t>
        </is>
      </c>
      <c r="G110" t="inlineStr">
        <is>
          <t>HEBY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33284-2022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46221</v>
      </c>
      <c r="F111" t="inlineStr">
        <is>
          <t>UPPSALA LÄN</t>
        </is>
      </c>
      <c r="G111" t="inlineStr">
        <is>
          <t>HEBY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46221</v>
      </c>
      <c r="F112" t="inlineStr">
        <is>
          <t>UPPSALA LÄN</t>
        </is>
      </c>
      <c r="G112" t="inlineStr">
        <is>
          <t>HEBY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63393-2021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46221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38859-2021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44411</v>
      </c>
      <c r="E114" s="1" t="n">
        <v>46221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63047-2021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46221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48759-2021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46221</v>
      </c>
      <c r="F116" t="inlineStr">
        <is>
          <t>UPPSALA LÄN</t>
        </is>
      </c>
      <c r="G116" t="inlineStr">
        <is>
          <t>HEBY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46221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65626-2021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46221</v>
      </c>
      <c r="F118" t="inlineStr">
        <is>
          <t>UPPSALA LÄN</t>
        </is>
      </c>
      <c r="G118" t="inlineStr">
        <is>
          <t>HEBY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46221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44844</v>
      </c>
      <c r="E120" s="1" t="n">
        <v>46221</v>
      </c>
      <c r="F120" t="inlineStr">
        <is>
          <t>UPPSALA LÄN</t>
        </is>
      </c>
      <c r="G120" t="inlineStr">
        <is>
          <t>HEBY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22216-2022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46221</v>
      </c>
      <c r="F121" t="inlineStr">
        <is>
          <t>UPPSALA LÄN</t>
        </is>
      </c>
      <c r="G121" t="inlineStr">
        <is>
          <t>HEBY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43714-2021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46221</v>
      </c>
      <c r="F122" t="inlineStr">
        <is>
          <t>UPPSALA LÄN</t>
        </is>
      </c>
      <c r="G122" t="inlineStr">
        <is>
          <t>HEBY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46221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73238-2021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46221</v>
      </c>
      <c r="F124" t="inlineStr">
        <is>
          <t>UPPSALA LÄN</t>
        </is>
      </c>
      <c r="G124" t="inlineStr">
        <is>
          <t>HEBY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63959-2021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46221</v>
      </c>
      <c r="F125" t="inlineStr">
        <is>
          <t>UPPSALA LÄN</t>
        </is>
      </c>
      <c r="G125" t="inlineStr">
        <is>
          <t>HEBY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46221</v>
      </c>
      <c r="F126" t="inlineStr">
        <is>
          <t>UPPSALA LÄN</t>
        </is>
      </c>
      <c r="G126" t="inlineStr">
        <is>
          <t>HEBY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46221</v>
      </c>
      <c r="F127" t="inlineStr">
        <is>
          <t>UPPSALA LÄN</t>
        </is>
      </c>
      <c r="G127" t="inlineStr">
        <is>
          <t>HEBY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66519-2021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46221</v>
      </c>
      <c r="F128" t="inlineStr">
        <is>
          <t>UPPSALA LÄN</t>
        </is>
      </c>
      <c r="G128" t="inlineStr">
        <is>
          <t>HEBY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46221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8762-2022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46221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59599-2021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46221</v>
      </c>
      <c r="F131" t="inlineStr">
        <is>
          <t>UPPSALA LÄN</t>
        </is>
      </c>
      <c r="G131" t="inlineStr">
        <is>
          <t>HEBY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24091-2022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46221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66818-2021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46221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44832</v>
      </c>
      <c r="E134" s="1" t="n">
        <v>46221</v>
      </c>
      <c r="F134" t="inlineStr">
        <is>
          <t>UPPSALA LÄN</t>
        </is>
      </c>
      <c r="G134" t="inlineStr">
        <is>
          <t>HEBY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46221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46221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50541-2021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46221</v>
      </c>
      <c r="F137" t="inlineStr">
        <is>
          <t>UPPSALA LÄN</t>
        </is>
      </c>
      <c r="G137" t="inlineStr">
        <is>
          <t>HEBY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73385-2021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46221</v>
      </c>
      <c r="F138" t="inlineStr">
        <is>
          <t>UPPSALA LÄN</t>
        </is>
      </c>
      <c r="G138" t="inlineStr">
        <is>
          <t>HEBY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46221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46221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14008-2022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44650</v>
      </c>
      <c r="E141" s="1" t="n">
        <v>46221</v>
      </c>
      <c r="F141" t="inlineStr">
        <is>
          <t>UPPSALA LÄN</t>
        </is>
      </c>
      <c r="G141" t="inlineStr">
        <is>
          <t>HEBY</t>
        </is>
      </c>
      <c r="H141" t="inlineStr">
        <is>
          <t>Bergvik skog öst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46221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46221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44700</v>
      </c>
      <c r="E144" s="1" t="n">
        <v>46221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46221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1462-2022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44573</v>
      </c>
      <c r="E146" s="1" t="n">
        <v>46221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46221</v>
      </c>
      <c r="F147" t="inlineStr">
        <is>
          <t>UPPSALA LÄN</t>
        </is>
      </c>
      <c r="G147" t="inlineStr">
        <is>
          <t>HEBY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46221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46221</v>
      </c>
      <c r="F149" t="inlineStr">
        <is>
          <t>UPPSALA LÄN</t>
        </is>
      </c>
      <c r="G149" t="inlineStr">
        <is>
          <t>HEBY</t>
        </is>
      </c>
      <c r="H149" t="inlineStr">
        <is>
          <t>Övriga Aktiebolag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46221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46221</v>
      </c>
      <c r="F151" t="inlineStr">
        <is>
          <t>UPPSALA LÄN</t>
        </is>
      </c>
      <c r="G151" t="inlineStr">
        <is>
          <t>HEBY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11057-2024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46221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54018-2023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46221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46221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13679-2024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46221</v>
      </c>
      <c r="F155" t="inlineStr">
        <is>
          <t>UPPSALA LÄN</t>
        </is>
      </c>
      <c r="G155" t="inlineStr">
        <is>
          <t>HEBY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45331</v>
      </c>
      <c r="E156" s="1" t="n">
        <v>46221</v>
      </c>
      <c r="F156" t="inlineStr">
        <is>
          <t>UPPSALA LÄN</t>
        </is>
      </c>
      <c r="G156" t="inlineStr">
        <is>
          <t>HEBY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46221</v>
      </c>
      <c r="F157" t="inlineStr">
        <is>
          <t>UPPSALA LÄN</t>
        </is>
      </c>
      <c r="G157" t="inlineStr">
        <is>
          <t>HEBY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46221</v>
      </c>
      <c r="F158" t="inlineStr">
        <is>
          <t>UPPSALA LÄN</t>
        </is>
      </c>
      <c r="G158" t="inlineStr">
        <is>
          <t>HEBY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46221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46221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46221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46221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38049-2021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44404</v>
      </c>
      <c r="E163" s="1" t="n">
        <v>46221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46221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46221</v>
      </c>
      <c r="F165" t="inlineStr">
        <is>
          <t>UPPSALA LÄN</t>
        </is>
      </c>
      <c r="G165" t="inlineStr">
        <is>
          <t>HEBY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46221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8805-2023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44978</v>
      </c>
      <c r="E167" s="1" t="n">
        <v>46221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46221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9761-2023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46221</v>
      </c>
      <c r="F169" t="inlineStr">
        <is>
          <t>UPPSALA LÄN</t>
        </is>
      </c>
      <c r="G169" t="inlineStr">
        <is>
          <t>HEBY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9773-2023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46221</v>
      </c>
      <c r="F170" t="inlineStr">
        <is>
          <t>UPPSALA LÄN</t>
        </is>
      </c>
      <c r="G170" t="inlineStr">
        <is>
          <t>HEBY</t>
        </is>
      </c>
      <c r="H170" t="inlineStr">
        <is>
          <t>Allmännings- och besparingsskogar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55204-2022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46221</v>
      </c>
      <c r="F171" t="inlineStr">
        <is>
          <t>UPPSALA LÄN</t>
        </is>
      </c>
      <c r="G171" t="inlineStr">
        <is>
          <t>HEBY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46221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45339</v>
      </c>
      <c r="E173" s="1" t="n">
        <v>46221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46221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56302-2021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46221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46221</v>
      </c>
      <c r="F176" t="inlineStr">
        <is>
          <t>UPPSALA LÄN</t>
        </is>
      </c>
      <c r="G176" t="inlineStr">
        <is>
          <t>HEBY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46221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46221</v>
      </c>
      <c r="F178" t="inlineStr">
        <is>
          <t>UPPSALA LÄN</t>
        </is>
      </c>
      <c r="G178" t="inlineStr">
        <is>
          <t>HEBY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46221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64899-2021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44512</v>
      </c>
      <c r="E180" s="1" t="n">
        <v>46221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öst AB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46221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46221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46221</v>
      </c>
      <c r="F183" t="inlineStr">
        <is>
          <t>UPPSALA LÄN</t>
        </is>
      </c>
      <c r="G183" t="inlineStr">
        <is>
          <t>HEBY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13676-2024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46221</v>
      </c>
      <c r="F184" t="inlineStr">
        <is>
          <t>UPPSALA LÄN</t>
        </is>
      </c>
      <c r="G184" t="inlineStr">
        <is>
          <t>HEBY</t>
        </is>
      </c>
      <c r="I184" t="n">
        <v>15.8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46221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46221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46221</v>
      </c>
      <c r="F187" t="inlineStr">
        <is>
          <t>UPPSALA LÄN</t>
        </is>
      </c>
      <c r="G187" t="inlineStr">
        <is>
          <t>HEBY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42859-2024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45566</v>
      </c>
      <c r="E188" s="1" t="n">
        <v>46221</v>
      </c>
      <c r="F188" t="inlineStr">
        <is>
          <t>UPPSALA LÄN</t>
        </is>
      </c>
      <c r="G188" t="inlineStr">
        <is>
          <t>HEBY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46221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46221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59015-2022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44903</v>
      </c>
      <c r="E191" s="1" t="n">
        <v>46221</v>
      </c>
      <c r="F191" t="inlineStr">
        <is>
          <t>UPPSALA LÄN</t>
        </is>
      </c>
      <c r="G191" t="inlineStr">
        <is>
          <t>HEBY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46221</v>
      </c>
      <c r="F192" t="inlineStr">
        <is>
          <t>UPPSALA LÄN</t>
        </is>
      </c>
      <c r="G192" t="inlineStr">
        <is>
          <t>HEBY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46221</v>
      </c>
      <c r="F193" t="inlineStr">
        <is>
          <t>UPPSALA LÄN</t>
        </is>
      </c>
      <c r="G193" t="inlineStr">
        <is>
          <t>HEBY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49536-2024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46221</v>
      </c>
      <c r="F194" t="inlineStr">
        <is>
          <t>UPPSALA LÄN</t>
        </is>
      </c>
      <c r="G194" t="inlineStr">
        <is>
          <t>HEBY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46221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46221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46221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46221</v>
      </c>
      <c r="F198" t="inlineStr">
        <is>
          <t>UPPSALA LÄN</t>
        </is>
      </c>
      <c r="G198" t="inlineStr">
        <is>
          <t>HEBY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46221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46221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66.90000000000001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46221</v>
      </c>
      <c r="F201" t="inlineStr">
        <is>
          <t>UPPSALA LÄN</t>
        </is>
      </c>
      <c r="G201" t="inlineStr">
        <is>
          <t>HEBY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28812-2025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46221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46221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16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52292-2022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44873</v>
      </c>
      <c r="E204" s="1" t="n">
        <v>46221</v>
      </c>
      <c r="F204" t="inlineStr">
        <is>
          <t>UPPSALA LÄN</t>
        </is>
      </c>
      <c r="G204" t="inlineStr">
        <is>
          <t>HEBY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46221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46221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46221</v>
      </c>
      <c r="F207" t="inlineStr">
        <is>
          <t>UPPSALA LÄN</t>
        </is>
      </c>
      <c r="G207" t="inlineStr">
        <is>
          <t>HEBY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46221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21143-2023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46221</v>
      </c>
      <c r="F209" t="inlineStr">
        <is>
          <t>UPPSALA LÄN</t>
        </is>
      </c>
      <c r="G209" t="inlineStr">
        <is>
          <t>HEBY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46221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19764-2023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46221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46221</v>
      </c>
      <c r="F212" t="inlineStr">
        <is>
          <t>UPPSALA LÄN</t>
        </is>
      </c>
      <c r="G212" t="inlineStr">
        <is>
          <t>HEBY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46221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44944</v>
      </c>
      <c r="E214" s="1" t="n">
        <v>46221</v>
      </c>
      <c r="F214" t="inlineStr">
        <is>
          <t>UPPSALA LÄN</t>
        </is>
      </c>
      <c r="G214" t="inlineStr">
        <is>
          <t>HEBY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46221</v>
      </c>
      <c r="F215" t="inlineStr">
        <is>
          <t>UPPSALA LÄN</t>
        </is>
      </c>
      <c r="G215" t="inlineStr">
        <is>
          <t>HEBY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46221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46221</v>
      </c>
      <c r="F217" t="inlineStr">
        <is>
          <t>UPPSALA LÄN</t>
        </is>
      </c>
      <c r="G217" t="inlineStr">
        <is>
          <t>HEBY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46221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30418-2025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46221</v>
      </c>
      <c r="F219" t="inlineStr">
        <is>
          <t>UPPSALA LÄN</t>
        </is>
      </c>
      <c r="G219" t="inlineStr">
        <is>
          <t>HEBY</t>
        </is>
      </c>
      <c r="H219" t="inlineStr">
        <is>
          <t>Övriga Aktiebolag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46221</v>
      </c>
      <c r="F220" t="inlineStr">
        <is>
          <t>UPPSALA LÄN</t>
        </is>
      </c>
      <c r="G220" t="inlineStr">
        <is>
          <t>HEBY</t>
        </is>
      </c>
      <c r="H220" t="inlineStr">
        <is>
          <t>Övriga Aktiebolag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46221</v>
      </c>
      <c r="F221" t="inlineStr">
        <is>
          <t>UPPSALA LÄN</t>
        </is>
      </c>
      <c r="G221" t="inlineStr">
        <is>
          <t>HEBY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46221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31058-2025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46221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46221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46221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61453-2022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46221</v>
      </c>
      <c r="F226" t="inlineStr">
        <is>
          <t>UPPSALA LÄN</t>
        </is>
      </c>
      <c r="G226" t="inlineStr">
        <is>
          <t>HEBY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10069-2024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46221</v>
      </c>
      <c r="F227" t="inlineStr">
        <is>
          <t>UPPSALA LÄN</t>
        </is>
      </c>
      <c r="G227" t="inlineStr">
        <is>
          <t>HEBY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46221</v>
      </c>
      <c r="F228" t="inlineStr">
        <is>
          <t>UPPSALA LÄN</t>
        </is>
      </c>
      <c r="G228" t="inlineStr">
        <is>
          <t>HEBY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46221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46221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46221</v>
      </c>
      <c r="F231" t="inlineStr">
        <is>
          <t>UPPSALA LÄN</t>
        </is>
      </c>
      <c r="G231" t="inlineStr">
        <is>
          <t>HEBY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13603-2023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46221</v>
      </c>
      <c r="F232" t="inlineStr">
        <is>
          <t>UPPSALA LÄN</t>
        </is>
      </c>
      <c r="G232" t="inlineStr">
        <is>
          <t>HEBY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46221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46221</v>
      </c>
      <c r="F234" t="inlineStr">
        <is>
          <t>UPPSALA LÄN</t>
        </is>
      </c>
      <c r="G234" t="inlineStr">
        <is>
          <t>HEBY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46221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46221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21293-2023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46221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46221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46221</v>
      </c>
      <c r="F239" t="inlineStr">
        <is>
          <t>UPPSALA LÄN</t>
        </is>
      </c>
      <c r="G239" t="inlineStr">
        <is>
          <t>HEBY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26421-2023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46221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26449-2023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46221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21000-2022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46221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46221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45440-2025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46221</v>
      </c>
      <c r="F244" t="inlineStr">
        <is>
          <t>UPPSALA LÄN</t>
        </is>
      </c>
      <c r="G244" t="inlineStr">
        <is>
          <t>HEBY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34072-2025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46221</v>
      </c>
      <c r="F245" t="inlineStr">
        <is>
          <t>UPPSALA LÄN</t>
        </is>
      </c>
      <c r="G245" t="inlineStr">
        <is>
          <t>HEBY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29747-2025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46221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46221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45417-2025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46221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6523-2022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46221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34559-2025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46221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18278-2024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46221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35265-2025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45852</v>
      </c>
      <c r="E252" s="1" t="n">
        <v>46221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45852</v>
      </c>
      <c r="E253" s="1" t="n">
        <v>46221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19990-2022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44697</v>
      </c>
      <c r="E254" s="1" t="n">
        <v>46221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14.3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59486-2021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44491</v>
      </c>
      <c r="E255" s="1" t="n">
        <v>46221</v>
      </c>
      <c r="F255" t="inlineStr">
        <is>
          <t>UPPSALA LÄN</t>
        </is>
      </c>
      <c r="G255" t="inlineStr">
        <is>
          <t>HEBY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26559-2023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45092</v>
      </c>
      <c r="E256" s="1" t="n">
        <v>46221</v>
      </c>
      <c r="F256" t="inlineStr">
        <is>
          <t>UPPSALA LÄN</t>
        </is>
      </c>
      <c r="G256" t="inlineStr">
        <is>
          <t>HEBY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30891-2023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46221</v>
      </c>
      <c r="F257" t="inlineStr">
        <is>
          <t>UPPSALA LÄN</t>
        </is>
      </c>
      <c r="G257" t="inlineStr">
        <is>
          <t>HEBY</t>
        </is>
      </c>
      <c r="H257" t="inlineStr">
        <is>
          <t>Övriga Aktiebolag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11555-2026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46084</v>
      </c>
      <c r="E258" s="1" t="n">
        <v>46221</v>
      </c>
      <c r="F258" t="inlineStr">
        <is>
          <t>UPPSALA LÄN</t>
        </is>
      </c>
      <c r="G258" t="inlineStr">
        <is>
          <t>HEBY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46221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46221</v>
      </c>
      <c r="F260" t="inlineStr">
        <is>
          <t>UPPSALA LÄN</t>
        </is>
      </c>
      <c r="G260" t="inlineStr">
        <is>
          <t>HEBY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46221</v>
      </c>
      <c r="F261" t="inlineStr">
        <is>
          <t>UPPSALA LÄN</t>
        </is>
      </c>
      <c r="G261" t="inlineStr">
        <is>
          <t>HEBY</t>
        </is>
      </c>
      <c r="H261" t="inlineStr">
        <is>
          <t>Allmännings- och besparingsskogar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46221</v>
      </c>
      <c r="F262" t="inlineStr">
        <is>
          <t>UPPSALA LÄN</t>
        </is>
      </c>
      <c r="G262" t="inlineStr">
        <is>
          <t>HEBY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46221</v>
      </c>
      <c r="F263" t="inlineStr">
        <is>
          <t>UPPSALA LÄN</t>
        </is>
      </c>
      <c r="G263" t="inlineStr">
        <is>
          <t>HEBY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70158-2021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46221</v>
      </c>
      <c r="F264" t="inlineStr">
        <is>
          <t>UPPSALA LÄN</t>
        </is>
      </c>
      <c r="G264" t="inlineStr">
        <is>
          <t>HEBY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46221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7222-2026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46221</v>
      </c>
      <c r="F266" t="inlineStr">
        <is>
          <t>UPPSALA LÄN</t>
        </is>
      </c>
      <c r="G266" t="inlineStr">
        <is>
          <t>HEBY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46221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6996-2026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46221</v>
      </c>
      <c r="F268" t="inlineStr">
        <is>
          <t>UPPSALA LÄN</t>
        </is>
      </c>
      <c r="G268" t="inlineStr">
        <is>
          <t>HEBY</t>
        </is>
      </c>
      <c r="H268" t="inlineStr">
        <is>
          <t>Kommuner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45294</v>
      </c>
      <c r="E269" s="1" t="n">
        <v>46221</v>
      </c>
      <c r="F269" t="inlineStr">
        <is>
          <t>UPPSALA LÄN</t>
        </is>
      </c>
      <c r="G269" t="inlineStr">
        <is>
          <t>HEBY</t>
        </is>
      </c>
      <c r="H269" t="inlineStr">
        <is>
          <t>Kommuner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43957-2021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44434</v>
      </c>
      <c r="E270" s="1" t="n">
        <v>46221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46221</v>
      </c>
      <c r="F271" t="inlineStr">
        <is>
          <t>UPPSALA LÄN</t>
        </is>
      </c>
      <c r="G271" t="inlineStr">
        <is>
          <t>HEBY</t>
        </is>
      </c>
      <c r="H271" t="inlineStr">
        <is>
          <t>Kommuner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7216-2026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46221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46221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50255-2025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46221</v>
      </c>
      <c r="F274" t="inlineStr">
        <is>
          <t>UPPSALA LÄN</t>
        </is>
      </c>
      <c r="G274" t="inlineStr">
        <is>
          <t>HEBY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50657-2025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46221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46221</v>
      </c>
      <c r="F276" t="inlineStr">
        <is>
          <t>UPPSALA LÄN</t>
        </is>
      </c>
      <c r="G276" t="inlineStr">
        <is>
          <t>HEBY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35868-2022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44802</v>
      </c>
      <c r="E277" s="1" t="n">
        <v>46221</v>
      </c>
      <c r="F277" t="inlineStr">
        <is>
          <t>UPPSALA LÄN</t>
        </is>
      </c>
      <c r="G277" t="inlineStr">
        <is>
          <t>HEBY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45777</v>
      </c>
      <c r="E278" s="1" t="n">
        <v>46221</v>
      </c>
      <c r="F278" t="inlineStr">
        <is>
          <t>UPPSALA LÄN</t>
        </is>
      </c>
      <c r="G278" t="inlineStr">
        <is>
          <t>HEBY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46221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16083-2025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46221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46221</v>
      </c>
      <c r="F281" t="inlineStr">
        <is>
          <t>UPPSALA LÄN</t>
        </is>
      </c>
      <c r="G281" t="inlineStr">
        <is>
          <t>HEBY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46221</v>
      </c>
      <c r="F282" t="inlineStr">
        <is>
          <t>UPPSALA LÄN</t>
        </is>
      </c>
      <c r="G282" t="inlineStr">
        <is>
          <t>HEBY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43179-2021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44431</v>
      </c>
      <c r="E283" s="1" t="n">
        <v>46221</v>
      </c>
      <c r="F283" t="inlineStr">
        <is>
          <t>UPPSALA LÄN</t>
        </is>
      </c>
      <c r="G283" t="inlineStr">
        <is>
          <t>HEBY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52106-2025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46221</v>
      </c>
      <c r="F284" t="inlineStr">
        <is>
          <t>UPPSALA LÄN</t>
        </is>
      </c>
      <c r="G284" t="inlineStr">
        <is>
          <t>HEBY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45952</v>
      </c>
      <c r="E285" s="1" t="n">
        <v>46221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21302-2023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46221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51685-2025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46221</v>
      </c>
      <c r="F287" t="inlineStr">
        <is>
          <t>UPPSALA LÄN</t>
        </is>
      </c>
      <c r="G287" t="inlineStr">
        <is>
          <t>HEBY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46221</v>
      </c>
      <c r="F288" t="inlineStr">
        <is>
          <t>UPPSALA LÄN</t>
        </is>
      </c>
      <c r="G288" t="inlineStr">
        <is>
          <t>HEBY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46221</v>
      </c>
      <c r="F289" t="inlineStr">
        <is>
          <t>UPPSALA LÄN</t>
        </is>
      </c>
      <c r="G289" t="inlineStr">
        <is>
          <t>HEBY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16660-2023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46221</v>
      </c>
      <c r="F290" t="inlineStr">
        <is>
          <t>UPPSALA LÄN</t>
        </is>
      </c>
      <c r="G290" t="inlineStr">
        <is>
          <t>HEBY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45666</v>
      </c>
      <c r="E291" s="1" t="n">
        <v>46221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37782-2022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46221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46221</v>
      </c>
      <c r="F293" t="inlineStr">
        <is>
          <t>UPPSALA LÄN</t>
        </is>
      </c>
      <c r="G293" t="inlineStr">
        <is>
          <t>HEBY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9766-2023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46221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53186-2025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46221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31407-2023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46221</v>
      </c>
      <c r="F296" t="inlineStr">
        <is>
          <t>UPPSALA LÄN</t>
        </is>
      </c>
      <c r="G296" t="inlineStr">
        <is>
          <t>HEBY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29570-2022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46221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45132</v>
      </c>
      <c r="E298" s="1" t="n">
        <v>46221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46221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19683-2022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44694</v>
      </c>
      <c r="E300" s="1" t="n">
        <v>46221</v>
      </c>
      <c r="F300" t="inlineStr">
        <is>
          <t>UPPSALA LÄN</t>
        </is>
      </c>
      <c r="G300" t="inlineStr">
        <is>
          <t>HEBY</t>
        </is>
      </c>
      <c r="I300" t="n">
        <v>22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33707-2023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45132</v>
      </c>
      <c r="E301" s="1" t="n">
        <v>46221</v>
      </c>
      <c r="F301" t="inlineStr">
        <is>
          <t>UPPSALA LÄN</t>
        </is>
      </c>
      <c r="G301" t="inlineStr">
        <is>
          <t>HEBY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8182-2022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46221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46221</v>
      </c>
      <c r="F303" t="inlineStr">
        <is>
          <t>UPPSALA LÄN</t>
        </is>
      </c>
      <c r="G303" t="inlineStr">
        <is>
          <t>HEBY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46221</v>
      </c>
      <c r="F304" t="inlineStr">
        <is>
          <t>UPPSALA LÄN</t>
        </is>
      </c>
      <c r="G304" t="inlineStr">
        <is>
          <t>HEBY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46221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46221</v>
      </c>
      <c r="F306" t="inlineStr">
        <is>
          <t>UPPSALA LÄN</t>
        </is>
      </c>
      <c r="G306" t="inlineStr">
        <is>
          <t>HEBY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14916-2025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45743</v>
      </c>
      <c r="E307" s="1" t="n">
        <v>46221</v>
      </c>
      <c r="F307" t="inlineStr">
        <is>
          <t>UPPSALA LÄN</t>
        </is>
      </c>
      <c r="G307" t="inlineStr">
        <is>
          <t>HEBY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54653-2025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46221</v>
      </c>
      <c r="F308" t="inlineStr">
        <is>
          <t>UPPSALA LÄN</t>
        </is>
      </c>
      <c r="G308" t="inlineStr">
        <is>
          <t>HEBY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46221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9877-2026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46221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46221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46221</v>
      </c>
      <c r="F312" t="inlineStr">
        <is>
          <t>UPPSALA LÄN</t>
        </is>
      </c>
      <c r="G312" t="inlineStr">
        <is>
          <t>HEBY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44435</v>
      </c>
      <c r="E313" s="1" t="n">
        <v>46221</v>
      </c>
      <c r="F313" t="inlineStr">
        <is>
          <t>UPPSALA LÄN</t>
        </is>
      </c>
      <c r="G313" t="inlineStr">
        <is>
          <t>HEBY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8056-2024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46221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55488-2025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45971</v>
      </c>
      <c r="E315" s="1" t="n">
        <v>46221</v>
      </c>
      <c r="F315" t="inlineStr">
        <is>
          <t>UPPSALA LÄN</t>
        </is>
      </c>
      <c r="G315" t="inlineStr">
        <is>
          <t>HEBY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55496-2025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45971</v>
      </c>
      <c r="E316" s="1" t="n">
        <v>46221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55810-2025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45972</v>
      </c>
      <c r="E317" s="1" t="n">
        <v>46221</v>
      </c>
      <c r="F317" t="inlineStr">
        <is>
          <t>UPPSALA LÄN</t>
        </is>
      </c>
      <c r="G317" t="inlineStr">
        <is>
          <t>HEBY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7128-2026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46221</v>
      </c>
      <c r="F318" t="inlineStr">
        <is>
          <t>UPPSALA LÄN</t>
        </is>
      </c>
      <c r="G318" t="inlineStr">
        <is>
          <t>HEBY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51082-2023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46221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51091-2023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45218</v>
      </c>
      <c r="E320" s="1" t="n">
        <v>46221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46221</v>
      </c>
      <c r="F321" t="inlineStr">
        <is>
          <t>UPPSALA LÄN</t>
        </is>
      </c>
      <c r="G321" t="inlineStr">
        <is>
          <t>HEBY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50281-2023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46221</v>
      </c>
      <c r="F322" t="inlineStr">
        <is>
          <t>UPPSALA LÄN</t>
        </is>
      </c>
      <c r="G322" t="inlineStr">
        <is>
          <t>HEBY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57403-2025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46221</v>
      </c>
      <c r="F323" t="inlineStr">
        <is>
          <t>UPPSALA LÄN</t>
        </is>
      </c>
      <c r="G323" t="inlineStr">
        <is>
          <t>HEBY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57377-2025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46221</v>
      </c>
      <c r="F324" t="inlineStr">
        <is>
          <t>UPPSALA LÄN</t>
        </is>
      </c>
      <c r="G324" t="inlineStr">
        <is>
          <t>HEBY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57397-2025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46221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18144-2022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44684</v>
      </c>
      <c r="E326" s="1" t="n">
        <v>46221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46221</v>
      </c>
      <c r="F327" t="inlineStr">
        <is>
          <t>UPPSALA LÄN</t>
        </is>
      </c>
      <c r="G327" t="inlineStr">
        <is>
          <t>HEBY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51733-2025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46221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öst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40435-2025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46221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öst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46221</v>
      </c>
      <c r="F330" t="inlineStr">
        <is>
          <t>UPPSALA LÄN</t>
        </is>
      </c>
      <c r="G330" t="inlineStr">
        <is>
          <t>HEBY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70976-2021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44538</v>
      </c>
      <c r="E331" s="1" t="n">
        <v>46221</v>
      </c>
      <c r="F331" t="inlineStr">
        <is>
          <t>UPPSALA LÄN</t>
        </is>
      </c>
      <c r="G331" t="inlineStr">
        <is>
          <t>HEBY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13092-2026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46221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13097-2026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46221</v>
      </c>
      <c r="F333" t="inlineStr">
        <is>
          <t>UPPSALA LÄN</t>
        </is>
      </c>
      <c r="G333" t="inlineStr">
        <is>
          <t>HEBY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13089-2026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46221</v>
      </c>
      <c r="F334" t="inlineStr">
        <is>
          <t>UPPSALA LÄN</t>
        </is>
      </c>
      <c r="G334" t="inlineStr">
        <is>
          <t>HEBY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13099-2026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46221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38203-2021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44405</v>
      </c>
      <c r="E336" s="1" t="n">
        <v>46221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46221</v>
      </c>
      <c r="F337" t="inlineStr">
        <is>
          <t>UPPSALA LÄN</t>
        </is>
      </c>
      <c r="G337" t="inlineStr">
        <is>
          <t>HEBY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46221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45670</v>
      </c>
      <c r="E339" s="1" t="n">
        <v>46221</v>
      </c>
      <c r="F339" t="inlineStr">
        <is>
          <t>UPPSALA LÄN</t>
        </is>
      </c>
      <c r="G339" t="inlineStr">
        <is>
          <t>HEBY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44944</v>
      </c>
      <c r="E340" s="1" t="n">
        <v>46221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46221</v>
      </c>
      <c r="F341" t="inlineStr">
        <is>
          <t>UPPSALA LÄN</t>
        </is>
      </c>
      <c r="G341" t="inlineStr">
        <is>
          <t>HEBY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50859-2022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44862</v>
      </c>
      <c r="E342" s="1" t="n">
        <v>46221</v>
      </c>
      <c r="F342" t="inlineStr">
        <is>
          <t>UPPSALA LÄN</t>
        </is>
      </c>
      <c r="G342" t="inlineStr">
        <is>
          <t>HEBY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44568</v>
      </c>
      <c r="E343" s="1" t="n">
        <v>46221</v>
      </c>
      <c r="F343" t="inlineStr">
        <is>
          <t>UPPSALA LÄN</t>
        </is>
      </c>
      <c r="G343" t="inlineStr">
        <is>
          <t>HEBY</t>
        </is>
      </c>
      <c r="I343" t="n">
        <v>10.6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61884-2025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46221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46221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62042-2025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46005</v>
      </c>
      <c r="E346" s="1" t="n">
        <v>46221</v>
      </c>
      <c r="F346" t="inlineStr">
        <is>
          <t>UPPSALA LÄN</t>
        </is>
      </c>
      <c r="G346" t="inlineStr">
        <is>
          <t>HEBY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64191-2023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46221</v>
      </c>
      <c r="F347" t="inlineStr">
        <is>
          <t>UPPSALA LÄN</t>
        </is>
      </c>
      <c r="G347" t="inlineStr">
        <is>
          <t>HEBY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46003</v>
      </c>
      <c r="E348" s="1" t="n">
        <v>46221</v>
      </c>
      <c r="F348" t="inlineStr">
        <is>
          <t>UPPSALA LÄN</t>
        </is>
      </c>
      <c r="G348" t="inlineStr">
        <is>
          <t>HEBY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14765-2026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46221</v>
      </c>
      <c r="F349" t="inlineStr">
        <is>
          <t>UPPSALA LÄN</t>
        </is>
      </c>
      <c r="G349" t="inlineStr">
        <is>
          <t>HEBY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46221</v>
      </c>
      <c r="F350" t="inlineStr">
        <is>
          <t>UPPSALA LÄN</t>
        </is>
      </c>
      <c r="G350" t="inlineStr">
        <is>
          <t>HEBY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62475-2025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46221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46221</v>
      </c>
      <c r="F352" t="inlineStr">
        <is>
          <t>UPPSALA LÄN</t>
        </is>
      </c>
      <c r="G352" t="inlineStr">
        <is>
          <t>HEBY</t>
        </is>
      </c>
      <c r="H352" t="inlineStr">
        <is>
          <t>Övriga Aktiebolag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66055-2021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44517</v>
      </c>
      <c r="E353" s="1" t="n">
        <v>46221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öst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31143-2023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46221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18056-2025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45761</v>
      </c>
      <c r="E355" s="1" t="n">
        <v>46221</v>
      </c>
      <c r="F355" t="inlineStr">
        <is>
          <t>UPPSALA LÄN</t>
        </is>
      </c>
      <c r="G355" t="inlineStr">
        <is>
          <t>HEBY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72180-2021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44543</v>
      </c>
      <c r="E356" s="1" t="n">
        <v>46221</v>
      </c>
      <c r="F356" t="inlineStr">
        <is>
          <t>UPPSALA LÄN</t>
        </is>
      </c>
      <c r="G356" t="inlineStr">
        <is>
          <t>HEBY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44914</v>
      </c>
      <c r="E357" s="1" t="n">
        <v>46221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46221</v>
      </c>
      <c r="F358" t="inlineStr">
        <is>
          <t>UPPSALA LÄN</t>
        </is>
      </c>
      <c r="G358" t="inlineStr">
        <is>
          <t>HEBY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46221</v>
      </c>
      <c r="F359" t="inlineStr">
        <is>
          <t>UPPSALA LÄN</t>
        </is>
      </c>
      <c r="G359" t="inlineStr">
        <is>
          <t>HEBY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31567-2023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46221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31586-2023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46221</v>
      </c>
      <c r="F361" t="inlineStr">
        <is>
          <t>UPPSALA LÄN</t>
        </is>
      </c>
      <c r="G361" t="inlineStr">
        <is>
          <t>HEBY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46221</v>
      </c>
      <c r="F362" t="inlineStr">
        <is>
          <t>UPPSALA LÄN</t>
        </is>
      </c>
      <c r="G362" t="inlineStr">
        <is>
          <t>HEBY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73622-2021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44552</v>
      </c>
      <c r="E363" s="1" t="n">
        <v>46221</v>
      </c>
      <c r="F363" t="inlineStr">
        <is>
          <t>UPPSALA LÄN</t>
        </is>
      </c>
      <c r="G363" t="inlineStr">
        <is>
          <t>HEBY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9623-2026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46221</v>
      </c>
      <c r="F364" t="inlineStr">
        <is>
          <t>UPPSALA LÄN</t>
        </is>
      </c>
      <c r="G364" t="inlineStr">
        <is>
          <t>HEBY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16164-2026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46110</v>
      </c>
      <c r="E365" s="1" t="n">
        <v>46221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13593-2023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46221</v>
      </c>
      <c r="F366" t="inlineStr">
        <is>
          <t>UPPSALA LÄN</t>
        </is>
      </c>
      <c r="G366" t="inlineStr">
        <is>
          <t>HEBY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16357-2026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46221</v>
      </c>
      <c r="F367" t="inlineStr">
        <is>
          <t>UPPSALA LÄN</t>
        </is>
      </c>
      <c r="G367" t="inlineStr">
        <is>
          <t>HEBY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16404-2023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46221</v>
      </c>
      <c r="F368" t="inlineStr">
        <is>
          <t>UPPSALA LÄN</t>
        </is>
      </c>
      <c r="G368" t="inlineStr">
        <is>
          <t>HEBY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963-2022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44568</v>
      </c>
      <c r="E369" s="1" t="n">
        <v>46221</v>
      </c>
      <c r="F369" t="inlineStr">
        <is>
          <t>UPPSALA LÄN</t>
        </is>
      </c>
      <c r="G369" t="inlineStr">
        <is>
          <t>HEBY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16506-2026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46112</v>
      </c>
      <c r="E370" s="1" t="n">
        <v>46221</v>
      </c>
      <c r="F370" t="inlineStr">
        <is>
          <t>UPPSALA LÄN</t>
        </is>
      </c>
      <c r="G370" t="inlineStr">
        <is>
          <t>HEBY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16511-2026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46221</v>
      </c>
      <c r="F371" t="inlineStr">
        <is>
          <t>UPPSALA LÄN</t>
        </is>
      </c>
      <c r="G371" t="inlineStr">
        <is>
          <t>HEBY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16515-2026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46221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16509-2026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46221</v>
      </c>
      <c r="F373" t="inlineStr">
        <is>
          <t>UPPSALA LÄN</t>
        </is>
      </c>
      <c r="G373" t="inlineStr">
        <is>
          <t>HEBY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46221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46221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17077-2026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46221</v>
      </c>
      <c r="F376" t="inlineStr">
        <is>
          <t>UPPSALA LÄN</t>
        </is>
      </c>
      <c r="G376" t="inlineStr">
        <is>
          <t>HEBY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17078-2026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46221</v>
      </c>
      <c r="F377" t="inlineStr">
        <is>
          <t>UPPSALA LÄN</t>
        </is>
      </c>
      <c r="G377" t="inlineStr">
        <is>
          <t>HEBY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8051-2023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46221</v>
      </c>
      <c r="F378" t="inlineStr">
        <is>
          <t>UPPSALA LÄN</t>
        </is>
      </c>
      <c r="G378" t="inlineStr">
        <is>
          <t>HEBY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35644-2024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46221</v>
      </c>
      <c r="F379" t="inlineStr">
        <is>
          <t>UPPSALA LÄN</t>
        </is>
      </c>
      <c r="G379" t="inlineStr">
        <is>
          <t>HEBY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11715-2024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46221</v>
      </c>
      <c r="F380" t="inlineStr">
        <is>
          <t>UPPSALA LÄN</t>
        </is>
      </c>
      <c r="G380" t="inlineStr">
        <is>
          <t>HEBY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46221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46221</v>
      </c>
      <c r="F382" t="inlineStr">
        <is>
          <t>UPPSALA LÄN</t>
        </is>
      </c>
      <c r="G382" t="inlineStr">
        <is>
          <t>HEBY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39157-2023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46221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11503-2023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44993</v>
      </c>
      <c r="E384" s="1" t="n">
        <v>46221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32181-2024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45511</v>
      </c>
      <c r="E385" s="1" t="n">
        <v>46221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46221</v>
      </c>
      <c r="F386" t="inlineStr">
        <is>
          <t>UPPSALA LÄN</t>
        </is>
      </c>
      <c r="G386" t="inlineStr">
        <is>
          <t>HEBY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64364-2021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46221</v>
      </c>
      <c r="F387" t="inlineStr">
        <is>
          <t>UPPSALA LÄN</t>
        </is>
      </c>
      <c r="G387" t="inlineStr">
        <is>
          <t>HEBY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18374-2026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46221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18380-2026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46221</v>
      </c>
      <c r="F389" t="inlineStr">
        <is>
          <t>UPPSALA LÄN</t>
        </is>
      </c>
      <c r="G389" t="inlineStr">
        <is>
          <t>HEBY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31560-2023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46221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48029-2024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46221</v>
      </c>
      <c r="F391" t="inlineStr">
        <is>
          <t>UPPSALA LÄN</t>
        </is>
      </c>
      <c r="G391" t="inlineStr">
        <is>
          <t>HEBY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9815-2022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46221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46221</v>
      </c>
      <c r="F393" t="inlineStr">
        <is>
          <t>UPPSALA LÄN</t>
        </is>
      </c>
      <c r="G393" t="inlineStr">
        <is>
          <t>HEBY</t>
        </is>
      </c>
      <c r="I393" t="n">
        <v>11.2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8660-2022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46221</v>
      </c>
      <c r="F394" t="inlineStr">
        <is>
          <t>UPPSALA LÄN</t>
        </is>
      </c>
      <c r="G394" t="inlineStr">
        <is>
          <t>HEBY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19337-2026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46221</v>
      </c>
      <c r="F395" t="inlineStr">
        <is>
          <t>UPPSALA LÄN</t>
        </is>
      </c>
      <c r="G395" t="inlineStr">
        <is>
          <t>HEBY</t>
        </is>
      </c>
      <c r="H395" t="inlineStr">
        <is>
          <t>Kyrkan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45331</v>
      </c>
      <c r="E396" s="1" t="n">
        <v>46221</v>
      </c>
      <c r="F396" t="inlineStr">
        <is>
          <t>UPPSALA LÄN</t>
        </is>
      </c>
      <c r="G396" t="inlineStr">
        <is>
          <t>HEBY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74215-2021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44558</v>
      </c>
      <c r="E397" s="1" t="n">
        <v>46221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19744-2026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46135</v>
      </c>
      <c r="E398" s="1" t="n">
        <v>46221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46221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40924-2023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46221</v>
      </c>
      <c r="F400" t="inlineStr">
        <is>
          <t>UPPSALA LÄN</t>
        </is>
      </c>
      <c r="G400" t="inlineStr">
        <is>
          <t>HEBY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40926-2023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46221</v>
      </c>
      <c r="F401" t="inlineStr">
        <is>
          <t>UPPSALA LÄN</t>
        </is>
      </c>
      <c r="G401" t="inlineStr">
        <is>
          <t>HEBY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45008</v>
      </c>
      <c r="E402" s="1" t="n">
        <v>46221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38670-2024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46221</v>
      </c>
      <c r="F403" t="inlineStr">
        <is>
          <t>UPPSALA LÄN</t>
        </is>
      </c>
      <c r="G403" t="inlineStr">
        <is>
          <t>HEBY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46221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45181</v>
      </c>
      <c r="E405" s="1" t="n">
        <v>46221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50163-2024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45599</v>
      </c>
      <c r="E406" s="1" t="n">
        <v>46221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31139-2023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46221</v>
      </c>
      <c r="F407" t="inlineStr">
        <is>
          <t>UPPSALA LÄN</t>
        </is>
      </c>
      <c r="G407" t="inlineStr">
        <is>
          <t>HEBY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46221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45727</v>
      </c>
      <c r="E409" s="1" t="n">
        <v>46221</v>
      </c>
      <c r="F409" t="inlineStr">
        <is>
          <t>UPPSALA LÄN</t>
        </is>
      </c>
      <c r="G409" t="inlineStr">
        <is>
          <t>HEBY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46221</v>
      </c>
      <c r="F410" t="inlineStr">
        <is>
          <t>UPPSALA LÄN</t>
        </is>
      </c>
      <c r="G410" t="inlineStr">
        <is>
          <t>HEBY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46221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35865-2022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46221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35875-2022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46221</v>
      </c>
      <c r="F413" t="inlineStr">
        <is>
          <t>UPPSALA LÄN</t>
        </is>
      </c>
      <c r="G413" t="inlineStr">
        <is>
          <t>HEBY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28288-2025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46221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45317</v>
      </c>
      <c r="E415" s="1" t="n">
        <v>46221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39154-2023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46221</v>
      </c>
      <c r="F416" t="inlineStr">
        <is>
          <t>UPPSALA LÄN</t>
        </is>
      </c>
      <c r="G416" t="inlineStr">
        <is>
          <t>HEBY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47890-2025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46221</v>
      </c>
      <c r="F417" t="inlineStr">
        <is>
          <t>UPPSALA LÄN</t>
        </is>
      </c>
      <c r="G417" t="inlineStr">
        <is>
          <t>HEBY</t>
        </is>
      </c>
      <c r="H417" t="inlineStr">
        <is>
          <t>Allmännings- och besparingsskogar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20440-2026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46221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46221</v>
      </c>
      <c r="F419" t="inlineStr">
        <is>
          <t>UPPSALA LÄN</t>
        </is>
      </c>
      <c r="G419" t="inlineStr">
        <is>
          <t>HEBY</t>
        </is>
      </c>
      <c r="H419" t="inlineStr">
        <is>
          <t>Övriga Aktiebolag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20488-2026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46221</v>
      </c>
      <c r="F420" t="inlineStr">
        <is>
          <t>UPPSALA LÄN</t>
        </is>
      </c>
      <c r="G420" t="inlineStr">
        <is>
          <t>HEBY</t>
        </is>
      </c>
      <c r="H420" t="inlineStr">
        <is>
          <t>Kyrkan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10414-2022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44623</v>
      </c>
      <c r="E421" s="1" t="n">
        <v>46221</v>
      </c>
      <c r="F421" t="inlineStr">
        <is>
          <t>UPPSALA LÄN</t>
        </is>
      </c>
      <c r="G421" t="inlineStr">
        <is>
          <t>HEBY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46221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19718-2023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45050</v>
      </c>
      <c r="E423" s="1" t="n">
        <v>46221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8181-2022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44609</v>
      </c>
      <c r="E424" s="1" t="n">
        <v>46221</v>
      </c>
      <c r="F424" t="inlineStr">
        <is>
          <t>UPPSALA LÄN</t>
        </is>
      </c>
      <c r="G424" t="inlineStr">
        <is>
          <t>HEBY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20409-2026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46221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50802-2025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46221</v>
      </c>
      <c r="F426" t="inlineStr">
        <is>
          <t>UPPSALA LÄN</t>
        </is>
      </c>
      <c r="G426" t="inlineStr">
        <is>
          <t>HEBY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45884</v>
      </c>
      <c r="E427" s="1" t="n">
        <v>46221</v>
      </c>
      <c r="F427" t="inlineStr">
        <is>
          <t>UPPSALA LÄN</t>
        </is>
      </c>
      <c r="G427" t="inlineStr">
        <is>
          <t>HEBY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20459-2026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46221</v>
      </c>
      <c r="F428" t="inlineStr">
        <is>
          <t>UPPSALA LÄN</t>
        </is>
      </c>
      <c r="G428" t="inlineStr">
        <is>
          <t>HEBY</t>
        </is>
      </c>
      <c r="H428" t="inlineStr">
        <is>
          <t>Övriga Aktiebolag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47861-2025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45932</v>
      </c>
      <c r="E429" s="1" t="n">
        <v>46221</v>
      </c>
      <c r="F429" t="inlineStr">
        <is>
          <t>UPPSALA LÄN</t>
        </is>
      </c>
      <c r="G429" t="inlineStr">
        <is>
          <t>HEBY</t>
        </is>
      </c>
      <c r="H429" t="inlineStr">
        <is>
          <t>Allmännings- och besparingsskogar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45821-2023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45195</v>
      </c>
      <c r="E430" s="1" t="n">
        <v>46221</v>
      </c>
      <c r="F430" t="inlineStr">
        <is>
          <t>UPPSALA LÄN</t>
        </is>
      </c>
      <c r="G430" t="inlineStr">
        <is>
          <t>HEBY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46863-2025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46221</v>
      </c>
      <c r="F431" t="inlineStr">
        <is>
          <t>UPPSALA LÄN</t>
        </is>
      </c>
      <c r="G431" t="inlineStr">
        <is>
          <t>HEBY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38472-2025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46221</v>
      </c>
      <c r="F432" t="inlineStr">
        <is>
          <t>UPPSALA LÄN</t>
        </is>
      </c>
      <c r="G432" t="inlineStr">
        <is>
          <t>HEBY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45917-2023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45195</v>
      </c>
      <c r="E433" s="1" t="n">
        <v>46221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45133</v>
      </c>
      <c r="E434" s="1" t="n">
        <v>46221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46221</v>
      </c>
      <c r="F435" t="inlineStr">
        <is>
          <t>UPPSALA LÄN</t>
        </is>
      </c>
      <c r="G435" t="inlineStr">
        <is>
          <t>HEBY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45009-2022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46221</v>
      </c>
      <c r="F436" t="inlineStr">
        <is>
          <t>UPPSALA LÄN</t>
        </is>
      </c>
      <c r="G436" t="inlineStr">
        <is>
          <t>HEBY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34593-2023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45138</v>
      </c>
      <c r="E437" s="1" t="n">
        <v>46221</v>
      </c>
      <c r="F437" t="inlineStr">
        <is>
          <t>UPPSALA LÄN</t>
        </is>
      </c>
      <c r="G437" t="inlineStr">
        <is>
          <t>HEBY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44694</v>
      </c>
      <c r="E438" s="1" t="n">
        <v>46221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39831-2025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45891</v>
      </c>
      <c r="E439" s="1" t="n">
        <v>46221</v>
      </c>
      <c r="F439" t="inlineStr">
        <is>
          <t>UPPSALA LÄN</t>
        </is>
      </c>
      <c r="G439" t="inlineStr">
        <is>
          <t>HEBY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50954-2025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46221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42216-2025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46221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öst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46221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33379-2022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46221</v>
      </c>
      <c r="F443" t="inlineStr">
        <is>
          <t>UPPSALA LÄN</t>
        </is>
      </c>
      <c r="G443" t="inlineStr">
        <is>
          <t>HEBY</t>
        </is>
      </c>
      <c r="I443" t="n">
        <v>18.8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56623-2023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45243</v>
      </c>
      <c r="E444" s="1" t="n">
        <v>46221</v>
      </c>
      <c r="F444" t="inlineStr">
        <is>
          <t>UPPSALA LÄN</t>
        </is>
      </c>
      <c r="G444" t="inlineStr">
        <is>
          <t>HEBY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45250</v>
      </c>
      <c r="E445" s="1" t="n">
        <v>46221</v>
      </c>
      <c r="F445" t="inlineStr">
        <is>
          <t>UPPSALA LÄN</t>
        </is>
      </c>
      <c r="G445" t="inlineStr">
        <is>
          <t>HEBY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29340-2022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44752</v>
      </c>
      <c r="E446" s="1" t="n">
        <v>46221</v>
      </c>
      <c r="F446" t="inlineStr">
        <is>
          <t>UPPSALA LÄN</t>
        </is>
      </c>
      <c r="G446" t="inlineStr">
        <is>
          <t>HEBY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26100-2025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46221</v>
      </c>
      <c r="F447" t="inlineStr">
        <is>
          <t>UPPSALA LÄN</t>
        </is>
      </c>
      <c r="G447" t="inlineStr">
        <is>
          <t>HEBY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41546-2023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45175</v>
      </c>
      <c r="E448" s="1" t="n">
        <v>46221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34146-2022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44791</v>
      </c>
      <c r="E449" s="1" t="n">
        <v>46221</v>
      </c>
      <c r="F449" t="inlineStr">
        <is>
          <t>UPPSALA LÄN</t>
        </is>
      </c>
      <c r="G449" t="inlineStr">
        <is>
          <t>HEBY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20719-2026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46221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42731-2023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46221</v>
      </c>
      <c r="F451" t="inlineStr">
        <is>
          <t>UPPSALA LÄN</t>
        </is>
      </c>
      <c r="G451" t="inlineStr">
        <is>
          <t>HEBY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25997-2022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46221</v>
      </c>
      <c r="F452" t="inlineStr">
        <is>
          <t>UPPSALA LÄN</t>
        </is>
      </c>
      <c r="G452" t="inlineStr">
        <is>
          <t>HEBY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3368-2024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45317</v>
      </c>
      <c r="E453" s="1" t="n">
        <v>46221</v>
      </c>
      <c r="F453" t="inlineStr">
        <is>
          <t>UPPSALA LÄN</t>
        </is>
      </c>
      <c r="G453" t="inlineStr">
        <is>
          <t>HEBY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26085-2022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46221</v>
      </c>
      <c r="F454" t="inlineStr">
        <is>
          <t>UPPSALA LÄN</t>
        </is>
      </c>
      <c r="G454" t="inlineStr">
        <is>
          <t>HEBY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46221</v>
      </c>
      <c r="F455" t="inlineStr">
        <is>
          <t>UPPSALA LÄN</t>
        </is>
      </c>
      <c r="G455" t="inlineStr">
        <is>
          <t>HEBY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29396-2022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44753</v>
      </c>
      <c r="E456" s="1" t="n">
        <v>46221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46221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45293</v>
      </c>
      <c r="E458" s="1" t="n">
        <v>46221</v>
      </c>
      <c r="F458" t="inlineStr">
        <is>
          <t>UPPSALA LÄN</t>
        </is>
      </c>
      <c r="G458" t="inlineStr">
        <is>
          <t>HEBY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21729-2026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46221</v>
      </c>
      <c r="F459" t="inlineStr">
        <is>
          <t>UPPSALA LÄN</t>
        </is>
      </c>
      <c r="G459" t="inlineStr">
        <is>
          <t>HEBY</t>
        </is>
      </c>
      <c r="H459" t="inlineStr">
        <is>
          <t>Allmännings- och besparingsskogar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46221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32245-2022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44781</v>
      </c>
      <c r="E461" s="1" t="n">
        <v>46221</v>
      </c>
      <c r="F461" t="inlineStr">
        <is>
          <t>UPPSALA LÄN</t>
        </is>
      </c>
      <c r="G461" t="inlineStr">
        <is>
          <t>HEBY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45128</v>
      </c>
      <c r="E462" s="1" t="n">
        <v>46221</v>
      </c>
      <c r="F462" t="inlineStr">
        <is>
          <t>UPPSALA LÄN</t>
        </is>
      </c>
      <c r="G462" t="inlineStr">
        <is>
          <t>HEBY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46430-2023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45197</v>
      </c>
      <c r="E463" s="1" t="n">
        <v>46221</v>
      </c>
      <c r="F463" t="inlineStr">
        <is>
          <t>UPPSALA LÄN</t>
        </is>
      </c>
      <c r="G463" t="inlineStr">
        <is>
          <t>HEBY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25419-2022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46221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26099-2025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46221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46221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62132-2022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46221</v>
      </c>
      <c r="F467" t="inlineStr">
        <is>
          <t>UPPSALA LÄN</t>
        </is>
      </c>
      <c r="G467" t="inlineStr">
        <is>
          <t>HEBY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46221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16167-2024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45406</v>
      </c>
      <c r="E469" s="1" t="n">
        <v>46221</v>
      </c>
      <c r="F469" t="inlineStr">
        <is>
          <t>UPPSALA LÄN</t>
        </is>
      </c>
      <c r="G469" t="inlineStr">
        <is>
          <t>HEBY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60461-2022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46221</v>
      </c>
      <c r="F470" t="inlineStr">
        <is>
          <t>UPPSALA LÄN</t>
        </is>
      </c>
      <c r="G470" t="inlineStr">
        <is>
          <t>HEBY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19721-2022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44694</v>
      </c>
      <c r="E471" s="1" t="n">
        <v>46221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8790-2023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44978</v>
      </c>
      <c r="E472" s="1" t="n">
        <v>46221</v>
      </c>
      <c r="F472" t="inlineStr">
        <is>
          <t>UPPSALA LÄN</t>
        </is>
      </c>
      <c r="G472" t="inlineStr">
        <is>
          <t>HEBY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60295-2021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44495</v>
      </c>
      <c r="E473" s="1" t="n">
        <v>46221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45572</v>
      </c>
      <c r="E474" s="1" t="n">
        <v>46221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15326-2022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44659</v>
      </c>
      <c r="E475" s="1" t="n">
        <v>46221</v>
      </c>
      <c r="F475" t="inlineStr">
        <is>
          <t>UPPSALA LÄN</t>
        </is>
      </c>
      <c r="G475" t="inlineStr">
        <is>
          <t>HEBY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8856-2022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46221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45453</v>
      </c>
      <c r="E477" s="1" t="n">
        <v>46221</v>
      </c>
      <c r="F477" t="inlineStr">
        <is>
          <t>UPPSALA LÄN</t>
        </is>
      </c>
      <c r="G477" t="inlineStr">
        <is>
          <t>HEBY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22865-2026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46221</v>
      </c>
      <c r="F478" t="inlineStr">
        <is>
          <t>UPPSALA LÄN</t>
        </is>
      </c>
      <c r="G478" t="inlineStr">
        <is>
          <t>HEBY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46221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46221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46221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6866-2022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44602</v>
      </c>
      <c r="E482" s="1" t="n">
        <v>46221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30901-2023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46221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46221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41.8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66873-2021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44522</v>
      </c>
      <c r="E485" s="1" t="n">
        <v>46221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44753</v>
      </c>
      <c r="E486" s="1" t="n">
        <v>46221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46221</v>
      </c>
      <c r="F487" t="inlineStr">
        <is>
          <t>UPPSALA LÄN</t>
        </is>
      </c>
      <c r="G487" t="inlineStr">
        <is>
          <t>HEBY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25995-2022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44734</v>
      </c>
      <c r="E488" s="1" t="n">
        <v>46221</v>
      </c>
      <c r="F488" t="inlineStr">
        <is>
          <t>UPPSALA LÄN</t>
        </is>
      </c>
      <c r="G488" t="inlineStr">
        <is>
          <t>HEBY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24558-2023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45083</v>
      </c>
      <c r="E489" s="1" t="n">
        <v>46221</v>
      </c>
      <c r="F489" t="inlineStr">
        <is>
          <t>UPPSALA LÄN</t>
        </is>
      </c>
      <c r="G489" t="inlineStr">
        <is>
          <t>HEBY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46221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20882-2022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44701</v>
      </c>
      <c r="E491" s="1" t="n">
        <v>46221</v>
      </c>
      <c r="F491" t="inlineStr">
        <is>
          <t>UPPSALA LÄN</t>
        </is>
      </c>
      <c r="G491" t="inlineStr">
        <is>
          <t>HEBY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45013</v>
      </c>
      <c r="E492" s="1" t="n">
        <v>46221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56352-2021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44480</v>
      </c>
      <c r="E493" s="1" t="n">
        <v>46221</v>
      </c>
      <c r="F493" t="inlineStr">
        <is>
          <t>UPPSALA LÄN</t>
        </is>
      </c>
      <c r="G493" t="inlineStr">
        <is>
          <t>HEBY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9767-2023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44984</v>
      </c>
      <c r="E494" s="1" t="n">
        <v>46221</v>
      </c>
      <c r="F494" t="inlineStr">
        <is>
          <t>UPPSALA LÄN</t>
        </is>
      </c>
      <c r="G494" t="inlineStr">
        <is>
          <t>HEBY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51521-2023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46221</v>
      </c>
      <c r="F495" t="inlineStr">
        <is>
          <t>UPPSALA LÄN</t>
        </is>
      </c>
      <c r="G495" t="inlineStr">
        <is>
          <t>HEBY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9769-2023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44984</v>
      </c>
      <c r="E496" s="1" t="n">
        <v>46221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45964-2021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44441</v>
      </c>
      <c r="E497" s="1" t="n">
        <v>46221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46221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13243-2022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44644</v>
      </c>
      <c r="E499" s="1" t="n">
        <v>46221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17407-2023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46221</v>
      </c>
      <c r="F500" t="inlineStr">
        <is>
          <t>UPPSALA LÄN</t>
        </is>
      </c>
      <c r="G500" t="inlineStr">
        <is>
          <t>HEBY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46221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29826-2026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46221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24067-2026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46221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35.2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46221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45639</v>
      </c>
      <c r="E505" s="1" t="n">
        <v>46221</v>
      </c>
      <c r="F505" t="inlineStr">
        <is>
          <t>UPPSALA LÄN</t>
        </is>
      </c>
      <c r="G505" t="inlineStr">
        <is>
          <t>HEBY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46221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46.8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23490-2026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46221</v>
      </c>
      <c r="F507" t="inlineStr">
        <is>
          <t>UPPSALA LÄN</t>
        </is>
      </c>
      <c r="G507" t="inlineStr">
        <is>
          <t>HEBY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9497-2023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44981</v>
      </c>
      <c r="E508" s="1" t="n">
        <v>46221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60788-2022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46221</v>
      </c>
      <c r="F509" t="inlineStr">
        <is>
          <t>UPPSALA LÄN</t>
        </is>
      </c>
      <c r="G509" t="inlineStr">
        <is>
          <t>HEBY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11835-2024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45376</v>
      </c>
      <c r="E510" s="1" t="n">
        <v>46221</v>
      </c>
      <c r="F510" t="inlineStr">
        <is>
          <t>UPPSALA LÄN</t>
        </is>
      </c>
      <c r="G510" t="inlineStr">
        <is>
          <t>HEBY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46221</v>
      </c>
      <c r="F511" t="inlineStr">
        <is>
          <t>UPPSALA LÄN</t>
        </is>
      </c>
      <c r="G511" t="inlineStr">
        <is>
          <t>HEBY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59207-2023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45252</v>
      </c>
      <c r="E512" s="1" t="n">
        <v>46221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30433-2023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46221</v>
      </c>
      <c r="F513" t="inlineStr">
        <is>
          <t>UPPSALA LÄN</t>
        </is>
      </c>
      <c r="G513" t="inlineStr">
        <is>
          <t>HEBY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34140-2023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45135</v>
      </c>
      <c r="E514" s="1" t="n">
        <v>46221</v>
      </c>
      <c r="F514" t="inlineStr">
        <is>
          <t>UPPSALA LÄN</t>
        </is>
      </c>
      <c r="G514" t="inlineStr">
        <is>
          <t>HEBY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24212-2026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46221</v>
      </c>
      <c r="F515" t="inlineStr">
        <is>
          <t>UPPSALA LÄN</t>
        </is>
      </c>
      <c r="G515" t="inlineStr">
        <is>
          <t>HEBY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46221</v>
      </c>
      <c r="F516" t="inlineStr">
        <is>
          <t>UPPSALA LÄN</t>
        </is>
      </c>
      <c r="G516" t="inlineStr">
        <is>
          <t>HEBY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31564-2023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46221</v>
      </c>
      <c r="F517" t="inlineStr">
        <is>
          <t>UPPSALA LÄN</t>
        </is>
      </c>
      <c r="G517" t="inlineStr">
        <is>
          <t>HEBY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46221</v>
      </c>
      <c r="F518" t="inlineStr">
        <is>
          <t>UPPSALA LÄN</t>
        </is>
      </c>
      <c r="G518" t="inlineStr">
        <is>
          <t>HEBY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46221</v>
      </c>
      <c r="F519" t="inlineStr">
        <is>
          <t>UPPSALA LÄN</t>
        </is>
      </c>
      <c r="G519" t="inlineStr">
        <is>
          <t>HEBY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52252-2024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46221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55019-2025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46221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50172-2024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45599</v>
      </c>
      <c r="E522" s="1" t="n">
        <v>46221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45344</v>
      </c>
      <c r="E523" s="1" t="n">
        <v>46221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4388-2025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46221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60456-2022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46221</v>
      </c>
      <c r="F525" t="inlineStr">
        <is>
          <t>UPPSALA LÄN</t>
        </is>
      </c>
      <c r="G525" t="inlineStr">
        <is>
          <t>HEBY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24991-2026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46221</v>
      </c>
      <c r="F526" t="inlineStr">
        <is>
          <t>UPPSALA LÄN</t>
        </is>
      </c>
      <c r="G526" t="inlineStr">
        <is>
          <t>HEBY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39536-2024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46221</v>
      </c>
      <c r="F527" t="inlineStr">
        <is>
          <t>UPPSALA LÄN</t>
        </is>
      </c>
      <c r="G527" t="inlineStr">
        <is>
          <t>HEBY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46221</v>
      </c>
      <c r="F528" t="inlineStr">
        <is>
          <t>UPPSALA LÄN</t>
        </is>
      </c>
      <c r="G528" t="inlineStr">
        <is>
          <t>HEBY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33376-2024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45519</v>
      </c>
      <c r="E529" s="1" t="n">
        <v>46221</v>
      </c>
      <c r="F529" t="inlineStr">
        <is>
          <t>UPPSALA LÄN</t>
        </is>
      </c>
      <c r="G529" t="inlineStr">
        <is>
          <t>HEBY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45519</v>
      </c>
      <c r="E530" s="1" t="n">
        <v>46221</v>
      </c>
      <c r="F530" t="inlineStr">
        <is>
          <t>UPPSALA LÄN</t>
        </is>
      </c>
      <c r="G530" t="inlineStr">
        <is>
          <t>HEBY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58124-2022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44900</v>
      </c>
      <c r="E531" s="1" t="n">
        <v>46221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21310-2023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46221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48956-2023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46221</v>
      </c>
      <c r="F533" t="inlineStr">
        <is>
          <t>UPPSALA LÄN</t>
        </is>
      </c>
      <c r="G533" t="inlineStr">
        <is>
          <t>HEBY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46221</v>
      </c>
      <c r="F534" t="inlineStr">
        <is>
          <t>UPPSALA LÄN</t>
        </is>
      </c>
      <c r="G534" t="inlineStr">
        <is>
          <t>HEBY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44979</v>
      </c>
      <c r="E535" s="1" t="n">
        <v>46221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25861-2026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46221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8881-2025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46221</v>
      </c>
      <c r="F537" t="inlineStr">
        <is>
          <t>UPPSALA LÄN</t>
        </is>
      </c>
      <c r="G537" t="inlineStr">
        <is>
          <t>HEBY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46221</v>
      </c>
      <c r="F538" t="inlineStr">
        <is>
          <t>UPPSALA LÄN</t>
        </is>
      </c>
      <c r="G538" t="inlineStr">
        <is>
          <t>HEBY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46221</v>
      </c>
      <c r="F539" t="inlineStr">
        <is>
          <t>UPPSALA LÄN</t>
        </is>
      </c>
      <c r="G539" t="inlineStr">
        <is>
          <t>HEBY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31575-2023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45117</v>
      </c>
      <c r="E540" s="1" t="n">
        <v>46221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14262-2025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46221</v>
      </c>
      <c r="F541" t="inlineStr">
        <is>
          <t>UPPSALA LÄN</t>
        </is>
      </c>
      <c r="G541" t="inlineStr">
        <is>
          <t>HEBY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41599-2023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46221</v>
      </c>
      <c r="F542" t="inlineStr">
        <is>
          <t>UPPSALA LÄN</t>
        </is>
      </c>
      <c r="G542" t="inlineStr">
        <is>
          <t>HEBY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54594-2024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45617</v>
      </c>
      <c r="E543" s="1" t="n">
        <v>46221</v>
      </c>
      <c r="F543" t="inlineStr">
        <is>
          <t>UPPSALA LÄN</t>
        </is>
      </c>
      <c r="G543" t="inlineStr">
        <is>
          <t>HEBY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15424-2025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46221</v>
      </c>
      <c r="F544" t="inlineStr">
        <is>
          <t>UPPSALA LÄN</t>
        </is>
      </c>
      <c r="G544" t="inlineStr">
        <is>
          <t>HEBY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46221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14437-2024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46221</v>
      </c>
      <c r="F546" t="inlineStr">
        <is>
          <t>UPPSALA LÄN</t>
        </is>
      </c>
      <c r="G546" t="inlineStr">
        <is>
          <t>HEBY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22455-2025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46221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8699-2024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46221</v>
      </c>
      <c r="F548" t="inlineStr">
        <is>
          <t>UPPSALA LÄN</t>
        </is>
      </c>
      <c r="G548" t="inlineStr">
        <is>
          <t>HEBY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13601-2024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45390</v>
      </c>
      <c r="E549" s="1" t="n">
        <v>46221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44644</v>
      </c>
      <c r="E550" s="1" t="n">
        <v>46221</v>
      </c>
      <c r="F550" t="inlineStr">
        <is>
          <t>UPPSALA LÄN</t>
        </is>
      </c>
      <c r="G550" t="inlineStr">
        <is>
          <t>HEBY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46221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46221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41556-2023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46221</v>
      </c>
      <c r="F553" t="inlineStr">
        <is>
          <t>UPPSALA LÄN</t>
        </is>
      </c>
      <c r="G553" t="inlineStr">
        <is>
          <t>HEBY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44946</v>
      </c>
      <c r="E554" s="1" t="n">
        <v>46221</v>
      </c>
      <c r="F554" t="inlineStr">
        <is>
          <t>UPPSALA LÄN</t>
        </is>
      </c>
      <c r="G554" t="inlineStr">
        <is>
          <t>HEBY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4740-2024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46221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46221</v>
      </c>
      <c r="F556" t="inlineStr">
        <is>
          <t>UPPSALA LÄN</t>
        </is>
      </c>
      <c r="G556" t="inlineStr">
        <is>
          <t>HEBY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32867-2023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46221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48948-2023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46221</v>
      </c>
      <c r="F558" t="inlineStr">
        <is>
          <t>UPPSALA LÄN</t>
        </is>
      </c>
      <c r="G558" t="inlineStr">
        <is>
          <t>HEBY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46221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24381-2025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45797</v>
      </c>
      <c r="E560" s="1" t="n">
        <v>46221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38831-2024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46221</v>
      </c>
      <c r="F561" t="inlineStr">
        <is>
          <t>UPPSALA LÄN</t>
        </is>
      </c>
      <c r="G561" t="inlineStr">
        <is>
          <t>HEBY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46221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45804</v>
      </c>
      <c r="E563" s="1" t="n">
        <v>46221</v>
      </c>
      <c r="F563" t="inlineStr">
        <is>
          <t>UPPSALA LÄN</t>
        </is>
      </c>
      <c r="G563" t="inlineStr">
        <is>
          <t>HEBY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25677-2025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45803</v>
      </c>
      <c r="E564" s="1" t="n">
        <v>46221</v>
      </c>
      <c r="F564" t="inlineStr">
        <is>
          <t>UPPSALA LÄN</t>
        </is>
      </c>
      <c r="G564" t="inlineStr">
        <is>
          <t>HEBY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7497-2025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46221</v>
      </c>
      <c r="F565" t="inlineStr">
        <is>
          <t>UPPSALA LÄN</t>
        </is>
      </c>
      <c r="G565" t="inlineStr">
        <is>
          <t>HEBY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46221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46221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46221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46221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46221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  <c r="X570">
        <f>HYPERLINK("https://klasma.github.io/Logging_0331/knärot/S 1330-2022 karta knärot.png", "S 1330-2022")</f>
        <v/>
      </c>
      <c r="Y570">
        <f>HYPERLINK("https://klasma.github.io/Logging_0331/klagomål/S 1330-2022 FSC-klagomål.docx", "S 1330-2022")</f>
        <v/>
      </c>
      <c r="Z570">
        <f>HYPERLINK("https://klasma.github.io/Logging_0331/klagomålsmail/S 1330-2022 FSC-klagomål mail.docx", "S 1330-2022")</f>
        <v/>
      </c>
      <c r="AA570">
        <f>HYPERLINK("https://klasma.github.io/Logging_0331/tillsyn/S 1330-2022 tillsynsbegäran.docx", "S 1330-2022")</f>
        <v/>
      </c>
      <c r="AB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46221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46221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46221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46221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46221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46221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46221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46221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46221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46221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46221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46221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46221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2026-07-18T01:22:35Z</dcterms:created>
  <dcterms:modified xmlns:dcterms="http://purl.org/dc/terms/" xmlns:xsi="http://www.w3.org/2001/XMLSchema-instance" xsi:type="dcterms:W3CDTF">2026-07-18T01:22:35Z</dcterms:modified>
</cp:coreProperties>
</file>
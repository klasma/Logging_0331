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46227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46227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46227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46227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46227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46227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46227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46227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46227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46227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46227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46227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46227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46227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46227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46227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46227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46227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46227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46227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46227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46227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46227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46227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9354-2026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46070</v>
      </c>
      <c r="E30" s="1" t="n">
        <v>46227</v>
      </c>
      <c r="F30" t="inlineStr">
        <is>
          <t>UPPSALA LÄN</t>
        </is>
      </c>
      <c r="G30" t="inlineStr">
        <is>
          <t>HEBY</t>
        </is>
      </c>
      <c r="I30" t="n">
        <v>9.6</v>
      </c>
      <c r="J30" t="n">
        <v>2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Ask
Vårstarr
Blåsippa
Gullviva</t>
        </is>
      </c>
      <c r="W30">
        <f>HYPERLINK("https://klasma.github.io/Logging_0331/artfynd/A 9354-2026 artfynd.xlsx", "A 9354-2026")</f>
        <v/>
      </c>
      <c r="X30">
        <f>HYPERLINK("https://klasma.github.io/Logging_0331/kartor/A 9354-2026 karta.png", "A 9354-2026")</f>
        <v/>
      </c>
      <c r="Y30">
        <f>HYPERLINK("https://klasma.github.io/Logging_0331/kartor_geotiff/A 9354-2026 georefererad karta.tif", "A 9354-2026")</f>
        <v/>
      </c>
      <c r="AA30">
        <f>HYPERLINK("https://klasma.github.io/Logging_0331/klagomål/A 9354-2026 FSC-klagomål.docx", "A 9354-2026")</f>
        <v/>
      </c>
      <c r="AB30">
        <f>HYPERLINK("https://klasma.github.io/Logging_0331/klagomålsmail/A 9354-2026 FSC-klagomål mail.docx", "A 9354-2026")</f>
        <v/>
      </c>
      <c r="AC30">
        <f>HYPERLINK("https://klasma.github.io/Logging_0331/tillsyn/A 9354-2026 tillsynsbegäran.docx", "A 9354-2026")</f>
        <v/>
      </c>
      <c r="AD30">
        <f>HYPERLINK("https://klasma.github.io/Logging_0331/tillsynsmail/A 9354-2026 tillsynsbegäran mail.docx", "A 9354-2026")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46227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46227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46227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46227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46227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46227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t="n">
        <v>22</v>
      </c>
      <c r="V37" s="2" t="inlineStr">
        <is>
          <t>Knärot
Gropticka
Spillkråka</t>
        </is>
      </c>
      <c r="W37">
        <f>HYPERLINK("https://klasma.github.io/Logging_0331/artfynd/A 54350-2025 artfynd.xlsx", "A 54350-2025")</f>
        <v/>
      </c>
      <c r="X37">
        <f>HYPERLINK("https://klasma.github.io/Logging_0331/kartor/A 54350-2025 karta.png", "A 54350-2025")</f>
        <v/>
      </c>
      <c r="Y37">
        <f>HYPERLINK("https://klasma.github.io/Logging_0331/kartor_geotiff/A 54350-2025 georefererad karta.tif", "A 54350-2025")</f>
        <v/>
      </c>
      <c r="Z37">
        <f>HYPERLINK("https://klasma.github.io/Logging_0331/knärot/A 54350-2025 karta knärot.png", "A 54350-2025")</f>
        <v/>
      </c>
      <c r="AA37">
        <f>HYPERLINK("https://klasma.github.io/Logging_0331/klagomål/A 54350-2025 FSC-klagomål.docx", "A 54350-2025")</f>
        <v/>
      </c>
      <c r="AB37">
        <f>HYPERLINK("https://klasma.github.io/Logging_0331/klagomålsmail/A 54350-2025 FSC-klagomål mail.docx", "A 54350-2025")</f>
        <v/>
      </c>
      <c r="AC37">
        <f>HYPERLINK("https://klasma.github.io/Logging_0331/tillsyn/A 54350-2025 tillsynsbegäran.docx", "A 54350-2025")</f>
        <v/>
      </c>
      <c r="AD37">
        <f>HYPERLINK("https://klasma.github.io/Logging_0331/tillsynsmail/A 54350-2025 tillsynsbegäran mail.docx", "A 54350-2025")</f>
        <v/>
      </c>
      <c r="AE37">
        <f>HYPERLINK("https://klasma.github.io/Logging_0331/fåglar/A 54350-2025 prioriterade fågelarter.docx", "A 54350-2025")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46227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46227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46227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46227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46227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17972-2024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46227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9.699999999999999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2</v>
      </c>
      <c r="V43" s="2" t="inlineStr">
        <is>
          <t>Spädstarr
Repestarr</t>
        </is>
      </c>
      <c r="W43">
        <f>HYPERLINK("https://klasma.github.io/Logging_0331/artfynd/A 17972-2024 artfynd.xlsx", "A 17972-2024")</f>
        <v/>
      </c>
      <c r="X43">
        <f>HYPERLINK("https://klasma.github.io/Logging_0331/kartor/A 17972-2024 karta.png", "A 17972-2024")</f>
        <v/>
      </c>
      <c r="Y43">
        <f>HYPERLINK("https://klasma.github.io/Logging_0331/kartor_geotiff/A 17972-2024 georefererad karta.tif", "A 17972-2024")</f>
        <v/>
      </c>
      <c r="AA43">
        <f>HYPERLINK("https://klasma.github.io/Logging_0331/klagomål/A 17972-2024 FSC-klagomål.docx", "A 17972-2024")</f>
        <v/>
      </c>
      <c r="AB43">
        <f>HYPERLINK("https://klasma.github.io/Logging_0331/klagomålsmail/A 17972-2024 FSC-klagomål mail.docx", "A 17972-2024")</f>
        <v/>
      </c>
      <c r="AC43">
        <f>HYPERLINK("https://klasma.github.io/Logging_0331/tillsyn/A 17972-2024 tillsynsbegäran.docx", "A 17972-2024")</f>
        <v/>
      </c>
      <c r="AD43">
        <f>HYPERLINK("https://klasma.github.io/Logging_0331/tillsynsmail/A 17972-2024 tillsynsbegäran mail.docx", "A 17972-2024")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46227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46227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46227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46227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46227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46227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46227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46227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46227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46227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46227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46227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46227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46227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46227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17697-2024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46227</v>
      </c>
      <c r="F59" t="inlineStr">
        <is>
          <t>UPPSALA LÄN</t>
        </is>
      </c>
      <c r="G59" t="inlineStr">
        <is>
          <t>HEBY</t>
        </is>
      </c>
      <c r="I59" t="n">
        <v>0.6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Mindre bastardsvärmare</t>
        </is>
      </c>
      <c r="W59">
        <f>HYPERLINK("https://klasma.github.io/Logging_0331/artfynd/A 17697-2024 artfynd.xlsx", "A 17697-2024")</f>
        <v/>
      </c>
      <c r="X59">
        <f>HYPERLINK("https://klasma.github.io/Logging_0331/kartor/A 17697-2024 karta.png", "A 17697-2024")</f>
        <v/>
      </c>
      <c r="Y59">
        <f>HYPERLINK("https://klasma.github.io/Logging_0331/kartor_geotiff/A 17697-2024 georefererad karta.tif", "A 17697-2024")</f>
        <v/>
      </c>
      <c r="AA59">
        <f>HYPERLINK("https://klasma.github.io/Logging_0331/klagomål/A 17697-2024 FSC-klagomål.docx", "A 17697-2024")</f>
        <v/>
      </c>
      <c r="AB59">
        <f>HYPERLINK("https://klasma.github.io/Logging_0331/klagomålsmail/A 17697-2024 FSC-klagomål mail.docx", "A 17697-2024")</f>
        <v/>
      </c>
      <c r="AC59">
        <f>HYPERLINK("https://klasma.github.io/Logging_0331/tillsyn/A 17697-2024 tillsynsbegäran.docx", "A 17697-2024")</f>
        <v/>
      </c>
      <c r="AD59">
        <f>HYPERLINK("https://klasma.github.io/Logging_0331/tillsynsmail/A 17697-2024 tillsynsbegäran mail.docx", "A 17697-2024")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46227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HYPERLINK("https://klasma.github.io/Logging_0331/artfynd/A 17006-2024 artfynd.xlsx", "A 17006-2024")</f>
        <v/>
      </c>
      <c r="X60">
        <f>HYPERLINK("https://klasma.github.io/Logging_0331/kartor/A 17006-2024 karta.png", "A 17006-2024")</f>
        <v/>
      </c>
      <c r="Y60">
        <f>HYPERLINK("https://klasma.github.io/Logging_0331/kartor_geotiff/A 17006-2024 georefererad karta.tif", "A 17006-2024")</f>
        <v/>
      </c>
      <c r="AA60">
        <f>HYPERLINK("https://klasma.github.io/Logging_0331/klagomål/A 17006-2024 FSC-klagomål.docx", "A 17006-2024")</f>
        <v/>
      </c>
      <c r="AB60">
        <f>HYPERLINK("https://klasma.github.io/Logging_0331/klagomålsmail/A 17006-2024 FSC-klagomål mail.docx", "A 17006-2024")</f>
        <v/>
      </c>
      <c r="AC60">
        <f>HYPERLINK("https://klasma.github.io/Logging_0331/tillsyn/A 17006-2024 tillsynsbegäran.docx", "A 17006-2024")</f>
        <v/>
      </c>
      <c r="AD60">
        <f>HYPERLINK("https://klasma.github.io/Logging_0331/tillsynsmail/A 17006-2024 tillsynsbegäran mail.docx", "A 17006-2024")</f>
        <v/>
      </c>
      <c r="AE60">
        <f>HYPERLINK("https://klasma.github.io/Logging_0331/fåglar/A 17006-2024 prioriterade fågelarter.docx", "A 17006-2024")</f>
        <v/>
      </c>
    </row>
    <row r="61" ht="15" customHeight="1">
      <c r="A61" t="inlineStr">
        <is>
          <t>A 55763-2025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45972</v>
      </c>
      <c r="E61" s="1" t="n">
        <v>46227</v>
      </c>
      <c r="F61" t="inlineStr">
        <is>
          <t>UPPSALA LÄN</t>
        </is>
      </c>
      <c r="G61" t="inlineStr">
        <is>
          <t>HEBY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Kandelabersvamp</t>
        </is>
      </c>
      <c r="W61">
        <f>HYPERLINK("https://klasma.github.io/Logging_0331/artfynd/A 55763-2025 artfynd.xlsx", "A 55763-2025")</f>
        <v/>
      </c>
      <c r="X61">
        <f>HYPERLINK("https://klasma.github.io/Logging_0331/kartor/A 55763-2025 karta.png", "A 55763-2025")</f>
        <v/>
      </c>
      <c r="Y61">
        <f>HYPERLINK("https://klasma.github.io/Logging_0331/kartor_geotiff/A 55763-2025 georefererad karta.tif", "A 55763-2025")</f>
        <v/>
      </c>
      <c r="AA61">
        <f>HYPERLINK("https://klasma.github.io/Logging_0331/klagomål/A 55763-2025 FSC-klagomål.docx", "A 55763-2025")</f>
        <v/>
      </c>
      <c r="AB61">
        <f>HYPERLINK("https://klasma.github.io/Logging_0331/klagomålsmail/A 55763-2025 FSC-klagomål mail.docx", "A 55763-2025")</f>
        <v/>
      </c>
      <c r="AC61">
        <f>HYPERLINK("https://klasma.github.io/Logging_0331/tillsyn/A 55763-2025 tillsynsbegäran.docx", "A 55763-2025")</f>
        <v/>
      </c>
      <c r="AD61">
        <f>HYPERLINK("https://klasma.github.io/Logging_0331/tillsynsmail/A 55763-2025 tillsynsbegäran mail.docx", "A 55763-2025")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46227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46227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9358-2026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46227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9358-2026 artfynd.xlsx", "A 9358-2026")</f>
        <v/>
      </c>
      <c r="X64">
        <f>HYPERLINK("https://klasma.github.io/Logging_0331/kartor/A 9358-2026 karta.png", "A 9358-2026")</f>
        <v/>
      </c>
      <c r="Y64">
        <f>HYPERLINK("https://klasma.github.io/Logging_0331/kartor_geotiff/A 9358-2026 georefererad karta.tif", "A 9358-2026")</f>
        <v/>
      </c>
      <c r="AA64">
        <f>HYPERLINK("https://klasma.github.io/Logging_0331/klagomål/A 9358-2026 FSC-klagomål.docx", "A 9358-2026")</f>
        <v/>
      </c>
      <c r="AB64">
        <f>HYPERLINK("https://klasma.github.io/Logging_0331/klagomålsmail/A 9358-2026 FSC-klagomål mail.docx", "A 9358-2026")</f>
        <v/>
      </c>
      <c r="AC64">
        <f>HYPERLINK("https://klasma.github.io/Logging_0331/tillsyn/A 9358-2026 tillsynsbegäran.docx", "A 9358-2026")</f>
        <v/>
      </c>
      <c r="AD64">
        <f>HYPERLINK("https://klasma.github.io/Logging_0331/tillsynsmail/A 9358-2026 tillsynsbegäran mail.docx", "A 9358-2026")</f>
        <v/>
      </c>
    </row>
    <row r="65" ht="15" customHeight="1">
      <c r="A65" t="inlineStr">
        <is>
          <t>A 9455-2026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46227</v>
      </c>
      <c r="F65" t="inlineStr">
        <is>
          <t>UPPSALA LÄN</t>
        </is>
      </c>
      <c r="G65" t="inlineStr">
        <is>
          <t>HEBY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Kungsspindling</t>
        </is>
      </c>
      <c r="W65">
        <f>HYPERLINK("https://klasma.github.io/Logging_0331/artfynd/A 9455-2026 artfynd.xlsx", "A 9455-2026")</f>
        <v/>
      </c>
      <c r="X65">
        <f>HYPERLINK("https://klasma.github.io/Logging_0331/kartor/A 9455-2026 karta.png", "A 9455-2026")</f>
        <v/>
      </c>
      <c r="Y65">
        <f>HYPERLINK("https://klasma.github.io/Logging_0331/kartor_geotiff/A 9455-2026 georefererad karta.tif", "A 9455-2026")</f>
        <v/>
      </c>
      <c r="AA65">
        <f>HYPERLINK("https://klasma.github.io/Logging_0331/klagomål/A 9455-2026 FSC-klagomål.docx", "A 9455-2026")</f>
        <v/>
      </c>
      <c r="AB65">
        <f>HYPERLINK("https://klasma.github.io/Logging_0331/klagomålsmail/A 9455-2026 FSC-klagomål mail.docx", "A 9455-2026")</f>
        <v/>
      </c>
      <c r="AC65">
        <f>HYPERLINK("https://klasma.github.io/Logging_0331/tillsyn/A 9455-2026 tillsynsbegäran.docx", "A 9455-2026")</f>
        <v/>
      </c>
      <c r="AD65">
        <f>HYPERLINK("https://klasma.github.io/Logging_0331/tillsynsmail/A 9455-2026 tillsynsbegäran mail.docx", "A 9455-2026")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46227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46227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46227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t="n">
        <v>0</v>
      </c>
      <c r="V68" s="2" t="inlineStr">
        <is>
          <t>Motaggsvamp</t>
        </is>
      </c>
      <c r="W68">
        <f>HYPERLINK("https://klasma.github.io/Logging_0331/artfynd/A 8624-2024 artfynd.xlsx", "A 8624-2024")</f>
        <v/>
      </c>
      <c r="X68">
        <f>HYPERLINK("https://klasma.github.io/Logging_0331/kartor/A 8624-2024 karta.png", "A 8624-2024")</f>
        <v/>
      </c>
      <c r="Y68">
        <f>HYPERLINK("https://klasma.github.io/Logging_0331/kartor_geotiff/A 8624-2024 georefererad karta.tif", "A 8624-2024")</f>
        <v/>
      </c>
      <c r="AA68">
        <f>HYPERLINK("https://klasma.github.io/Logging_0331/klagomål/A 8624-2024 FSC-klagomål.docx", "A 8624-2024")</f>
        <v/>
      </c>
      <c r="AB68">
        <f>HYPERLINK("https://klasma.github.io/Logging_0331/klagomålsmail/A 8624-2024 FSC-klagomål mail.docx", "A 8624-2024")</f>
        <v/>
      </c>
      <c r="AC68">
        <f>HYPERLINK("https://klasma.github.io/Logging_0331/tillsyn/A 8624-2024 tillsynsbegäran.docx", "A 8624-2024")</f>
        <v/>
      </c>
      <c r="AD68">
        <f>HYPERLINK("https://klasma.github.io/Logging_0331/tillsynsmail/A 8624-2024 tillsynsbegäran mail.docx", "A 8624-2024")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46227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31569-2023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46227</v>
      </c>
      <c r="F70" t="inlineStr">
        <is>
          <t>UPPSALA LÄN</t>
        </is>
      </c>
      <c r="G70" t="inlineStr">
        <is>
          <t>HEBY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HYPERLINK("https://klasma.github.io/Logging_0331/artfynd/A 31569-2023 artfynd.xlsx", "A 31569-2023")</f>
        <v/>
      </c>
      <c r="X70">
        <f>HYPERLINK("https://klasma.github.io/Logging_0331/kartor/A 31569-2023 karta.png", "A 31569-2023")</f>
        <v/>
      </c>
      <c r="Y70">
        <f>HYPERLINK("https://klasma.github.io/Logging_0331/kartor_geotiff/A 31569-2023 georefererad karta.tif", "A 31569-2023")</f>
        <v/>
      </c>
      <c r="Z70">
        <f>HYPERLINK("https://klasma.github.io/Logging_0331/knärot/A 31569-2023 karta knärot.png", "A 31569-2023")</f>
        <v/>
      </c>
      <c r="AA70">
        <f>HYPERLINK("https://klasma.github.io/Logging_0331/klagomål/A 31569-2023 FSC-klagomål.docx", "A 31569-2023")</f>
        <v/>
      </c>
      <c r="AB70">
        <f>HYPERLINK("https://klasma.github.io/Logging_0331/klagomålsmail/A 31569-2023 FSC-klagomål mail.docx", "A 31569-2023")</f>
        <v/>
      </c>
      <c r="AC70">
        <f>HYPERLINK("https://klasma.github.io/Logging_0331/tillsyn/A 31569-2023 tillsynsbegäran.docx", "A 31569-2023")</f>
        <v/>
      </c>
      <c r="AD70">
        <f>HYPERLINK("https://klasma.github.io/Logging_0331/tillsynsmail/A 31569-2023 tillsynsbegäran mail.docx", "A 31569-2023")</f>
        <v/>
      </c>
    </row>
    <row r="71" ht="15" customHeight="1">
      <c r="A71" t="inlineStr">
        <is>
          <t>A 11011-2025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45723</v>
      </c>
      <c r="E71" s="1" t="n">
        <v>46227</v>
      </c>
      <c r="F71" t="inlineStr">
        <is>
          <t>UPPSALA LÄN</t>
        </is>
      </c>
      <c r="G71" t="inlineStr">
        <is>
          <t>HEBY</t>
        </is>
      </c>
      <c r="H71" t="inlineStr">
        <is>
          <t>Kyrkan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Motaggsvamp</t>
        </is>
      </c>
      <c r="W71">
        <f>HYPERLINK("https://klasma.github.io/Logging_0331/artfynd/A 11011-2025 artfynd.xlsx", "A 11011-2025")</f>
        <v/>
      </c>
      <c r="X71">
        <f>HYPERLINK("https://klasma.github.io/Logging_0331/kartor/A 11011-2025 karta.png", "A 11011-2025")</f>
        <v/>
      </c>
      <c r="Y71">
        <f>HYPERLINK("https://klasma.github.io/Logging_0331/kartor_geotiff/A 11011-2025 georefererad karta.tif", "A 11011-2025")</f>
        <v/>
      </c>
      <c r="AA71">
        <f>HYPERLINK("https://klasma.github.io/Logging_0331/klagomål/A 11011-2025 FSC-klagomål.docx", "A 11011-2025")</f>
        <v/>
      </c>
      <c r="AB71">
        <f>HYPERLINK("https://klasma.github.io/Logging_0331/klagomålsmail/A 11011-2025 FSC-klagomål mail.docx", "A 11011-2025")</f>
        <v/>
      </c>
      <c r="AC71">
        <f>HYPERLINK("https://klasma.github.io/Logging_0331/tillsyn/A 11011-2025 tillsynsbegäran.docx", "A 11011-2025")</f>
        <v/>
      </c>
      <c r="AD71">
        <f>HYPERLINK("https://klasma.github.io/Logging_0331/tillsynsmail/A 11011-2025 tillsynsbegäran mail.docx", "A 11011-2025")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46227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46227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46227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Berggräsfjäril</t>
        </is>
      </c>
      <c r="W74">
        <f>HYPERLINK("https://klasma.github.io/Logging_0331/artfynd/A 3374-2024 artfynd.xlsx", "A 3374-2024")</f>
        <v/>
      </c>
      <c r="X74">
        <f>HYPERLINK("https://klasma.github.io/Logging_0331/kartor/A 3374-2024 karta.png", "A 3374-2024")</f>
        <v/>
      </c>
      <c r="Y74">
        <f>HYPERLINK("https://klasma.github.io/Logging_0331/kartor_geotiff/A 3374-2024 georefererad karta.tif", "A 3374-2024")</f>
        <v/>
      </c>
      <c r="AA74">
        <f>HYPERLINK("https://klasma.github.io/Logging_0331/klagomål/A 3374-2024 FSC-klagomål.docx", "A 3374-2024")</f>
        <v/>
      </c>
      <c r="AB74">
        <f>HYPERLINK("https://klasma.github.io/Logging_0331/klagomålsmail/A 3374-2024 FSC-klagomål mail.docx", "A 3374-2024")</f>
        <v/>
      </c>
      <c r="AC74">
        <f>HYPERLINK("https://klasma.github.io/Logging_0331/tillsyn/A 3374-2024 tillsynsbegäran.docx", "A 3374-2024")</f>
        <v/>
      </c>
      <c r="AD74">
        <f>HYPERLINK("https://klasma.github.io/Logging_0331/tillsynsmail/A 3374-2024 tillsynsbegäran mail.docx", "A 3374-2024")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46227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46227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21043-2026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46227</v>
      </c>
      <c r="F77" t="inlineStr">
        <is>
          <t>UPPSALA LÄN</t>
        </is>
      </c>
      <c r="G77" t="inlineStr">
        <is>
          <t>HEBY</t>
        </is>
      </c>
      <c r="I77" t="n">
        <v>1.3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Backklöver</t>
        </is>
      </c>
      <c r="W77">
        <f>HYPERLINK("https://klasma.github.io/Logging_0331/artfynd/A 21043-2026 artfynd.xlsx", "A 21043-2026")</f>
        <v/>
      </c>
      <c r="X77">
        <f>HYPERLINK("https://klasma.github.io/Logging_0331/kartor/A 21043-2026 karta.png", "A 21043-2026")</f>
        <v/>
      </c>
      <c r="Y77">
        <f>HYPERLINK("https://klasma.github.io/Logging_0331/kartor_geotiff/A 21043-2026 georefererad karta.tif", "A 21043-2026")</f>
        <v/>
      </c>
      <c r="AA77">
        <f>HYPERLINK("https://klasma.github.io/Logging_0331/klagomål/A 21043-2026 FSC-klagomål.docx", "A 21043-2026")</f>
        <v/>
      </c>
      <c r="AB77">
        <f>HYPERLINK("https://klasma.github.io/Logging_0331/klagomålsmail/A 21043-2026 FSC-klagomål mail.docx", "A 21043-2026")</f>
        <v/>
      </c>
      <c r="AC77">
        <f>HYPERLINK("https://klasma.github.io/Logging_0331/tillsyn/A 21043-2026 tillsynsbegäran.docx", "A 21043-2026")</f>
        <v/>
      </c>
      <c r="AD77">
        <f>HYPERLINK("https://klasma.github.io/Logging_0331/tillsynsmail/A 21043-2026 tillsynsbegäran mail.docx", "A 21043-2026")</f>
        <v/>
      </c>
    </row>
    <row r="78" ht="15" customHeight="1">
      <c r="A78" t="inlineStr">
        <is>
          <t>A 19751-2023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46227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HYPERLINK("https://klasma.github.io/Logging_0331/artfynd/A 19751-2023 artfynd.xlsx", "A 19751-2023")</f>
        <v/>
      </c>
      <c r="X78">
        <f>HYPERLINK("https://klasma.github.io/Logging_0331/kartor/A 19751-2023 karta.png", "A 19751-2023")</f>
        <v/>
      </c>
      <c r="Y78">
        <f>HYPERLINK("https://klasma.github.io/Logging_0331/kartor_geotiff/A 19751-2023 georefererad karta.tif", "A 19751-2023")</f>
        <v/>
      </c>
      <c r="Z78">
        <f>HYPERLINK("https://klasma.github.io/Logging_0331/knärot/A 19751-2023 karta knärot.png", "A 19751-2023")</f>
        <v/>
      </c>
      <c r="AA78">
        <f>HYPERLINK("https://klasma.github.io/Logging_0331/klagomål/A 19751-2023 FSC-klagomål.docx", "A 19751-2023")</f>
        <v/>
      </c>
      <c r="AB78">
        <f>HYPERLINK("https://klasma.github.io/Logging_0331/klagomålsmail/A 19751-2023 FSC-klagomål mail.docx", "A 19751-2023")</f>
        <v/>
      </c>
      <c r="AC78">
        <f>HYPERLINK("https://klasma.github.io/Logging_0331/tillsyn/A 19751-2023 tillsynsbegäran.docx", "A 19751-2023")</f>
        <v/>
      </c>
      <c r="AD78">
        <f>HYPERLINK("https://klasma.github.io/Logging_0331/tillsynsmail/A 19751-2023 tillsynsbegäran mail.docx", "A 19751-2023")</f>
        <v/>
      </c>
    </row>
    <row r="79" ht="15" customHeight="1">
      <c r="A79" t="inlineStr">
        <is>
          <t>A 54368-2024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46227</v>
      </c>
      <c r="F79" t="inlineStr">
        <is>
          <t>UPPSALA LÄN</t>
        </is>
      </c>
      <c r="G79" t="inlineStr">
        <is>
          <t>HEBY</t>
        </is>
      </c>
      <c r="H79" t="inlineStr">
        <is>
          <t>Allmännings- och besparingsskogar</t>
        </is>
      </c>
      <c r="I79" t="n">
        <v>13.9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Talltita</t>
        </is>
      </c>
      <c r="W79">
        <f>HYPERLINK("https://klasma.github.io/Logging_0331/artfynd/A 54368-2024 artfynd.xlsx", "A 54368-2024")</f>
        <v/>
      </c>
      <c r="X79">
        <f>HYPERLINK("https://klasma.github.io/Logging_0331/kartor/A 54368-2024 karta.png", "A 54368-2024")</f>
        <v/>
      </c>
      <c r="Y79">
        <f>HYPERLINK("https://klasma.github.io/Logging_0331/kartor_geotiff/A 54368-2024 georefererad karta.tif", "A 54368-2024")</f>
        <v/>
      </c>
      <c r="AA79">
        <f>HYPERLINK("https://klasma.github.io/Logging_0331/klagomål/A 54368-2024 FSC-klagomål.docx", "A 54368-2024")</f>
        <v/>
      </c>
      <c r="AB79">
        <f>HYPERLINK("https://klasma.github.io/Logging_0331/klagomålsmail/A 54368-2024 FSC-klagomål mail.docx", "A 54368-2024")</f>
        <v/>
      </c>
      <c r="AC79">
        <f>HYPERLINK("https://klasma.github.io/Logging_0331/tillsyn/A 54368-2024 tillsynsbegäran.docx", "A 54368-2024")</f>
        <v/>
      </c>
      <c r="AD79">
        <f>HYPERLINK("https://klasma.github.io/Logging_0331/tillsynsmail/A 54368-2024 tillsynsbegäran mail.docx", "A 54368-2024")</f>
        <v/>
      </c>
      <c r="AE79">
        <f>HYPERLINK("https://klasma.github.io/Logging_0331/fåglar/A 54368-2024 prioriterade fågelarter.docx", "A 54368-2024")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46227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19555-2025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45770</v>
      </c>
      <c r="E81" s="1" t="n">
        <v>46227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HYPERLINK("https://klasma.github.io/Logging_0331/artfynd/A 19555-2025 artfynd.xlsx", "A 19555-2025")</f>
        <v/>
      </c>
      <c r="X81">
        <f>HYPERLINK("https://klasma.github.io/Logging_0331/kartor/A 19555-2025 karta.png", "A 19555-2025")</f>
        <v/>
      </c>
      <c r="Y81">
        <f>HYPERLINK("https://klasma.github.io/Logging_0331/kartor_geotiff/A 19555-2025 georefererad karta.tif", "A 19555-2025")</f>
        <v/>
      </c>
      <c r="AA81">
        <f>HYPERLINK("https://klasma.github.io/Logging_0331/klagomål/A 19555-2025 FSC-klagomål.docx", "A 19555-2025")</f>
        <v/>
      </c>
      <c r="AB81">
        <f>HYPERLINK("https://klasma.github.io/Logging_0331/klagomålsmail/A 19555-2025 FSC-klagomål mail.docx", "A 19555-2025")</f>
        <v/>
      </c>
      <c r="AC81">
        <f>HYPERLINK("https://klasma.github.io/Logging_0331/tillsyn/A 19555-2025 tillsynsbegäran.docx", "A 19555-2025")</f>
        <v/>
      </c>
      <c r="AD81">
        <f>HYPERLINK("https://klasma.github.io/Logging_0331/tillsynsmail/A 19555-2025 tillsynsbegäran mail.docx", "A 19555-2025")</f>
        <v/>
      </c>
      <c r="AE81">
        <f>HYPERLINK("https://klasma.github.io/Logging_0331/fåglar/A 19555-2025 prioriterade fågelarter.docx", "A 19555-2025")</f>
        <v/>
      </c>
    </row>
    <row r="82" ht="15" customHeight="1">
      <c r="A82" t="inlineStr">
        <is>
          <t>A 61598-2021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46227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Trana</t>
        </is>
      </c>
      <c r="W82">
        <f>HYPERLINK("https://klasma.github.io/Logging_0331/artfynd/A 61598-2021 artfynd.xlsx", "A 61598-2021")</f>
        <v/>
      </c>
      <c r="X82">
        <f>HYPERLINK("https://klasma.github.io/Logging_0331/kartor/A 61598-2021 karta.png", "A 61598-2021")</f>
        <v/>
      </c>
      <c r="Y82">
        <f>HYPERLINK("https://klasma.github.io/Logging_0331/kartor_geotiff/A 61598-2021 georefererad karta.tif", "A 61598-2021")</f>
        <v/>
      </c>
      <c r="AA82">
        <f>HYPERLINK("https://klasma.github.io/Logging_0331/klagomål/A 61598-2021 FSC-klagomål.docx", "A 61598-2021")</f>
        <v/>
      </c>
      <c r="AB82">
        <f>HYPERLINK("https://klasma.github.io/Logging_0331/klagomålsmail/A 61598-2021 FSC-klagomål mail.docx", "A 61598-2021")</f>
        <v/>
      </c>
      <c r="AC82">
        <f>HYPERLINK("https://klasma.github.io/Logging_0331/tillsyn/A 61598-2021 tillsynsbegäran.docx", "A 61598-2021")</f>
        <v/>
      </c>
      <c r="AD82">
        <f>HYPERLINK("https://klasma.github.io/Logging_0331/tillsynsmail/A 61598-2021 tillsynsbegäran mail.docx", "A 61598-2021")</f>
        <v/>
      </c>
      <c r="AE82">
        <f>HYPERLINK("https://klasma.github.io/Logging_0331/fåglar/A 61598-2021 prioriterade fågelarter.docx", "A 61598-2021")</f>
        <v/>
      </c>
    </row>
    <row r="83" ht="15" customHeight="1">
      <c r="A83" t="inlineStr">
        <is>
          <t>A 55663-2024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46227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4.5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HYPERLINK("https://klasma.github.io/Logging_0331/artfynd/A 55663-2024 artfynd.xlsx", "A 55663-2024")</f>
        <v/>
      </c>
      <c r="X83">
        <f>HYPERLINK("https://klasma.github.io/Logging_0331/kartor/A 55663-2024 karta.png", "A 55663-2024")</f>
        <v/>
      </c>
      <c r="Y83">
        <f>HYPERLINK("https://klasma.github.io/Logging_0331/kartor_geotiff/A 55663-2024 georefererad karta.tif", "A 55663-2024")</f>
        <v/>
      </c>
      <c r="AA83">
        <f>HYPERLINK("https://klasma.github.io/Logging_0331/klagomål/A 55663-2024 FSC-klagomål.docx", "A 55663-2024")</f>
        <v/>
      </c>
      <c r="AB83">
        <f>HYPERLINK("https://klasma.github.io/Logging_0331/klagomålsmail/A 55663-2024 FSC-klagomål mail.docx", "A 55663-2024")</f>
        <v/>
      </c>
      <c r="AC83">
        <f>HYPERLINK("https://klasma.github.io/Logging_0331/tillsyn/A 55663-2024 tillsynsbegäran.docx", "A 55663-2024")</f>
        <v/>
      </c>
      <c r="AD83">
        <f>HYPERLINK("https://klasma.github.io/Logging_0331/tillsynsmail/A 55663-2024 tillsynsbegäran mail.docx", "A 55663-2024")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46227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46227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46227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46227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46227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46227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46227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46227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46227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46227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46227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46227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46227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46227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46227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46227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46227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46227</v>
      </c>
      <c r="F101" t="inlineStr">
        <is>
          <t>UPPSALA LÄN</t>
        </is>
      </c>
      <c r="G101" t="inlineStr">
        <is>
          <t>HEBY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44757</v>
      </c>
      <c r="E102" s="1" t="n">
        <v>46227</v>
      </c>
      <c r="F102" t="inlineStr">
        <is>
          <t>UPPSALA LÄN</t>
        </is>
      </c>
      <c r="G102" t="inlineStr">
        <is>
          <t>HEBY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46227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46227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46227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46227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46227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46227</v>
      </c>
      <c r="F108" t="inlineStr">
        <is>
          <t>UPPSALA LÄN</t>
        </is>
      </c>
      <c r="G108" t="inlineStr">
        <is>
          <t>HEBY</t>
        </is>
      </c>
      <c r="H108" t="inlineStr">
        <is>
          <t>Övriga Aktiebolag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46227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46227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46227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46227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46227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46227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46227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46227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46227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46227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46227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46227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46227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46227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46227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46227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46227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46227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46227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44850</v>
      </c>
      <c r="E128" s="1" t="n">
        <v>46227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46227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46227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46227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46227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46227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46227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46227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46227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46227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46227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46227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46227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46227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46227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46227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46227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46227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46227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46227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46227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46227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46227</v>
      </c>
      <c r="F150" t="inlineStr">
        <is>
          <t>UPPSALA LÄN</t>
        </is>
      </c>
      <c r="G150" t="inlineStr">
        <is>
          <t>HEBY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45370</v>
      </c>
      <c r="E151" s="1" t="n">
        <v>46227</v>
      </c>
      <c r="F151" t="inlineStr">
        <is>
          <t>UPPSALA LÄN</t>
        </is>
      </c>
      <c r="G151" t="inlineStr">
        <is>
          <t>HEBY</t>
        </is>
      </c>
      <c r="H151" t="inlineStr">
        <is>
          <t>Övriga Aktiebolag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45331</v>
      </c>
      <c r="E152" s="1" t="n">
        <v>46227</v>
      </c>
      <c r="F152" t="inlineStr">
        <is>
          <t>UPPSALA LÄN</t>
        </is>
      </c>
      <c r="G152" t="inlineStr">
        <is>
          <t>HEBY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45342</v>
      </c>
      <c r="E153" s="1" t="n">
        <v>46227</v>
      </c>
      <c r="F153" t="inlineStr">
        <is>
          <t>UPPSALA LÄN</t>
        </is>
      </c>
      <c r="G153" t="inlineStr">
        <is>
          <t>HEBY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46227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14262-2025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46227</v>
      </c>
      <c r="F155" t="inlineStr">
        <is>
          <t>UPPSALA LÄN</t>
        </is>
      </c>
      <c r="G155" t="inlineStr">
        <is>
          <t>HEBY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46227</v>
      </c>
      <c r="F156" t="inlineStr">
        <is>
          <t>UPPSALA LÄN</t>
        </is>
      </c>
      <c r="G156" t="inlineStr">
        <is>
          <t>HEBY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46227</v>
      </c>
      <c r="F157" t="inlineStr">
        <is>
          <t>UPPSALA LÄN</t>
        </is>
      </c>
      <c r="G157" t="inlineStr">
        <is>
          <t>HEBY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54594-2024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45617</v>
      </c>
      <c r="E158" s="1" t="n">
        <v>46227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46227</v>
      </c>
      <c r="F159" t="inlineStr">
        <is>
          <t>UPPSALA LÄN</t>
        </is>
      </c>
      <c r="G159" t="inlineStr">
        <is>
          <t>HEBY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46227</v>
      </c>
      <c r="F160" t="inlineStr">
        <is>
          <t>UPPSALA LÄN</t>
        </is>
      </c>
      <c r="G160" t="inlineStr">
        <is>
          <t>HEBY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46227</v>
      </c>
      <c r="F161" t="inlineStr">
        <is>
          <t>UPPSALA LÄN</t>
        </is>
      </c>
      <c r="G161" t="inlineStr">
        <is>
          <t>HEBY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46227</v>
      </c>
      <c r="F162" t="inlineStr">
        <is>
          <t>UPPSALA LÄN</t>
        </is>
      </c>
      <c r="G162" t="inlineStr">
        <is>
          <t>HEBY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46227</v>
      </c>
      <c r="F163" t="inlineStr">
        <is>
          <t>UPPSALA LÄN</t>
        </is>
      </c>
      <c r="G163" t="inlineStr">
        <is>
          <t>HEBY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45308</v>
      </c>
      <c r="E164" s="1" t="n">
        <v>46227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46227</v>
      </c>
      <c r="F165" t="inlineStr">
        <is>
          <t>UPPSALA LÄN</t>
        </is>
      </c>
      <c r="G165" t="inlineStr">
        <is>
          <t>HEBY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46227</v>
      </c>
      <c r="F166" t="inlineStr">
        <is>
          <t>UPPSALA LÄN</t>
        </is>
      </c>
      <c r="G166" t="inlineStr">
        <is>
          <t>HEBY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46227</v>
      </c>
      <c r="F167" t="inlineStr">
        <is>
          <t>UPPSALA LÄN</t>
        </is>
      </c>
      <c r="G167" t="inlineStr">
        <is>
          <t>HEBY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44849</v>
      </c>
      <c r="E168" s="1" t="n">
        <v>46227</v>
      </c>
      <c r="F168" t="inlineStr">
        <is>
          <t>UPPSALA LÄN</t>
        </is>
      </c>
      <c r="G168" t="inlineStr">
        <is>
          <t>HEBY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40533-2022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44823</v>
      </c>
      <c r="E169" s="1" t="n">
        <v>46227</v>
      </c>
      <c r="F169" t="inlineStr">
        <is>
          <t>UPPSALA LÄN</t>
        </is>
      </c>
      <c r="G169" t="inlineStr">
        <is>
          <t>HEBY</t>
        </is>
      </c>
      <c r="H169" t="inlineStr">
        <is>
          <t>Övriga Aktiebolag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44404</v>
      </c>
      <c r="E170" s="1" t="n">
        <v>46227</v>
      </c>
      <c r="F170" t="inlineStr">
        <is>
          <t>UPPSALA LÄN</t>
        </is>
      </c>
      <c r="G170" t="inlineStr">
        <is>
          <t>HEBY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45250</v>
      </c>
      <c r="E171" s="1" t="n">
        <v>46227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45786</v>
      </c>
      <c r="E172" s="1" t="n">
        <v>46227</v>
      </c>
      <c r="F172" t="inlineStr">
        <is>
          <t>UPPSALA LÄN</t>
        </is>
      </c>
      <c r="G172" t="inlineStr">
        <is>
          <t>HEBY</t>
        </is>
      </c>
      <c r="H172" t="inlineStr">
        <is>
          <t>Kyrkan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45394</v>
      </c>
      <c r="E173" s="1" t="n">
        <v>46227</v>
      </c>
      <c r="F173" t="inlineStr">
        <is>
          <t>UPPSALA LÄN</t>
        </is>
      </c>
      <c r="G173" t="inlineStr">
        <is>
          <t>HEBY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45786</v>
      </c>
      <c r="E174" s="1" t="n">
        <v>46227</v>
      </c>
      <c r="F174" t="inlineStr">
        <is>
          <t>UPPSALA LÄN</t>
        </is>
      </c>
      <c r="G174" t="inlineStr">
        <is>
          <t>HEBY</t>
        </is>
      </c>
      <c r="H174" t="inlineStr">
        <is>
          <t>Kyrkan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46227</v>
      </c>
      <c r="F175" t="inlineStr">
        <is>
          <t>UPPSALA LÄN</t>
        </is>
      </c>
      <c r="G175" t="inlineStr">
        <is>
          <t>HEBY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44833</v>
      </c>
      <c r="E176" s="1" t="n">
        <v>46227</v>
      </c>
      <c r="F176" t="inlineStr">
        <is>
          <t>UPPSALA LÄN</t>
        </is>
      </c>
      <c r="G176" t="inlineStr">
        <is>
          <t>HEBY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45355</v>
      </c>
      <c r="E177" s="1" t="n">
        <v>46227</v>
      </c>
      <c r="F177" t="inlineStr">
        <is>
          <t>UPPSALA LÄN</t>
        </is>
      </c>
      <c r="G177" t="inlineStr">
        <is>
          <t>HEBY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46227</v>
      </c>
      <c r="F178" t="inlineStr">
        <is>
          <t>UPPSALA LÄN</t>
        </is>
      </c>
      <c r="G178" t="inlineStr">
        <is>
          <t>HEBY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46227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16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46227</v>
      </c>
      <c r="F180" t="inlineStr">
        <is>
          <t>UPPSALA LÄN</t>
        </is>
      </c>
      <c r="G180" t="inlineStr">
        <is>
          <t>HEBY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44644</v>
      </c>
      <c r="E181" s="1" t="n">
        <v>46227</v>
      </c>
      <c r="F181" t="inlineStr">
        <is>
          <t>UPPSALA LÄN</t>
        </is>
      </c>
      <c r="G181" t="inlineStr">
        <is>
          <t>HEBY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46227</v>
      </c>
      <c r="F182" t="inlineStr">
        <is>
          <t>UPPSALA LÄN</t>
        </is>
      </c>
      <c r="G182" t="inlineStr">
        <is>
          <t>HEBY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46227</v>
      </c>
      <c r="F183" t="inlineStr">
        <is>
          <t>UPPSALA LÄN</t>
        </is>
      </c>
      <c r="G183" t="inlineStr">
        <is>
          <t>HEBY</t>
        </is>
      </c>
      <c r="H183" t="inlineStr">
        <is>
          <t>Kyrkan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45786</v>
      </c>
      <c r="E184" s="1" t="n">
        <v>46227</v>
      </c>
      <c r="F184" t="inlineStr">
        <is>
          <t>UPPSALA LÄN</t>
        </is>
      </c>
      <c r="G184" t="inlineStr">
        <is>
          <t>HEBY</t>
        </is>
      </c>
      <c r="H184" t="inlineStr">
        <is>
          <t>Kyrkan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46227</v>
      </c>
      <c r="F185" t="inlineStr">
        <is>
          <t>UPPSALA LÄN</t>
        </is>
      </c>
      <c r="G185" t="inlineStr">
        <is>
          <t>HEBY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46227</v>
      </c>
      <c r="F186" t="inlineStr">
        <is>
          <t>UPPSALA LÄN</t>
        </is>
      </c>
      <c r="G186" t="inlineStr">
        <is>
          <t>HEBY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46227</v>
      </c>
      <c r="F187" t="inlineStr">
        <is>
          <t>UPPSALA LÄN</t>
        </is>
      </c>
      <c r="G187" t="inlineStr">
        <is>
          <t>HEBY</t>
        </is>
      </c>
      <c r="H187" t="inlineStr">
        <is>
          <t>Allmännings- och besparingsskogar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46227</v>
      </c>
      <c r="F188" t="inlineStr">
        <is>
          <t>UPPSALA LÄN</t>
        </is>
      </c>
      <c r="G188" t="inlineStr">
        <is>
          <t>HEBY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46227</v>
      </c>
      <c r="F189" t="inlineStr">
        <is>
          <t>UPPSALA LÄN</t>
        </is>
      </c>
      <c r="G189" t="inlineStr">
        <is>
          <t>HEBY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46227</v>
      </c>
      <c r="F190" t="inlineStr">
        <is>
          <t>UPPSALA LÄN</t>
        </is>
      </c>
      <c r="G190" t="inlineStr">
        <is>
          <t>HEBY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45339</v>
      </c>
      <c r="E191" s="1" t="n">
        <v>46227</v>
      </c>
      <c r="F191" t="inlineStr">
        <is>
          <t>UPPSALA LÄN</t>
        </is>
      </c>
      <c r="G191" t="inlineStr">
        <is>
          <t>HEBY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46227</v>
      </c>
      <c r="F192" t="inlineStr">
        <is>
          <t>UPPSALA LÄN</t>
        </is>
      </c>
      <c r="G192" t="inlineStr">
        <is>
          <t>HEBY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46227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46227</v>
      </c>
      <c r="F194" t="inlineStr">
        <is>
          <t>UPPSALA LÄN</t>
        </is>
      </c>
      <c r="G194" t="inlineStr">
        <is>
          <t>HEBY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44477</v>
      </c>
      <c r="E195" s="1" t="n">
        <v>46227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46227</v>
      </c>
      <c r="F196" t="inlineStr">
        <is>
          <t>UPPSALA LÄN</t>
        </is>
      </c>
      <c r="G196" t="inlineStr">
        <is>
          <t>HEBY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46227</v>
      </c>
      <c r="F197" t="inlineStr">
        <is>
          <t>UPPSALA LÄN</t>
        </is>
      </c>
      <c r="G197" t="inlineStr">
        <is>
          <t>HEBY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46227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12.3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48948-2023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46227</v>
      </c>
      <c r="F199" t="inlineStr">
        <is>
          <t>UPPSALA LÄN</t>
        </is>
      </c>
      <c r="G199" t="inlineStr">
        <is>
          <t>HEBY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46227</v>
      </c>
      <c r="F200" t="inlineStr">
        <is>
          <t>UPPSALA LÄN</t>
        </is>
      </c>
      <c r="G200" t="inlineStr">
        <is>
          <t>HEBY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46227</v>
      </c>
      <c r="F201" t="inlineStr">
        <is>
          <t>UPPSALA LÄN</t>
        </is>
      </c>
      <c r="G201" t="inlineStr">
        <is>
          <t>HEBY</t>
        </is>
      </c>
      <c r="H201" t="inlineStr">
        <is>
          <t>Kyrkan</t>
        </is>
      </c>
      <c r="I201" t="n">
        <v>10.6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46227</v>
      </c>
      <c r="F202" t="inlineStr">
        <is>
          <t>UPPSALA LÄN</t>
        </is>
      </c>
      <c r="G202" t="inlineStr">
        <is>
          <t>HEBY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46227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46227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46227</v>
      </c>
      <c r="F205" t="inlineStr">
        <is>
          <t>UPPSALA LÄN</t>
        </is>
      </c>
      <c r="G205" t="inlineStr">
        <is>
          <t>HEBY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46227</v>
      </c>
      <c r="F206" t="inlineStr">
        <is>
          <t>UPPSALA LÄN</t>
        </is>
      </c>
      <c r="G206" t="inlineStr">
        <is>
          <t>HEBY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46227</v>
      </c>
      <c r="F207" t="inlineStr">
        <is>
          <t>UPPSALA LÄN</t>
        </is>
      </c>
      <c r="G207" t="inlineStr">
        <is>
          <t>HEBY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45439</v>
      </c>
      <c r="E208" s="1" t="n">
        <v>46227</v>
      </c>
      <c r="F208" t="inlineStr">
        <is>
          <t>UPPSALA LÄN</t>
        </is>
      </c>
      <c r="G208" t="inlineStr">
        <is>
          <t>HEBY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46227</v>
      </c>
      <c r="F209" t="inlineStr">
        <is>
          <t>UPPSALA LÄN</t>
        </is>
      </c>
      <c r="G209" t="inlineStr">
        <is>
          <t>HEBY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46227</v>
      </c>
      <c r="F210" t="inlineStr">
        <is>
          <t>UPPSALA LÄN</t>
        </is>
      </c>
      <c r="G210" t="inlineStr">
        <is>
          <t>HEBY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46227</v>
      </c>
      <c r="F211" t="inlineStr">
        <is>
          <t>UPPSALA LÄN</t>
        </is>
      </c>
      <c r="G211" t="inlineStr">
        <is>
          <t>HEBY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64899-2021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44512</v>
      </c>
      <c r="E212" s="1" t="n">
        <v>46227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öst AB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46227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46227</v>
      </c>
      <c r="F214" t="inlineStr">
        <is>
          <t>UPPSALA LÄN</t>
        </is>
      </c>
      <c r="G214" t="inlineStr">
        <is>
          <t>HEBY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60722-2022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44913</v>
      </c>
      <c r="E215" s="1" t="n">
        <v>46227</v>
      </c>
      <c r="F215" t="inlineStr">
        <is>
          <t>UPPSALA LÄN</t>
        </is>
      </c>
      <c r="G215" t="inlineStr">
        <is>
          <t>HEBY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46227</v>
      </c>
      <c r="F216" t="inlineStr">
        <is>
          <t>UPPSALA LÄN</t>
        </is>
      </c>
      <c r="G216" t="inlineStr">
        <is>
          <t>HEBY</t>
        </is>
      </c>
      <c r="I216" t="n">
        <v>15.8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46227</v>
      </c>
      <c r="F217" t="inlineStr">
        <is>
          <t>UPPSALA LÄN</t>
        </is>
      </c>
      <c r="G217" t="inlineStr">
        <is>
          <t>HEBY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46227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46227</v>
      </c>
      <c r="F219" t="inlineStr">
        <is>
          <t>UPPSALA LÄN</t>
        </is>
      </c>
      <c r="G219" t="inlineStr">
        <is>
          <t>HEBY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46227</v>
      </c>
      <c r="F220" t="inlineStr">
        <is>
          <t>UPPSALA LÄN</t>
        </is>
      </c>
      <c r="G220" t="inlineStr">
        <is>
          <t>HEBY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46227</v>
      </c>
      <c r="F221" t="inlineStr">
        <is>
          <t>UPPSALA LÄN</t>
        </is>
      </c>
      <c r="G221" t="inlineStr">
        <is>
          <t>HEBY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46227</v>
      </c>
      <c r="F222" t="inlineStr">
        <is>
          <t>UPPSALA LÄN</t>
        </is>
      </c>
      <c r="G222" t="inlineStr">
        <is>
          <t>HEBY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46227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46227</v>
      </c>
      <c r="F224" t="inlineStr">
        <is>
          <t>UPPSALA LÄN</t>
        </is>
      </c>
      <c r="G224" t="inlineStr">
        <is>
          <t>HEBY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45708</v>
      </c>
      <c r="E225" s="1" t="n">
        <v>46227</v>
      </c>
      <c r="F225" t="inlineStr">
        <is>
          <t>UPPSALA LÄN</t>
        </is>
      </c>
      <c r="G225" t="inlineStr">
        <is>
          <t>HEBY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46227</v>
      </c>
      <c r="F226" t="inlineStr">
        <is>
          <t>UPPSALA LÄN</t>
        </is>
      </c>
      <c r="G226" t="inlineStr">
        <is>
          <t>HEBY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46227</v>
      </c>
      <c r="F227" t="inlineStr">
        <is>
          <t>UPPSALA LÄN</t>
        </is>
      </c>
      <c r="G227" t="inlineStr">
        <is>
          <t>HEBY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46227</v>
      </c>
      <c r="F228" t="inlineStr">
        <is>
          <t>UPPSALA LÄN</t>
        </is>
      </c>
      <c r="G228" t="inlineStr">
        <is>
          <t>HEBY</t>
        </is>
      </c>
      <c r="I228" t="n">
        <v>14.8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46227</v>
      </c>
      <c r="F229" t="inlineStr">
        <is>
          <t>UPPSALA LÄN</t>
        </is>
      </c>
      <c r="G229" t="inlineStr">
        <is>
          <t>HEBY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55488-2025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45971</v>
      </c>
      <c r="E230" s="1" t="n">
        <v>46227</v>
      </c>
      <c r="F230" t="inlineStr">
        <is>
          <t>UPPSALA LÄN</t>
        </is>
      </c>
      <c r="G230" t="inlineStr">
        <is>
          <t>HEBY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55496-2025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45971</v>
      </c>
      <c r="E231" s="1" t="n">
        <v>46227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45566</v>
      </c>
      <c r="E232" s="1" t="n">
        <v>46227</v>
      </c>
      <c r="F232" t="inlineStr">
        <is>
          <t>UPPSALA LÄN</t>
        </is>
      </c>
      <c r="G232" t="inlineStr">
        <is>
          <t>HEBY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46227</v>
      </c>
      <c r="F233" t="inlineStr">
        <is>
          <t>UPPSALA LÄN</t>
        </is>
      </c>
      <c r="G233" t="inlineStr">
        <is>
          <t>HEBY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44903</v>
      </c>
      <c r="E234" s="1" t="n">
        <v>46227</v>
      </c>
      <c r="F234" t="inlineStr">
        <is>
          <t>UPPSALA LÄN</t>
        </is>
      </c>
      <c r="G234" t="inlineStr">
        <is>
          <t>HEBY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46227</v>
      </c>
      <c r="F235" t="inlineStr">
        <is>
          <t>UPPSALA LÄN</t>
        </is>
      </c>
      <c r="G235" t="inlineStr">
        <is>
          <t>HEBY</t>
        </is>
      </c>
      <c r="H235" t="inlineStr">
        <is>
          <t>Kyrkan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46227</v>
      </c>
      <c r="F236" t="inlineStr">
        <is>
          <t>UPPSALA LÄN</t>
        </is>
      </c>
      <c r="G236" t="inlineStr">
        <is>
          <t>HEBY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44574</v>
      </c>
      <c r="E237" s="1" t="n">
        <v>46227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45519</v>
      </c>
      <c r="E238" s="1" t="n">
        <v>46227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46227</v>
      </c>
      <c r="F239" t="inlineStr">
        <is>
          <t>UPPSALA LÄN</t>
        </is>
      </c>
      <c r="G239" t="inlineStr">
        <is>
          <t>HEBY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46227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väst AB</t>
        </is>
      </c>
      <c r="I240" t="n">
        <v>66.90000000000001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46227</v>
      </c>
      <c r="F241" t="inlineStr">
        <is>
          <t>UPPSALA LÄN</t>
        </is>
      </c>
      <c r="G241" t="inlineStr">
        <is>
          <t>HEBY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46227</v>
      </c>
      <c r="F242" t="inlineStr">
        <is>
          <t>UPPSALA LÄN</t>
        </is>
      </c>
      <c r="G242" t="inlineStr">
        <is>
          <t>HEBY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46227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46227</v>
      </c>
      <c r="F244" t="inlineStr">
        <is>
          <t>UPPSALA LÄN</t>
        </is>
      </c>
      <c r="G244" t="inlineStr">
        <is>
          <t>HEBY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46227</v>
      </c>
      <c r="F245" t="inlineStr">
        <is>
          <t>UPPSALA LÄN</t>
        </is>
      </c>
      <c r="G245" t="inlineStr">
        <is>
          <t>HEBY</t>
        </is>
      </c>
      <c r="H245" t="inlineStr">
        <is>
          <t>Övriga Aktiebolag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46227</v>
      </c>
      <c r="F246" t="inlineStr">
        <is>
          <t>UPPSALA LÄN</t>
        </is>
      </c>
      <c r="G246" t="inlineStr">
        <is>
          <t>HEBY</t>
        </is>
      </c>
      <c r="H246" t="inlineStr">
        <is>
          <t>Övriga Aktiebolag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46227</v>
      </c>
      <c r="F247" t="inlineStr">
        <is>
          <t>UPPSALA LÄN</t>
        </is>
      </c>
      <c r="G247" t="inlineStr">
        <is>
          <t>HEBY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46227</v>
      </c>
      <c r="F248" t="inlineStr">
        <is>
          <t>UPPSALA LÄN</t>
        </is>
      </c>
      <c r="G248" t="inlineStr">
        <is>
          <t>HEBY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46227</v>
      </c>
      <c r="F249" t="inlineStr">
        <is>
          <t>UPPSALA LÄN</t>
        </is>
      </c>
      <c r="G249" t="inlineStr">
        <is>
          <t>HEBY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46227</v>
      </c>
      <c r="F250" t="inlineStr">
        <is>
          <t>UPPSALA LÄN</t>
        </is>
      </c>
      <c r="G250" t="inlineStr">
        <is>
          <t>HEBY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46227</v>
      </c>
      <c r="F251" t="inlineStr">
        <is>
          <t>UPPSALA LÄN</t>
        </is>
      </c>
      <c r="G251" t="inlineStr">
        <is>
          <t>HEBY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46227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46227</v>
      </c>
      <c r="F253" t="inlineStr">
        <is>
          <t>UPPSALA LÄN</t>
        </is>
      </c>
      <c r="G253" t="inlineStr">
        <is>
          <t>HEBY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46227</v>
      </c>
      <c r="F254" t="inlineStr">
        <is>
          <t>UPPSALA LÄN</t>
        </is>
      </c>
      <c r="G254" t="inlineStr">
        <is>
          <t>HEBY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45050</v>
      </c>
      <c r="E255" s="1" t="n">
        <v>46227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46227</v>
      </c>
      <c r="F256" t="inlineStr">
        <is>
          <t>UPPSALA LÄN</t>
        </is>
      </c>
      <c r="G256" t="inlineStr">
        <is>
          <t>HEBY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46227</v>
      </c>
      <c r="F257" t="inlineStr">
        <is>
          <t>UPPSALA LÄN</t>
        </is>
      </c>
      <c r="G257" t="inlineStr">
        <is>
          <t>HEBY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44944</v>
      </c>
      <c r="E258" s="1" t="n">
        <v>46227</v>
      </c>
      <c r="F258" t="inlineStr">
        <is>
          <t>UPPSALA LÄN</t>
        </is>
      </c>
      <c r="G258" t="inlineStr">
        <is>
          <t>HEBY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45586</v>
      </c>
      <c r="E259" s="1" t="n">
        <v>46227</v>
      </c>
      <c r="F259" t="inlineStr">
        <is>
          <t>UPPSALA LÄN</t>
        </is>
      </c>
      <c r="G259" t="inlineStr">
        <is>
          <t>HEBY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46227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43.4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46227</v>
      </c>
      <c r="F261" t="inlineStr">
        <is>
          <t>UPPSALA LÄN</t>
        </is>
      </c>
      <c r="G261" t="inlineStr">
        <is>
          <t>HEBY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46227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44943</v>
      </c>
      <c r="E263" s="1" t="n">
        <v>46227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46227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öst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46227</v>
      </c>
      <c r="F265" t="inlineStr">
        <is>
          <t>UPPSALA LÄN</t>
        </is>
      </c>
      <c r="G265" t="inlineStr">
        <is>
          <t>HEBY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40435-2025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46227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öst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44916</v>
      </c>
      <c r="E267" s="1" t="n">
        <v>46227</v>
      </c>
      <c r="F267" t="inlineStr">
        <is>
          <t>UPPSALA LÄN</t>
        </is>
      </c>
      <c r="G267" t="inlineStr">
        <is>
          <t>HEBY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46227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45294</v>
      </c>
      <c r="E269" s="1" t="n">
        <v>46227</v>
      </c>
      <c r="F269" t="inlineStr">
        <is>
          <t>UPPSALA LÄN</t>
        </is>
      </c>
      <c r="G269" t="inlineStr">
        <is>
          <t>HEBY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46227</v>
      </c>
      <c r="F270" t="inlineStr">
        <is>
          <t>UPPSALA LÄN</t>
        </is>
      </c>
      <c r="G270" t="inlineStr">
        <is>
          <t>HEBY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46227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45364</v>
      </c>
      <c r="E272" s="1" t="n">
        <v>46227</v>
      </c>
      <c r="F272" t="inlineStr">
        <is>
          <t>UPPSALA LÄN</t>
        </is>
      </c>
      <c r="G272" t="inlineStr">
        <is>
          <t>HEBY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45364</v>
      </c>
      <c r="E273" s="1" t="n">
        <v>46227</v>
      </c>
      <c r="F273" t="inlineStr">
        <is>
          <t>UPPSALA LÄN</t>
        </is>
      </c>
      <c r="G273" t="inlineStr">
        <is>
          <t>HEBY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46227</v>
      </c>
      <c r="F274" t="inlineStr">
        <is>
          <t>UPPSALA LÄN</t>
        </is>
      </c>
      <c r="G274" t="inlineStr">
        <is>
          <t>HEBY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46227</v>
      </c>
      <c r="F275" t="inlineStr">
        <is>
          <t>UPPSALA LÄN</t>
        </is>
      </c>
      <c r="G275" t="inlineStr">
        <is>
          <t>HEBY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46227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46227</v>
      </c>
      <c r="F277" t="inlineStr">
        <is>
          <t>UPPSALA LÄN</t>
        </is>
      </c>
      <c r="G277" t="inlineStr">
        <is>
          <t>HEBY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56884-2022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46227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45852</v>
      </c>
      <c r="E279" s="1" t="n">
        <v>46227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46227</v>
      </c>
      <c r="F280" t="inlineStr">
        <is>
          <t>UPPSALA LÄN</t>
        </is>
      </c>
      <c r="G280" t="inlineStr">
        <is>
          <t>HEBY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46227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46227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44701</v>
      </c>
      <c r="E283" s="1" t="n">
        <v>46227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45440-2025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46227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44601</v>
      </c>
      <c r="E285" s="1" t="n">
        <v>46227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46227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45422</v>
      </c>
      <c r="E287" s="1" t="n">
        <v>46227</v>
      </c>
      <c r="F287" t="inlineStr">
        <is>
          <t>UPPSALA LÄN</t>
        </is>
      </c>
      <c r="G287" t="inlineStr">
        <is>
          <t>HEBY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46227</v>
      </c>
      <c r="F288" t="inlineStr">
        <is>
          <t>UPPSALA LÄN</t>
        </is>
      </c>
      <c r="G288" t="inlineStr">
        <is>
          <t>HEBY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19990-2022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44697</v>
      </c>
      <c r="E289" s="1" t="n">
        <v>46227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59486-2021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46227</v>
      </c>
      <c r="F290" t="inlineStr">
        <is>
          <t>UPPSALA LÄN</t>
        </is>
      </c>
      <c r="G290" t="inlineStr">
        <is>
          <t>HEBY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46227</v>
      </c>
      <c r="F291" t="inlineStr">
        <is>
          <t>UPPSALA LÄN</t>
        </is>
      </c>
      <c r="G291" t="inlineStr">
        <is>
          <t>HEBY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46227</v>
      </c>
      <c r="F292" t="inlineStr">
        <is>
          <t>UPPSALA LÄN</t>
        </is>
      </c>
      <c r="G292" t="inlineStr">
        <is>
          <t>HEBY</t>
        </is>
      </c>
      <c r="H292" t="inlineStr">
        <is>
          <t>Övriga Aktiebolag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44956</v>
      </c>
      <c r="E293" s="1" t="n">
        <v>46227</v>
      </c>
      <c r="F293" t="inlineStr">
        <is>
          <t>UPPSALA LÄN</t>
        </is>
      </c>
      <c r="G293" t="inlineStr">
        <is>
          <t>HEBY</t>
        </is>
      </c>
      <c r="H293" t="inlineStr">
        <is>
          <t>Kyrkan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46227</v>
      </c>
      <c r="F294" t="inlineStr">
        <is>
          <t>UPPSALA LÄN</t>
        </is>
      </c>
      <c r="G294" t="inlineStr">
        <is>
          <t>HEBY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46227</v>
      </c>
      <c r="F295" t="inlineStr">
        <is>
          <t>UPPSALA LÄN</t>
        </is>
      </c>
      <c r="G295" t="inlineStr">
        <is>
          <t>HEBY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46227</v>
      </c>
      <c r="F296" t="inlineStr">
        <is>
          <t>UPPSALA LÄN</t>
        </is>
      </c>
      <c r="G296" t="inlineStr">
        <is>
          <t>HEBY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46005</v>
      </c>
      <c r="E297" s="1" t="n">
        <v>46227</v>
      </c>
      <c r="F297" t="inlineStr">
        <is>
          <t>UPPSALA LÄN</t>
        </is>
      </c>
      <c r="G297" t="inlineStr">
        <is>
          <t>HEBY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46227</v>
      </c>
      <c r="F298" t="inlineStr">
        <is>
          <t>UPPSALA LÄN</t>
        </is>
      </c>
      <c r="G298" t="inlineStr">
        <is>
          <t>HEBY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46227</v>
      </c>
      <c r="F299" t="inlineStr">
        <is>
          <t>UPPSALA LÄN</t>
        </is>
      </c>
      <c r="G299" t="inlineStr">
        <is>
          <t>HEBY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70158-2021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44533</v>
      </c>
      <c r="E300" s="1" t="n">
        <v>46227</v>
      </c>
      <c r="F300" t="inlineStr">
        <is>
          <t>UPPSALA LÄN</t>
        </is>
      </c>
      <c r="G300" t="inlineStr">
        <is>
          <t>HEBY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46227</v>
      </c>
      <c r="F301" t="inlineStr">
        <is>
          <t>UPPSALA LÄN</t>
        </is>
      </c>
      <c r="G301" t="inlineStr">
        <is>
          <t>HEBY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46227</v>
      </c>
      <c r="F302" t="inlineStr">
        <is>
          <t>UPPSALA LÄN</t>
        </is>
      </c>
      <c r="G302" t="inlineStr">
        <is>
          <t>HEBY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45294</v>
      </c>
      <c r="E303" s="1" t="n">
        <v>46227</v>
      </c>
      <c r="F303" t="inlineStr">
        <is>
          <t>UPPSALA LÄN</t>
        </is>
      </c>
      <c r="G303" t="inlineStr">
        <is>
          <t>HEBY</t>
        </is>
      </c>
      <c r="H303" t="inlineStr">
        <is>
          <t>Kommuner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46227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46227</v>
      </c>
      <c r="F305" t="inlineStr">
        <is>
          <t>UPPSALA LÄN</t>
        </is>
      </c>
      <c r="G305" t="inlineStr">
        <is>
          <t>HEBY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43957-2021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44434</v>
      </c>
      <c r="E306" s="1" t="n">
        <v>46227</v>
      </c>
      <c r="F306" t="inlineStr">
        <is>
          <t>UPPSALA LÄN</t>
        </is>
      </c>
      <c r="G306" t="inlineStr">
        <is>
          <t>HEBY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45932</v>
      </c>
      <c r="E307" s="1" t="n">
        <v>46227</v>
      </c>
      <c r="F307" t="inlineStr">
        <is>
          <t>UPPSALA LÄN</t>
        </is>
      </c>
      <c r="G307" t="inlineStr">
        <is>
          <t>HEBY</t>
        </is>
      </c>
      <c r="H307" t="inlineStr">
        <is>
          <t>Allmännings- och besparingsskogar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44802</v>
      </c>
      <c r="E308" s="1" t="n">
        <v>46227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45749</v>
      </c>
      <c r="E309" s="1" t="n">
        <v>46227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43179-2021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44431</v>
      </c>
      <c r="E310" s="1" t="n">
        <v>46227</v>
      </c>
      <c r="F310" t="inlineStr">
        <is>
          <t>UPPSALA LÄN</t>
        </is>
      </c>
      <c r="G310" t="inlineStr">
        <is>
          <t>HEBY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46023</v>
      </c>
      <c r="E311" s="1" t="n">
        <v>46227</v>
      </c>
      <c r="F311" t="inlineStr">
        <is>
          <t>UPPSALA LÄN</t>
        </is>
      </c>
      <c r="G311" t="inlineStr">
        <is>
          <t>HEBY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46227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46227</v>
      </c>
      <c r="F313" t="inlineStr">
        <is>
          <t>UPPSALA LÄN</t>
        </is>
      </c>
      <c r="G313" t="inlineStr">
        <is>
          <t>HEBY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46227</v>
      </c>
      <c r="F314" t="inlineStr">
        <is>
          <t>UPPSALA LÄN</t>
        </is>
      </c>
      <c r="G314" t="inlineStr">
        <is>
          <t>HEBY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44810</v>
      </c>
      <c r="E315" s="1" t="n">
        <v>46227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46227</v>
      </c>
      <c r="F316" t="inlineStr">
        <is>
          <t>UPPSALA LÄN</t>
        </is>
      </c>
      <c r="G316" t="inlineStr">
        <is>
          <t>HEBY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46227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44754</v>
      </c>
      <c r="E318" s="1" t="n">
        <v>46227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46227</v>
      </c>
      <c r="F319" t="inlineStr">
        <is>
          <t>UPPSALA LÄN</t>
        </is>
      </c>
      <c r="G319" t="inlineStr">
        <is>
          <t>HEBY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46227</v>
      </c>
      <c r="F320" t="inlineStr">
        <is>
          <t>UPPSALA LÄN</t>
        </is>
      </c>
      <c r="G320" t="inlineStr">
        <is>
          <t>HEBY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44694</v>
      </c>
      <c r="E321" s="1" t="n">
        <v>46227</v>
      </c>
      <c r="F321" t="inlineStr">
        <is>
          <t>UPPSALA LÄN</t>
        </is>
      </c>
      <c r="G321" t="inlineStr">
        <is>
          <t>HEBY</t>
        </is>
      </c>
      <c r="I321" t="n">
        <v>22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46227</v>
      </c>
      <c r="F322" t="inlineStr">
        <is>
          <t>UPPSALA LÄN</t>
        </is>
      </c>
      <c r="G322" t="inlineStr">
        <is>
          <t>HEBY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8182-2022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44609</v>
      </c>
      <c r="E323" s="1" t="n">
        <v>46227</v>
      </c>
      <c r="F323" t="inlineStr">
        <is>
          <t>UPPSALA LÄN</t>
        </is>
      </c>
      <c r="G323" t="inlineStr">
        <is>
          <t>HEBY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45098</v>
      </c>
      <c r="E324" s="1" t="n">
        <v>46227</v>
      </c>
      <c r="F324" t="inlineStr">
        <is>
          <t>UPPSALA LÄN</t>
        </is>
      </c>
      <c r="G324" t="inlineStr">
        <is>
          <t>HEBY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46227</v>
      </c>
      <c r="F325" t="inlineStr">
        <is>
          <t>UPPSALA LÄN</t>
        </is>
      </c>
      <c r="G325" t="inlineStr">
        <is>
          <t>HEBY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46227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46227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46227</v>
      </c>
      <c r="F328" t="inlineStr">
        <is>
          <t>UPPSALA LÄN</t>
        </is>
      </c>
      <c r="G328" t="inlineStr">
        <is>
          <t>HEBY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44435</v>
      </c>
      <c r="E329" s="1" t="n">
        <v>46227</v>
      </c>
      <c r="F329" t="inlineStr">
        <is>
          <t>UPPSALA LÄN</t>
        </is>
      </c>
      <c r="G329" t="inlineStr">
        <is>
          <t>HEBY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45351</v>
      </c>
      <c r="E330" s="1" t="n">
        <v>46227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45218</v>
      </c>
      <c r="E331" s="1" t="n">
        <v>46227</v>
      </c>
      <c r="F331" t="inlineStr">
        <is>
          <t>UPPSALA LÄN</t>
        </is>
      </c>
      <c r="G331" t="inlineStr">
        <is>
          <t>HEBY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51091-2023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45218</v>
      </c>
      <c r="E332" s="1" t="n">
        <v>46227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45216</v>
      </c>
      <c r="E333" s="1" t="n">
        <v>46227</v>
      </c>
      <c r="F333" t="inlineStr">
        <is>
          <t>UPPSALA LÄN</t>
        </is>
      </c>
      <c r="G333" t="inlineStr">
        <is>
          <t>HEBY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46227</v>
      </c>
      <c r="F334" t="inlineStr">
        <is>
          <t>UPPSALA LÄN</t>
        </is>
      </c>
      <c r="G334" t="inlineStr">
        <is>
          <t>HEBY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44684</v>
      </c>
      <c r="E335" s="1" t="n">
        <v>46227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väst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46227</v>
      </c>
      <c r="F336" t="inlineStr">
        <is>
          <t>UPPSALA LÄN</t>
        </is>
      </c>
      <c r="G336" t="inlineStr">
        <is>
          <t>HEBY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46227</v>
      </c>
      <c r="F337" t="inlineStr">
        <is>
          <t>UPPSALA LÄN</t>
        </is>
      </c>
      <c r="G337" t="inlineStr">
        <is>
          <t>HEBY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44939</v>
      </c>
      <c r="E338" s="1" t="n">
        <v>46227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46227</v>
      </c>
      <c r="F339" t="inlineStr">
        <is>
          <t>UPPSALA LÄN</t>
        </is>
      </c>
      <c r="G339" t="inlineStr">
        <is>
          <t>HEBY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46227</v>
      </c>
      <c r="F340" t="inlineStr">
        <is>
          <t>UPPSALA LÄN</t>
        </is>
      </c>
      <c r="G340" t="inlineStr">
        <is>
          <t>HEBY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46227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46227</v>
      </c>
      <c r="F342" t="inlineStr">
        <is>
          <t>UPPSALA LÄN</t>
        </is>
      </c>
      <c r="G342" t="inlineStr">
        <is>
          <t>HEBY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11555-2026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46084</v>
      </c>
      <c r="E343" s="1" t="n">
        <v>46227</v>
      </c>
      <c r="F343" t="inlineStr">
        <is>
          <t>UPPSALA LÄN</t>
        </is>
      </c>
      <c r="G343" t="inlineStr">
        <is>
          <t>HEBY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46227</v>
      </c>
      <c r="F344" t="inlineStr">
        <is>
          <t>UPPSALA LÄN</t>
        </is>
      </c>
      <c r="G344" t="inlineStr">
        <is>
          <t>HEBY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70976-2021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44538</v>
      </c>
      <c r="E345" s="1" t="n">
        <v>46227</v>
      </c>
      <c r="F345" t="inlineStr">
        <is>
          <t>UPPSALA LÄN</t>
        </is>
      </c>
      <c r="G345" t="inlineStr">
        <is>
          <t>HEBY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46227</v>
      </c>
      <c r="F346" t="inlineStr">
        <is>
          <t>UPPSALA LÄN</t>
        </is>
      </c>
      <c r="G346" t="inlineStr">
        <is>
          <t>HEBY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46227</v>
      </c>
      <c r="F347" t="inlineStr">
        <is>
          <t>UPPSALA LÄN</t>
        </is>
      </c>
      <c r="G347" t="inlineStr">
        <is>
          <t>HEBY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46227</v>
      </c>
      <c r="F348" t="inlineStr">
        <is>
          <t>UPPSALA LÄN</t>
        </is>
      </c>
      <c r="G348" t="inlineStr">
        <is>
          <t>HEBY</t>
        </is>
      </c>
      <c r="H348" t="inlineStr">
        <is>
          <t>Kommuner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46227</v>
      </c>
      <c r="F349" t="inlineStr">
        <is>
          <t>UPPSALA LÄN</t>
        </is>
      </c>
      <c r="G349" t="inlineStr">
        <is>
          <t>HEBY</t>
        </is>
      </c>
      <c r="H349" t="inlineStr">
        <is>
          <t>Kommuner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46227</v>
      </c>
      <c r="F350" t="inlineStr">
        <is>
          <t>UPPSALA LÄN</t>
        </is>
      </c>
      <c r="G350" t="inlineStr">
        <is>
          <t>HEBY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38203-2021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44405</v>
      </c>
      <c r="E351" s="1" t="n">
        <v>46227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46227</v>
      </c>
      <c r="F352" t="inlineStr">
        <is>
          <t>UPPSALA LÄN</t>
        </is>
      </c>
      <c r="G352" t="inlineStr">
        <is>
          <t>HEBY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46227</v>
      </c>
      <c r="F353" t="inlineStr">
        <is>
          <t>UPPSALA LÄN</t>
        </is>
      </c>
      <c r="G353" t="inlineStr">
        <is>
          <t>HEBY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46227</v>
      </c>
      <c r="F354" t="inlineStr">
        <is>
          <t>UPPSALA LÄN</t>
        </is>
      </c>
      <c r="G354" t="inlineStr">
        <is>
          <t>HEBY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46227</v>
      </c>
      <c r="F355" t="inlineStr">
        <is>
          <t>UPPSALA LÄN</t>
        </is>
      </c>
      <c r="G355" t="inlineStr">
        <is>
          <t>HEBY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61807-2022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46227</v>
      </c>
      <c r="F356" t="inlineStr">
        <is>
          <t>UPPSALA LÄN</t>
        </is>
      </c>
      <c r="G356" t="inlineStr">
        <is>
          <t>HEBY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46227</v>
      </c>
      <c r="F357" t="inlineStr">
        <is>
          <t>UPPSALA LÄN</t>
        </is>
      </c>
      <c r="G357" t="inlineStr">
        <is>
          <t>HEBY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46227</v>
      </c>
      <c r="F358" t="inlineStr">
        <is>
          <t>UPPSALA LÄN</t>
        </is>
      </c>
      <c r="G358" t="inlineStr">
        <is>
          <t>HEBY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50859-2022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44862</v>
      </c>
      <c r="E359" s="1" t="n">
        <v>46227</v>
      </c>
      <c r="F359" t="inlineStr">
        <is>
          <t>UPPSALA LÄN</t>
        </is>
      </c>
      <c r="G359" t="inlineStr">
        <is>
          <t>HEBY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44568</v>
      </c>
      <c r="E360" s="1" t="n">
        <v>46227</v>
      </c>
      <c r="F360" t="inlineStr">
        <is>
          <t>UPPSALA LÄN</t>
        </is>
      </c>
      <c r="G360" t="inlineStr">
        <is>
          <t>HEBY</t>
        </is>
      </c>
      <c r="I360" t="n">
        <v>10.6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45279</v>
      </c>
      <c r="E361" s="1" t="n">
        <v>46227</v>
      </c>
      <c r="F361" t="inlineStr">
        <is>
          <t>UPPSALA LÄN</t>
        </is>
      </c>
      <c r="G361" t="inlineStr">
        <is>
          <t>HEBY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46227</v>
      </c>
      <c r="F362" t="inlineStr">
        <is>
          <t>UPPSALA LÄN</t>
        </is>
      </c>
      <c r="G362" t="inlineStr">
        <is>
          <t>HEBY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46227</v>
      </c>
      <c r="F363" t="inlineStr">
        <is>
          <t>UPPSALA LÄN</t>
        </is>
      </c>
      <c r="G363" t="inlineStr">
        <is>
          <t>HEBY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46227</v>
      </c>
      <c r="F364" t="inlineStr">
        <is>
          <t>UPPSALA LÄN</t>
        </is>
      </c>
      <c r="G364" t="inlineStr">
        <is>
          <t>HEBY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46227</v>
      </c>
      <c r="F365" t="inlineStr">
        <is>
          <t>UPPSALA LÄN</t>
        </is>
      </c>
      <c r="G365" t="inlineStr">
        <is>
          <t>HEBY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46227</v>
      </c>
      <c r="F366" t="inlineStr">
        <is>
          <t>UPPSALA LÄN</t>
        </is>
      </c>
      <c r="G366" t="inlineStr">
        <is>
          <t>HEBY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45090</v>
      </c>
      <c r="E367" s="1" t="n">
        <v>46227</v>
      </c>
      <c r="F367" t="inlineStr">
        <is>
          <t>UPPSALA LÄN</t>
        </is>
      </c>
      <c r="G367" t="inlineStr">
        <is>
          <t>HEBY</t>
        </is>
      </c>
      <c r="H367" t="inlineStr">
        <is>
          <t>Övriga Aktiebolag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46227</v>
      </c>
      <c r="F368" t="inlineStr">
        <is>
          <t>UPPSALA LÄN</t>
        </is>
      </c>
      <c r="G368" t="inlineStr">
        <is>
          <t>HEBY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66055-2021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44517</v>
      </c>
      <c r="E369" s="1" t="n">
        <v>46227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46227</v>
      </c>
      <c r="F370" t="inlineStr">
        <is>
          <t>UPPSALA LÄN</t>
        </is>
      </c>
      <c r="G370" t="inlineStr">
        <is>
          <t>HEBY</t>
        </is>
      </c>
      <c r="I370" t="n">
        <v>11.5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46227</v>
      </c>
      <c r="F371" t="inlineStr">
        <is>
          <t>UPPSALA LÄN</t>
        </is>
      </c>
      <c r="G371" t="inlineStr">
        <is>
          <t>HEBY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31143-2023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46227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45761</v>
      </c>
      <c r="E373" s="1" t="n">
        <v>46227</v>
      </c>
      <c r="F373" t="inlineStr">
        <is>
          <t>UPPSALA LÄN</t>
        </is>
      </c>
      <c r="G373" t="inlineStr">
        <is>
          <t>HEBY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72180-2021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44543</v>
      </c>
      <c r="E374" s="1" t="n">
        <v>46227</v>
      </c>
      <c r="F374" t="inlineStr">
        <is>
          <t>UPPSALA LÄN</t>
        </is>
      </c>
      <c r="G374" t="inlineStr">
        <is>
          <t>HEBY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62145-2022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44914</v>
      </c>
      <c r="E375" s="1" t="n">
        <v>46227</v>
      </c>
      <c r="F375" t="inlineStr">
        <is>
          <t>UPPSALA LÄN</t>
        </is>
      </c>
      <c r="G375" t="inlineStr">
        <is>
          <t>HEBY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45117</v>
      </c>
      <c r="E376" s="1" t="n">
        <v>46227</v>
      </c>
      <c r="F376" t="inlineStr">
        <is>
          <t>UPPSALA LÄN</t>
        </is>
      </c>
      <c r="G376" t="inlineStr">
        <is>
          <t>HEBY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31567-2023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46227</v>
      </c>
      <c r="F377" t="inlineStr">
        <is>
          <t>UPPSALA LÄN</t>
        </is>
      </c>
      <c r="G377" t="inlineStr">
        <is>
          <t>HEBY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46227</v>
      </c>
      <c r="F378" t="inlineStr">
        <is>
          <t>UPPSALA LÄN</t>
        </is>
      </c>
      <c r="G378" t="inlineStr">
        <is>
          <t>HEBY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45317</v>
      </c>
      <c r="E379" s="1" t="n">
        <v>46227</v>
      </c>
      <c r="F379" t="inlineStr">
        <is>
          <t>UPPSALA LÄN</t>
        </is>
      </c>
      <c r="G379" t="inlineStr">
        <is>
          <t>HEBY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46227</v>
      </c>
      <c r="F380" t="inlineStr">
        <is>
          <t>UPPSALA LÄN</t>
        </is>
      </c>
      <c r="G380" t="inlineStr">
        <is>
          <t>HEBY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46227</v>
      </c>
      <c r="F381" t="inlineStr">
        <is>
          <t>UPPSALA LÄN</t>
        </is>
      </c>
      <c r="G381" t="inlineStr">
        <is>
          <t>HEBY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73622-2021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44552</v>
      </c>
      <c r="E382" s="1" t="n">
        <v>46227</v>
      </c>
      <c r="F382" t="inlineStr">
        <is>
          <t>UPPSALA LÄN</t>
        </is>
      </c>
      <c r="G382" t="inlineStr">
        <is>
          <t>HEBY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46227</v>
      </c>
      <c r="F383" t="inlineStr">
        <is>
          <t>UPPSALA LÄN</t>
        </is>
      </c>
      <c r="G383" t="inlineStr">
        <is>
          <t>HEBY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46227</v>
      </c>
      <c r="F384" t="inlineStr">
        <is>
          <t>UPPSALA LÄN</t>
        </is>
      </c>
      <c r="G384" t="inlineStr">
        <is>
          <t>HEBY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46227</v>
      </c>
      <c r="F385" t="inlineStr">
        <is>
          <t>UPPSALA LÄN</t>
        </is>
      </c>
      <c r="G385" t="inlineStr">
        <is>
          <t>HEBY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45006</v>
      </c>
      <c r="E386" s="1" t="n">
        <v>46227</v>
      </c>
      <c r="F386" t="inlineStr">
        <is>
          <t>UPPSALA LÄN</t>
        </is>
      </c>
      <c r="G386" t="inlineStr">
        <is>
          <t>HEBY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46101</v>
      </c>
      <c r="E387" s="1" t="n">
        <v>46227</v>
      </c>
      <c r="F387" t="inlineStr">
        <is>
          <t>UPPSALA LÄN</t>
        </is>
      </c>
      <c r="G387" t="inlineStr">
        <is>
          <t>HEBY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45029</v>
      </c>
      <c r="E388" s="1" t="n">
        <v>46227</v>
      </c>
      <c r="F388" t="inlineStr">
        <is>
          <t>UPPSALA LÄN</t>
        </is>
      </c>
      <c r="G388" t="inlineStr">
        <is>
          <t>HEBY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44568</v>
      </c>
      <c r="E389" s="1" t="n">
        <v>46227</v>
      </c>
      <c r="F389" t="inlineStr">
        <is>
          <t>UPPSALA LÄN</t>
        </is>
      </c>
      <c r="G389" t="inlineStr">
        <is>
          <t>HEBY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46227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46227</v>
      </c>
      <c r="F391" t="inlineStr">
        <is>
          <t>UPPSALA LÄN</t>
        </is>
      </c>
      <c r="G391" t="inlineStr">
        <is>
          <t>HEBY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46227</v>
      </c>
      <c r="F392" t="inlineStr">
        <is>
          <t>UPPSALA LÄN</t>
        </is>
      </c>
      <c r="G392" t="inlineStr">
        <is>
          <t>HEBY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46110</v>
      </c>
      <c r="E393" s="1" t="n">
        <v>46227</v>
      </c>
      <c r="F393" t="inlineStr">
        <is>
          <t>UPPSALA LÄN</t>
        </is>
      </c>
      <c r="G393" t="inlineStr">
        <is>
          <t>HEBY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45532</v>
      </c>
      <c r="E394" s="1" t="n">
        <v>46227</v>
      </c>
      <c r="F394" t="inlineStr">
        <is>
          <t>UPPSALA LÄN</t>
        </is>
      </c>
      <c r="G394" t="inlineStr">
        <is>
          <t>HEBY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45373</v>
      </c>
      <c r="E395" s="1" t="n">
        <v>46227</v>
      </c>
      <c r="F395" t="inlineStr">
        <is>
          <t>UPPSALA LÄN</t>
        </is>
      </c>
      <c r="G395" t="inlineStr">
        <is>
          <t>HEBY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46227</v>
      </c>
      <c r="F396" t="inlineStr">
        <is>
          <t>UPPSALA LÄN</t>
        </is>
      </c>
      <c r="G396" t="inlineStr">
        <is>
          <t>HEBY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16506-2026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46112</v>
      </c>
      <c r="E397" s="1" t="n">
        <v>46227</v>
      </c>
      <c r="F397" t="inlineStr">
        <is>
          <t>UPPSALA LÄN</t>
        </is>
      </c>
      <c r="G397" t="inlineStr">
        <is>
          <t>HEBY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16511-2026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46227</v>
      </c>
      <c r="F398" t="inlineStr">
        <is>
          <t>UPPSALA LÄN</t>
        </is>
      </c>
      <c r="G398" t="inlineStr">
        <is>
          <t>HEBY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46227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46227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46227</v>
      </c>
      <c r="F401" t="inlineStr">
        <is>
          <t>UPPSALA LÄN</t>
        </is>
      </c>
      <c r="G401" t="inlineStr">
        <is>
          <t>HEBY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46227</v>
      </c>
      <c r="F402" t="inlineStr">
        <is>
          <t>UPPSALA LÄN</t>
        </is>
      </c>
      <c r="G402" t="inlineStr">
        <is>
          <t>HEBY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46227</v>
      </c>
      <c r="F403" t="inlineStr">
        <is>
          <t>UPPSALA LÄN</t>
        </is>
      </c>
      <c r="G403" t="inlineStr">
        <is>
          <t>HEBY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46227</v>
      </c>
      <c r="F404" t="inlineStr">
        <is>
          <t>UPPSALA LÄN</t>
        </is>
      </c>
      <c r="G404" t="inlineStr">
        <is>
          <t>HEBY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46227</v>
      </c>
      <c r="F405" t="inlineStr">
        <is>
          <t>UPPSALA LÄN</t>
        </is>
      </c>
      <c r="G405" t="inlineStr">
        <is>
          <t>HEBY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44993</v>
      </c>
      <c r="E406" s="1" t="n">
        <v>46227</v>
      </c>
      <c r="F406" t="inlineStr">
        <is>
          <t>UPPSALA LÄN</t>
        </is>
      </c>
      <c r="G406" t="inlineStr">
        <is>
          <t>HEBY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45511</v>
      </c>
      <c r="E407" s="1" t="n">
        <v>46227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46119</v>
      </c>
      <c r="E408" s="1" t="n">
        <v>46227</v>
      </c>
      <c r="F408" t="inlineStr">
        <is>
          <t>UPPSALA LÄN</t>
        </is>
      </c>
      <c r="G408" t="inlineStr">
        <is>
          <t>HEBY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64364-2021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44511</v>
      </c>
      <c r="E409" s="1" t="n">
        <v>46227</v>
      </c>
      <c r="F409" t="inlineStr">
        <is>
          <t>UPPSALA LÄN</t>
        </is>
      </c>
      <c r="G409" t="inlineStr">
        <is>
          <t>HEBY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46227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46227</v>
      </c>
      <c r="F411" t="inlineStr">
        <is>
          <t>UPPSALA LÄN</t>
        </is>
      </c>
      <c r="G411" t="inlineStr">
        <is>
          <t>HEBY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46227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46227</v>
      </c>
      <c r="F413" t="inlineStr">
        <is>
          <t>UPPSALA LÄN</t>
        </is>
      </c>
      <c r="G413" t="inlineStr">
        <is>
          <t>HEBY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46227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46227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46227</v>
      </c>
      <c r="F416" t="inlineStr">
        <is>
          <t>UPPSALA LÄN</t>
        </is>
      </c>
      <c r="G416" t="inlineStr">
        <is>
          <t>HEBY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8660-2022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44613</v>
      </c>
      <c r="E417" s="1" t="n">
        <v>46227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46227</v>
      </c>
      <c r="F418" t="inlineStr">
        <is>
          <t>UPPSALA LÄN</t>
        </is>
      </c>
      <c r="G418" t="inlineStr">
        <is>
          <t>HEBY</t>
        </is>
      </c>
      <c r="H418" t="inlineStr">
        <is>
          <t>Kyrkan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45331</v>
      </c>
      <c r="E419" s="1" t="n">
        <v>46227</v>
      </c>
      <c r="F419" t="inlineStr">
        <is>
          <t>UPPSALA LÄN</t>
        </is>
      </c>
      <c r="G419" t="inlineStr">
        <is>
          <t>HEBY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74215-2021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44558</v>
      </c>
      <c r="E420" s="1" t="n">
        <v>46227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40924-2023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46227</v>
      </c>
      <c r="F421" t="inlineStr">
        <is>
          <t>UPPSALA LÄN</t>
        </is>
      </c>
      <c r="G421" t="inlineStr">
        <is>
          <t>HEBY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46227</v>
      </c>
      <c r="F422" t="inlineStr">
        <is>
          <t>UPPSALA LÄN</t>
        </is>
      </c>
      <c r="G422" t="inlineStr">
        <is>
          <t>HEBY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46135</v>
      </c>
      <c r="E423" s="1" t="n">
        <v>46227</v>
      </c>
      <c r="F423" t="inlineStr">
        <is>
          <t>UPPSALA LÄN</t>
        </is>
      </c>
      <c r="G423" t="inlineStr">
        <is>
          <t>HEBY</t>
        </is>
      </c>
      <c r="H423" t="inlineStr">
        <is>
          <t>Kyrkan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46227</v>
      </c>
      <c r="F424" t="inlineStr">
        <is>
          <t>UPPSALA LÄN</t>
        </is>
      </c>
      <c r="G424" t="inlineStr">
        <is>
          <t>HEBY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46227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38670-2024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46227</v>
      </c>
      <c r="F426" t="inlineStr">
        <is>
          <t>UPPSALA LÄN</t>
        </is>
      </c>
      <c r="G426" t="inlineStr">
        <is>
          <t>HEBY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46227</v>
      </c>
      <c r="F427" t="inlineStr">
        <is>
          <t>UPPSALA LÄN</t>
        </is>
      </c>
      <c r="G427" t="inlineStr">
        <is>
          <t>HEBY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46227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45599</v>
      </c>
      <c r="E429" s="1" t="n">
        <v>46227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46227</v>
      </c>
      <c r="F430" t="inlineStr">
        <is>
          <t>UPPSALA LÄN</t>
        </is>
      </c>
      <c r="G430" t="inlineStr">
        <is>
          <t>HEBY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40455-2025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45895</v>
      </c>
      <c r="E431" s="1" t="n">
        <v>46227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öst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46227</v>
      </c>
      <c r="F432" t="inlineStr">
        <is>
          <t>UPPSALA LÄN</t>
        </is>
      </c>
      <c r="G432" t="inlineStr">
        <is>
          <t>HEBY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46227</v>
      </c>
      <c r="F433" t="inlineStr">
        <is>
          <t>UPPSALA LÄN</t>
        </is>
      </c>
      <c r="G433" t="inlineStr">
        <is>
          <t>HEBY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46227</v>
      </c>
      <c r="F434" t="inlineStr">
        <is>
          <t>UPPSALA LÄN</t>
        </is>
      </c>
      <c r="G434" t="inlineStr">
        <is>
          <t>HEBY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44802</v>
      </c>
      <c r="E435" s="1" t="n">
        <v>46227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35875-2022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44802</v>
      </c>
      <c r="E436" s="1" t="n">
        <v>46227</v>
      </c>
      <c r="F436" t="inlineStr">
        <is>
          <t>UPPSALA LÄN</t>
        </is>
      </c>
      <c r="G436" t="inlineStr">
        <is>
          <t>HEBY</t>
        </is>
      </c>
      <c r="I436" t="n">
        <v>12.1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45818</v>
      </c>
      <c r="E437" s="1" t="n">
        <v>46227</v>
      </c>
      <c r="F437" t="inlineStr">
        <is>
          <t>UPPSALA LÄN</t>
        </is>
      </c>
      <c r="G437" t="inlineStr">
        <is>
          <t>HEBY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45317</v>
      </c>
      <c r="E438" s="1" t="n">
        <v>46227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39154-2023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46227</v>
      </c>
      <c r="F439" t="inlineStr">
        <is>
          <t>UPPSALA LÄN</t>
        </is>
      </c>
      <c r="G439" t="inlineStr">
        <is>
          <t>HEBY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46227</v>
      </c>
      <c r="F440" t="inlineStr">
        <is>
          <t>UPPSALA LÄN</t>
        </is>
      </c>
      <c r="G440" t="inlineStr">
        <is>
          <t>HEBY</t>
        </is>
      </c>
      <c r="H440" t="inlineStr">
        <is>
          <t>Allmännings- och besparingsskogar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46227</v>
      </c>
      <c r="F441" t="inlineStr">
        <is>
          <t>UPPSALA LÄN</t>
        </is>
      </c>
      <c r="G441" t="inlineStr">
        <is>
          <t>HEBY</t>
        </is>
      </c>
      <c r="H441" t="inlineStr">
        <is>
          <t>Övriga Aktiebolag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46227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46227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44623</v>
      </c>
      <c r="E444" s="1" t="n">
        <v>46227</v>
      </c>
      <c r="F444" t="inlineStr">
        <is>
          <t>UPPSALA LÄN</t>
        </is>
      </c>
      <c r="G444" t="inlineStr">
        <is>
          <t>HEBY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45411</v>
      </c>
      <c r="E445" s="1" t="n">
        <v>46227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46227</v>
      </c>
      <c r="F446" t="inlineStr">
        <is>
          <t>UPPSALA LÄN</t>
        </is>
      </c>
      <c r="G446" t="inlineStr">
        <is>
          <t>HEBY</t>
        </is>
      </c>
      <c r="H446" t="inlineStr">
        <is>
          <t>Kyrkan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46227</v>
      </c>
      <c r="F447" t="inlineStr">
        <is>
          <t>UPPSALA LÄN</t>
        </is>
      </c>
      <c r="G447" t="inlineStr">
        <is>
          <t>HEBY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19718-2023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45050</v>
      </c>
      <c r="E448" s="1" t="n">
        <v>46227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44609</v>
      </c>
      <c r="E449" s="1" t="n">
        <v>46227</v>
      </c>
      <c r="F449" t="inlineStr">
        <is>
          <t>UPPSALA LÄN</t>
        </is>
      </c>
      <c r="G449" t="inlineStr">
        <is>
          <t>HEBY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46227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46227</v>
      </c>
      <c r="F451" t="inlineStr">
        <is>
          <t>UPPSALA LÄN</t>
        </is>
      </c>
      <c r="G451" t="inlineStr">
        <is>
          <t>HEBY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46227</v>
      </c>
      <c r="F452" t="inlineStr">
        <is>
          <t>UPPSALA LÄN</t>
        </is>
      </c>
      <c r="G452" t="inlineStr">
        <is>
          <t>HEBY</t>
        </is>
      </c>
      <c r="H452" t="inlineStr">
        <is>
          <t>Allmännings- och besparingsskogar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46227</v>
      </c>
      <c r="F453" t="inlineStr">
        <is>
          <t>UPPSALA LÄN</t>
        </is>
      </c>
      <c r="G453" t="inlineStr">
        <is>
          <t>HEBY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46227</v>
      </c>
      <c r="F454" t="inlineStr">
        <is>
          <t>UPPSALA LÄN</t>
        </is>
      </c>
      <c r="G454" t="inlineStr">
        <is>
          <t>HEBY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45821-2023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45195</v>
      </c>
      <c r="E455" s="1" t="n">
        <v>46227</v>
      </c>
      <c r="F455" t="inlineStr">
        <is>
          <t>UPPSALA LÄN</t>
        </is>
      </c>
      <c r="G455" t="inlineStr">
        <is>
          <t>HEBY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46227</v>
      </c>
      <c r="F456" t="inlineStr">
        <is>
          <t>UPPSALA LÄN</t>
        </is>
      </c>
      <c r="G456" t="inlineStr">
        <is>
          <t>HEBY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45133</v>
      </c>
      <c r="E457" s="1" t="n">
        <v>46227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19896-2022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44697</v>
      </c>
      <c r="E458" s="1" t="n">
        <v>46227</v>
      </c>
      <c r="F458" t="inlineStr">
        <is>
          <t>UPPSALA LÄN</t>
        </is>
      </c>
      <c r="G458" t="inlineStr">
        <is>
          <t>HEBY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44841</v>
      </c>
      <c r="E459" s="1" t="n">
        <v>46227</v>
      </c>
      <c r="F459" t="inlineStr">
        <is>
          <t>UPPSALA LÄN</t>
        </is>
      </c>
      <c r="G459" t="inlineStr">
        <is>
          <t>HEBY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34593-2023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45138</v>
      </c>
      <c r="E460" s="1" t="n">
        <v>46227</v>
      </c>
      <c r="F460" t="inlineStr">
        <is>
          <t>UPPSALA LÄN</t>
        </is>
      </c>
      <c r="G460" t="inlineStr">
        <is>
          <t>HEBY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45891</v>
      </c>
      <c r="E461" s="1" t="n">
        <v>46227</v>
      </c>
      <c r="F461" t="inlineStr">
        <is>
          <t>UPPSALA LÄN</t>
        </is>
      </c>
      <c r="G461" t="inlineStr">
        <is>
          <t>HEBY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46227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45904</v>
      </c>
      <c r="E463" s="1" t="n">
        <v>46227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öst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19654-2022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44694</v>
      </c>
      <c r="E464" s="1" t="n">
        <v>46227</v>
      </c>
      <c r="F464" t="inlineStr">
        <is>
          <t>UPPSALA LÄN</t>
        </is>
      </c>
      <c r="G464" t="inlineStr">
        <is>
          <t>HEBY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46227</v>
      </c>
      <c r="F465" t="inlineStr">
        <is>
          <t>UPPSALA LÄN</t>
        </is>
      </c>
      <c r="G465" t="inlineStr">
        <is>
          <t>HEBY</t>
        </is>
      </c>
      <c r="H465" t="inlineStr">
        <is>
          <t>Övriga Aktiebolag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33379-2022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44788</v>
      </c>
      <c r="E466" s="1" t="n">
        <v>46227</v>
      </c>
      <c r="F466" t="inlineStr">
        <is>
          <t>UPPSALA LÄN</t>
        </is>
      </c>
      <c r="G466" t="inlineStr">
        <is>
          <t>HEBY</t>
        </is>
      </c>
      <c r="I466" t="n">
        <v>18.8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45243</v>
      </c>
      <c r="E467" s="1" t="n">
        <v>46227</v>
      </c>
      <c r="F467" t="inlineStr">
        <is>
          <t>UPPSALA LÄN</t>
        </is>
      </c>
      <c r="G467" t="inlineStr">
        <is>
          <t>HEBY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26100-2025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45805</v>
      </c>
      <c r="E468" s="1" t="n">
        <v>46227</v>
      </c>
      <c r="F468" t="inlineStr">
        <is>
          <t>UPPSALA LÄN</t>
        </is>
      </c>
      <c r="G468" t="inlineStr">
        <is>
          <t>HEBY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20719-2026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46141</v>
      </c>
      <c r="E469" s="1" t="n">
        <v>46227</v>
      </c>
      <c r="F469" t="inlineStr">
        <is>
          <t>UPPSALA LÄN</t>
        </is>
      </c>
      <c r="G469" t="inlineStr">
        <is>
          <t>HEBY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45250</v>
      </c>
      <c r="E470" s="1" t="n">
        <v>46227</v>
      </c>
      <c r="F470" t="inlineStr">
        <is>
          <t>UPPSALA LÄN</t>
        </is>
      </c>
      <c r="G470" t="inlineStr">
        <is>
          <t>HEBY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29340-2022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44752</v>
      </c>
      <c r="E471" s="1" t="n">
        <v>46227</v>
      </c>
      <c r="F471" t="inlineStr">
        <is>
          <t>UPPSALA LÄN</t>
        </is>
      </c>
      <c r="G471" t="inlineStr">
        <is>
          <t>HEBY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45175</v>
      </c>
      <c r="E472" s="1" t="n">
        <v>46227</v>
      </c>
      <c r="F472" t="inlineStr">
        <is>
          <t>UPPSALA LÄN</t>
        </is>
      </c>
      <c r="G472" t="inlineStr">
        <is>
          <t>HEBY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44791</v>
      </c>
      <c r="E473" s="1" t="n">
        <v>46227</v>
      </c>
      <c r="F473" t="inlineStr">
        <is>
          <t>UPPSALA LÄN</t>
        </is>
      </c>
      <c r="G473" t="inlineStr">
        <is>
          <t>HEBY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46227</v>
      </c>
      <c r="F474" t="inlineStr">
        <is>
          <t>UPPSALA LÄN</t>
        </is>
      </c>
      <c r="G474" t="inlineStr">
        <is>
          <t>HEBY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44734</v>
      </c>
      <c r="E475" s="1" t="n">
        <v>46227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46227</v>
      </c>
      <c r="F476" t="inlineStr">
        <is>
          <t>UPPSALA LÄN</t>
        </is>
      </c>
      <c r="G476" t="inlineStr">
        <is>
          <t>HEBY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3368-2024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45317</v>
      </c>
      <c r="E477" s="1" t="n">
        <v>46227</v>
      </c>
      <c r="F477" t="inlineStr">
        <is>
          <t>UPPSALA LÄN</t>
        </is>
      </c>
      <c r="G477" t="inlineStr">
        <is>
          <t>HEBY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26085-2022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44734</v>
      </c>
      <c r="E478" s="1" t="n">
        <v>46227</v>
      </c>
      <c r="F478" t="inlineStr">
        <is>
          <t>UPPSALA LÄN</t>
        </is>
      </c>
      <c r="G478" t="inlineStr">
        <is>
          <t>HEBY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44753</v>
      </c>
      <c r="E479" s="1" t="n">
        <v>46227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46227</v>
      </c>
      <c r="F480" t="inlineStr">
        <is>
          <t>UPPSALA LÄN</t>
        </is>
      </c>
      <c r="G480" t="inlineStr">
        <is>
          <t>HEBY</t>
        </is>
      </c>
      <c r="H480" t="inlineStr">
        <is>
          <t>Allmännings- och besparingsskogar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45118</v>
      </c>
      <c r="E481" s="1" t="n">
        <v>46227</v>
      </c>
      <c r="F481" t="inlineStr">
        <is>
          <t>UPPSALA LÄN</t>
        </is>
      </c>
      <c r="G481" t="inlineStr">
        <is>
          <t>HEBY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45293</v>
      </c>
      <c r="E482" s="1" t="n">
        <v>46227</v>
      </c>
      <c r="F482" t="inlineStr">
        <is>
          <t>UPPSALA LÄN</t>
        </is>
      </c>
      <c r="G482" t="inlineStr">
        <is>
          <t>HEBY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45805</v>
      </c>
      <c r="E483" s="1" t="n">
        <v>46227</v>
      </c>
      <c r="F483" t="inlineStr">
        <is>
          <t>UPPSALA LÄN</t>
        </is>
      </c>
      <c r="G483" t="inlineStr">
        <is>
          <t>HEBY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46227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44781</v>
      </c>
      <c r="E485" s="1" t="n">
        <v>46227</v>
      </c>
      <c r="F485" t="inlineStr">
        <is>
          <t>UPPSALA LÄN</t>
        </is>
      </c>
      <c r="G485" t="inlineStr">
        <is>
          <t>HEBY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19559-2025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46227</v>
      </c>
      <c r="F486" t="inlineStr">
        <is>
          <t>UPPSALA LÄN</t>
        </is>
      </c>
      <c r="G486" t="inlineStr">
        <is>
          <t>HEBY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45128</v>
      </c>
      <c r="E487" s="1" t="n">
        <v>46227</v>
      </c>
      <c r="F487" t="inlineStr">
        <is>
          <t>UPPSALA LÄN</t>
        </is>
      </c>
      <c r="G487" t="inlineStr">
        <is>
          <t>HEBY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45197</v>
      </c>
      <c r="E488" s="1" t="n">
        <v>46227</v>
      </c>
      <c r="F488" t="inlineStr">
        <is>
          <t>UPPSALA LÄN</t>
        </is>
      </c>
      <c r="G488" t="inlineStr">
        <is>
          <t>HEBY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46227</v>
      </c>
      <c r="F489" t="inlineStr">
        <is>
          <t>UPPSALA LÄN</t>
        </is>
      </c>
      <c r="G489" t="inlineStr">
        <is>
          <t>HEBY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46227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44914</v>
      </c>
      <c r="E491" s="1" t="n">
        <v>46227</v>
      </c>
      <c r="F491" t="inlineStr">
        <is>
          <t>UPPSALA LÄN</t>
        </is>
      </c>
      <c r="G491" t="inlineStr">
        <is>
          <t>HEBY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46227</v>
      </c>
      <c r="F492" t="inlineStr">
        <is>
          <t>UPPSALA LÄN</t>
        </is>
      </c>
      <c r="G492" t="inlineStr">
        <is>
          <t>HEBY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45406</v>
      </c>
      <c r="E493" s="1" t="n">
        <v>46227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60461-2022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44911</v>
      </c>
      <c r="E494" s="1" t="n">
        <v>46227</v>
      </c>
      <c r="F494" t="inlineStr">
        <is>
          <t>UPPSALA LÄN</t>
        </is>
      </c>
      <c r="G494" t="inlineStr">
        <is>
          <t>HEBY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19721-2022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44694</v>
      </c>
      <c r="E495" s="1" t="n">
        <v>46227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8790-2023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44978</v>
      </c>
      <c r="E496" s="1" t="n">
        <v>46227</v>
      </c>
      <c r="F496" t="inlineStr">
        <is>
          <t>UPPSALA LÄN</t>
        </is>
      </c>
      <c r="G496" t="inlineStr">
        <is>
          <t>HEBY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60295-2021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44495</v>
      </c>
      <c r="E497" s="1" t="n">
        <v>46227</v>
      </c>
      <c r="F497" t="inlineStr">
        <is>
          <t>UPPSALA LÄN</t>
        </is>
      </c>
      <c r="G497" t="inlineStr">
        <is>
          <t>HEBY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46227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15326-2022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44659</v>
      </c>
      <c r="E499" s="1" t="n">
        <v>46227</v>
      </c>
      <c r="F499" t="inlineStr">
        <is>
          <t>UPPSALA LÄN</t>
        </is>
      </c>
      <c r="G499" t="inlineStr">
        <is>
          <t>HEBY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46227</v>
      </c>
      <c r="F500" t="inlineStr">
        <is>
          <t>UPPSALA LÄN</t>
        </is>
      </c>
      <c r="G500" t="inlineStr">
        <is>
          <t>HEBY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8856-2022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44614</v>
      </c>
      <c r="E501" s="1" t="n">
        <v>46227</v>
      </c>
      <c r="F501" t="inlineStr">
        <is>
          <t>UPPSALA LÄN</t>
        </is>
      </c>
      <c r="G501" t="inlineStr">
        <is>
          <t>HEBY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23411-2024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45453</v>
      </c>
      <c r="E502" s="1" t="n">
        <v>46227</v>
      </c>
      <c r="F502" t="inlineStr">
        <is>
          <t>UPPSALA LÄN</t>
        </is>
      </c>
      <c r="G502" t="inlineStr">
        <is>
          <t>HEBY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44942</v>
      </c>
      <c r="E503" s="1" t="n">
        <v>46227</v>
      </c>
      <c r="F503" t="inlineStr">
        <is>
          <t>UPPSALA LÄN</t>
        </is>
      </c>
      <c r="G503" t="inlineStr">
        <is>
          <t>HEBY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44942</v>
      </c>
      <c r="E504" s="1" t="n">
        <v>46227</v>
      </c>
      <c r="F504" t="inlineStr">
        <is>
          <t>UPPSALA LÄN</t>
        </is>
      </c>
      <c r="G504" t="inlineStr">
        <is>
          <t>HEBY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46227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46227</v>
      </c>
      <c r="F506" t="inlineStr">
        <is>
          <t>UPPSALA LÄN</t>
        </is>
      </c>
      <c r="G506" t="inlineStr">
        <is>
          <t>HEBY</t>
        </is>
      </c>
      <c r="H506" t="inlineStr">
        <is>
          <t>Kyrkan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46227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35.2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46227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45664</v>
      </c>
      <c r="E509" s="1" t="n">
        <v>46227</v>
      </c>
      <c r="F509" t="inlineStr">
        <is>
          <t>UPPSALA LÄN</t>
        </is>
      </c>
      <c r="G509" t="inlineStr">
        <is>
          <t>HEBY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46227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46.8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44602</v>
      </c>
      <c r="E511" s="1" t="n">
        <v>46227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46227</v>
      </c>
      <c r="F512" t="inlineStr">
        <is>
          <t>UPPSALA LÄN</t>
        </is>
      </c>
      <c r="G512" t="inlineStr">
        <is>
          <t>HEBY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46227</v>
      </c>
      <c r="F513" t="inlineStr">
        <is>
          <t>UPPSALA LÄN</t>
        </is>
      </c>
      <c r="G513" t="inlineStr">
        <is>
          <t>HEBY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18148-2022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44684</v>
      </c>
      <c r="E514" s="1" t="n">
        <v>46227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41.8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66873-2021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44522</v>
      </c>
      <c r="E515" s="1" t="n">
        <v>46227</v>
      </c>
      <c r="F515" t="inlineStr">
        <is>
          <t>UPPSALA LÄN</t>
        </is>
      </c>
      <c r="G515" t="inlineStr">
        <is>
          <t>HEBY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44753</v>
      </c>
      <c r="E516" s="1" t="n">
        <v>46227</v>
      </c>
      <c r="F516" t="inlineStr">
        <is>
          <t>UPPSALA LÄN</t>
        </is>
      </c>
      <c r="G516" t="inlineStr">
        <is>
          <t>HEBY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45006</v>
      </c>
      <c r="E517" s="1" t="n">
        <v>46227</v>
      </c>
      <c r="F517" t="inlineStr">
        <is>
          <t>UPPSALA LÄN</t>
        </is>
      </c>
      <c r="G517" t="inlineStr">
        <is>
          <t>HEBY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25995-2022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44734</v>
      </c>
      <c r="E518" s="1" t="n">
        <v>46227</v>
      </c>
      <c r="F518" t="inlineStr">
        <is>
          <t>UPPSALA LÄN</t>
        </is>
      </c>
      <c r="G518" t="inlineStr">
        <is>
          <t>HEBY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23930-2026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46227</v>
      </c>
      <c r="F519" t="inlineStr">
        <is>
          <t>UPPSALA LÄN</t>
        </is>
      </c>
      <c r="G519" t="inlineStr">
        <is>
          <t>HEBY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45083</v>
      </c>
      <c r="E520" s="1" t="n">
        <v>46227</v>
      </c>
      <c r="F520" t="inlineStr">
        <is>
          <t>UPPSALA LÄN</t>
        </is>
      </c>
      <c r="G520" t="inlineStr">
        <is>
          <t>HEBY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46227</v>
      </c>
      <c r="F521" t="inlineStr">
        <is>
          <t>UPPSALA LÄN</t>
        </is>
      </c>
      <c r="G521" t="inlineStr">
        <is>
          <t>HEBY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44701</v>
      </c>
      <c r="E522" s="1" t="n">
        <v>46227</v>
      </c>
      <c r="F522" t="inlineStr">
        <is>
          <t>UPPSALA LÄN</t>
        </is>
      </c>
      <c r="G522" t="inlineStr">
        <is>
          <t>HEBY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45013</v>
      </c>
      <c r="E523" s="1" t="n">
        <v>46227</v>
      </c>
      <c r="F523" t="inlineStr">
        <is>
          <t>UPPSALA LÄN</t>
        </is>
      </c>
      <c r="G523" t="inlineStr">
        <is>
          <t>HEBY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56352-2021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44480</v>
      </c>
      <c r="E524" s="1" t="n">
        <v>46227</v>
      </c>
      <c r="F524" t="inlineStr">
        <is>
          <t>UPPSALA LÄN</t>
        </is>
      </c>
      <c r="G524" t="inlineStr">
        <is>
          <t>HEBY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46227</v>
      </c>
      <c r="F525" t="inlineStr">
        <is>
          <t>UPPSALA LÄN</t>
        </is>
      </c>
      <c r="G525" t="inlineStr">
        <is>
          <t>HEBY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46227</v>
      </c>
      <c r="F526" t="inlineStr">
        <is>
          <t>UPPSALA LÄN</t>
        </is>
      </c>
      <c r="G526" t="inlineStr">
        <is>
          <t>HEBY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51521-2023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46227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9769-2023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44984</v>
      </c>
      <c r="E528" s="1" t="n">
        <v>46227</v>
      </c>
      <c r="F528" t="inlineStr">
        <is>
          <t>UPPSALA LÄN</t>
        </is>
      </c>
      <c r="G528" t="inlineStr">
        <is>
          <t>HEBY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46227</v>
      </c>
      <c r="F529" t="inlineStr">
        <is>
          <t>UPPSALA LÄN</t>
        </is>
      </c>
      <c r="G529" t="inlineStr">
        <is>
          <t>HEBY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46227</v>
      </c>
      <c r="F530" t="inlineStr">
        <is>
          <t>UPPSALA LÄN</t>
        </is>
      </c>
      <c r="G530" t="inlineStr">
        <is>
          <t>HEBY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45964-2021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44441</v>
      </c>
      <c r="E531" s="1" t="n">
        <v>46227</v>
      </c>
      <c r="F531" t="inlineStr">
        <is>
          <t>UPPSALA LÄN</t>
        </is>
      </c>
      <c r="G531" t="inlineStr">
        <is>
          <t>HEBY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13243-2022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44644</v>
      </c>
      <c r="E532" s="1" t="n">
        <v>46227</v>
      </c>
      <c r="F532" t="inlineStr">
        <is>
          <t>UPPSALA LÄN</t>
        </is>
      </c>
      <c r="G532" t="inlineStr">
        <is>
          <t>HEBY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45967</v>
      </c>
      <c r="E533" s="1" t="n">
        <v>46227</v>
      </c>
      <c r="F533" t="inlineStr">
        <is>
          <t>UPPSALA LÄN</t>
        </is>
      </c>
      <c r="G533" t="inlineStr">
        <is>
          <t>HEBY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45035</v>
      </c>
      <c r="E534" s="1" t="n">
        <v>46227</v>
      </c>
      <c r="F534" t="inlineStr">
        <is>
          <t>UPPSALA LÄN</t>
        </is>
      </c>
      <c r="G534" t="inlineStr">
        <is>
          <t>HEBY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46227</v>
      </c>
      <c r="F535" t="inlineStr">
        <is>
          <t>UPPSALA LÄN</t>
        </is>
      </c>
      <c r="G535" t="inlineStr">
        <is>
          <t>HEBY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45639</v>
      </c>
      <c r="E536" s="1" t="n">
        <v>46227</v>
      </c>
      <c r="F536" t="inlineStr">
        <is>
          <t>UPPSALA LÄN</t>
        </is>
      </c>
      <c r="G536" t="inlineStr">
        <is>
          <t>HEBY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46227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46227</v>
      </c>
      <c r="F538" t="inlineStr">
        <is>
          <t>UPPSALA LÄN</t>
        </is>
      </c>
      <c r="G538" t="inlineStr">
        <is>
          <t>HEBY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60788-2022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44914</v>
      </c>
      <c r="E539" s="1" t="n">
        <v>46227</v>
      </c>
      <c r="F539" t="inlineStr">
        <is>
          <t>UPPSALA LÄN</t>
        </is>
      </c>
      <c r="G539" t="inlineStr">
        <is>
          <t>HEBY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45376</v>
      </c>
      <c r="E540" s="1" t="n">
        <v>46227</v>
      </c>
      <c r="F540" t="inlineStr">
        <is>
          <t>UPPSALA LÄN</t>
        </is>
      </c>
      <c r="G540" t="inlineStr">
        <is>
          <t>HEBY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45252</v>
      </c>
      <c r="E541" s="1" t="n">
        <v>46227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45111</v>
      </c>
      <c r="E542" s="1" t="n">
        <v>46227</v>
      </c>
      <c r="F542" t="inlineStr">
        <is>
          <t>UPPSALA LÄN</t>
        </is>
      </c>
      <c r="G542" t="inlineStr">
        <is>
          <t>HEBY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45135</v>
      </c>
      <c r="E543" s="1" t="n">
        <v>46227</v>
      </c>
      <c r="F543" t="inlineStr">
        <is>
          <t>UPPSALA LÄN</t>
        </is>
      </c>
      <c r="G543" t="inlineStr">
        <is>
          <t>HEBY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45132</v>
      </c>
      <c r="E544" s="1" t="n">
        <v>46227</v>
      </c>
      <c r="F544" t="inlineStr">
        <is>
          <t>UPPSALA LÄN</t>
        </is>
      </c>
      <c r="G544" t="inlineStr">
        <is>
          <t>HEBY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46223</v>
      </c>
      <c r="E545" s="1" t="n">
        <v>46227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väst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46223</v>
      </c>
      <c r="E546" s="1" t="n">
        <v>46227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46227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46227</v>
      </c>
      <c r="F548" t="inlineStr">
        <is>
          <t>UPPSALA LÄN</t>
        </is>
      </c>
      <c r="G548" t="inlineStr">
        <is>
          <t>HEBY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46227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46227</v>
      </c>
      <c r="F550" t="inlineStr">
        <is>
          <t>UPPSALA LÄN</t>
        </is>
      </c>
      <c r="G550" t="inlineStr">
        <is>
          <t>HEBY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46220</v>
      </c>
      <c r="E551" s="1" t="n">
        <v>46227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55.9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50172-2024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45599</v>
      </c>
      <c r="E552" s="1" t="n">
        <v>46227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7173-2024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45344</v>
      </c>
      <c r="E553" s="1" t="n">
        <v>46227</v>
      </c>
      <c r="F553" t="inlineStr">
        <is>
          <t>UPPSALA LÄN</t>
        </is>
      </c>
      <c r="G553" t="inlineStr">
        <is>
          <t>HEBY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46227</v>
      </c>
      <c r="F554" t="inlineStr">
        <is>
          <t>UPPSALA LÄN</t>
        </is>
      </c>
      <c r="G554" t="inlineStr">
        <is>
          <t>HEBY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60456-2022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44911</v>
      </c>
      <c r="E555" s="1" t="n">
        <v>46227</v>
      </c>
      <c r="F555" t="inlineStr">
        <is>
          <t>UPPSALA LÄN</t>
        </is>
      </c>
      <c r="G555" t="inlineStr">
        <is>
          <t>HEBY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46227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46227</v>
      </c>
      <c r="F557" t="inlineStr">
        <is>
          <t>UPPSALA LÄN</t>
        </is>
      </c>
      <c r="G557" t="inlineStr">
        <is>
          <t>HEBY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45519</v>
      </c>
      <c r="E558" s="1" t="n">
        <v>46227</v>
      </c>
      <c r="F558" t="inlineStr">
        <is>
          <t>UPPSALA LÄN</t>
        </is>
      </c>
      <c r="G558" t="inlineStr">
        <is>
          <t>HEBY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45519</v>
      </c>
      <c r="E559" s="1" t="n">
        <v>46227</v>
      </c>
      <c r="F559" t="inlineStr">
        <is>
          <t>UPPSALA LÄN</t>
        </is>
      </c>
      <c r="G559" t="inlineStr">
        <is>
          <t>HEBY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58124-2022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46227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45058</v>
      </c>
      <c r="E561" s="1" t="n">
        <v>46227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45209</v>
      </c>
      <c r="E562" s="1" t="n">
        <v>46227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44979</v>
      </c>
      <c r="E563" s="1" t="n">
        <v>46227</v>
      </c>
      <c r="F563" t="inlineStr">
        <is>
          <t>UPPSALA LÄN</t>
        </is>
      </c>
      <c r="G563" t="inlineStr">
        <is>
          <t>HEBY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46227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45321</v>
      </c>
      <c r="E565" s="1" t="n">
        <v>46227</v>
      </c>
      <c r="F565" t="inlineStr">
        <is>
          <t>UPPSALA LÄN</t>
        </is>
      </c>
      <c r="G565" t="inlineStr">
        <is>
          <t>HEBY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52955-2022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44875</v>
      </c>
      <c r="E566" s="1" t="n">
        <v>46227</v>
      </c>
      <c r="F566" t="inlineStr">
        <is>
          <t>UPPSALA LÄN</t>
        </is>
      </c>
      <c r="G566" t="inlineStr">
        <is>
          <t>HEBY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45117</v>
      </c>
      <c r="E567" s="1" t="n">
        <v>46227</v>
      </c>
      <c r="F567" t="inlineStr">
        <is>
          <t>UPPSALA LÄN</t>
        </is>
      </c>
      <c r="G567" t="inlineStr">
        <is>
          <t>HEBY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46227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46227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517-2022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44588</v>
      </c>
      <c r="E570" s="1" t="n">
        <v>46227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30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2310-2022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44684</v>
      </c>
      <c r="E571" s="1" t="n">
        <v>46227</v>
      </c>
      <c r="F571" t="inlineStr">
        <is>
          <t>UPPSALA LÄN</t>
        </is>
      </c>
      <c r="G571" t="inlineStr">
        <is>
          <t>HEBY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1330-2022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44629</v>
      </c>
      <c r="E572" s="1" t="n">
        <v>46227</v>
      </c>
      <c r="F572" t="inlineStr">
        <is>
          <t>UPPSALA LÄN</t>
        </is>
      </c>
      <c r="G572" t="inlineStr">
        <is>
          <t>HEBY</t>
        </is>
      </c>
      <c r="I572" t="n">
        <v>25.1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  <c r="Z572">
        <f>HYPERLINK("https://klasma.github.io/Logging_0331/knärot/S 1330-2022 karta knärot.png", "S 1330-2022")</f>
        <v/>
      </c>
      <c r="AA572">
        <f>HYPERLINK("https://klasma.github.io/Logging_0331/klagomål/S 1330-2022 FSC-klagomål.docx", "S 1330-2022")</f>
        <v/>
      </c>
      <c r="AB572">
        <f>HYPERLINK("https://klasma.github.io/Logging_0331/klagomålsmail/S 1330-2022 FSC-klagomål mail.docx", "S 1330-2022")</f>
        <v/>
      </c>
      <c r="AC572">
        <f>HYPERLINK("https://klasma.github.io/Logging_0331/tillsyn/S 1330-2022 tillsynsbegäran.docx", "S 1330-2022")</f>
        <v/>
      </c>
      <c r="AD572">
        <f>HYPERLINK("https://klasma.github.io/Logging_0331/tillsynsmail/S 1330-2022 tillsynsbegäran mail.docx", "S 1330-2022")</f>
        <v/>
      </c>
    </row>
    <row r="573" ht="15" customHeight="1">
      <c r="A573" t="inlineStr">
        <is>
          <t>S 3256-2023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45191</v>
      </c>
      <c r="E573" s="1" t="n">
        <v>46227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5859-2021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44438</v>
      </c>
      <c r="E574" s="1" t="n">
        <v>46227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4466-2022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44788</v>
      </c>
      <c r="E575" s="1" t="n">
        <v>46227</v>
      </c>
      <c r="F575" t="inlineStr">
        <is>
          <t>UPPSALA LÄN</t>
        </is>
      </c>
      <c r="G575" t="inlineStr">
        <is>
          <t>HEBY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4423-2024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45590</v>
      </c>
      <c r="E576" s="1" t="n">
        <v>46227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47.6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46227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2797-2024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45485</v>
      </c>
      <c r="E578" s="1" t="n">
        <v>46227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398-2025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45699</v>
      </c>
      <c r="E579" s="1" t="n">
        <v>46227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45411</v>
      </c>
      <c r="E580" s="1" t="n">
        <v>46227</v>
      </c>
      <c r="F580" t="inlineStr">
        <is>
          <t>UPPSALA LÄN</t>
        </is>
      </c>
      <c r="G580" t="inlineStr">
        <is>
          <t>HEBY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4464-2022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46227</v>
      </c>
      <c r="F581" t="inlineStr">
        <is>
          <t>UPPSALA LÄN</t>
        </is>
      </c>
      <c r="G581" t="inlineStr">
        <is>
          <t>HEBY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46227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46227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46227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46227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2026-07-24T01:48:29Z</dcterms:created>
  <dcterms:modified xmlns:dcterms="http://purl.org/dc/terms/" xmlns:xsi="http://www.w3.org/2001/XMLSchema-instance" xsi:type="dcterms:W3CDTF">2026-07-24T01:48:29Z</dcterms:modified>
</cp:coreProperties>
</file>
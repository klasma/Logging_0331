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46235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46235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46235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46235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46235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46235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46235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46235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46235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46235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46235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46235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46235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46235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46235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46235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46235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46235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46235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46235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46235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46235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46235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46235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46235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46235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46235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46235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46235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46235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46235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46235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46235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46235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46235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46235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46235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46235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46235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46235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46235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46235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46235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A 63982-2023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46235</v>
      </c>
      <c r="F51" t="inlineStr">
        <is>
          <t>UPPSALA LÄN</t>
        </is>
      </c>
      <c r="G51" t="inlineStr">
        <is>
          <t>HEBY</t>
        </is>
      </c>
      <c r="H51" t="inlineStr">
        <is>
          <t>Kyrkan</t>
        </is>
      </c>
      <c r="I51" t="n">
        <v>1.6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Större flatbagge
Tjäder</t>
        </is>
      </c>
      <c r="W51">
        <f>HYPERLINK("https://klasma.github.io/Logging_0331/artfynd/A 63982-2023 artfynd.xlsx", "A 63982-2023")</f>
        <v/>
      </c>
      <c r="X51">
        <f>HYPERLINK("https://klasma.github.io/Logging_0331/kartor/A 63982-2023 karta.png", "A 63982-2023")</f>
        <v/>
      </c>
      <c r="Y51">
        <f>HYPERLINK("https://klasma.github.io/Logging_0331/kartor_geotiff/A 63982-2023 georefererad karta.tif", "A 63982-2023")</f>
        <v/>
      </c>
      <c r="AA51">
        <f>HYPERLINK("https://klasma.github.io/Logging_0331/klagomål/A 63982-2023 FSC-klagomål.docx", "A 63982-2023")</f>
        <v/>
      </c>
      <c r="AB51">
        <f>HYPERLINK("https://klasma.github.io/Logging_0331/klagomålsmail/A 63982-2023 FSC-klagomål mail.docx", "A 63982-2023")</f>
        <v/>
      </c>
      <c r="AC51">
        <f>HYPERLINK("https://klasma.github.io/Logging_0331/tillsyn/A 63982-2023 tillsynsbegäran.docx", "A 63982-2023")</f>
        <v/>
      </c>
      <c r="AD51">
        <f>HYPERLINK("https://klasma.github.io/Logging_0331/tillsynsmail/A 63982-2023 tillsynsbegäran mail.docx", "A 63982-2023")</f>
        <v/>
      </c>
      <c r="AE51">
        <f>HYPERLINK("https://klasma.github.io/Logging_0331/fåglar/A 63982-2023 prioriterade fågelarter.docx", "A 63982-2023")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46235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46235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46235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46235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46235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55663-2024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46235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HYPERLINK("https://klasma.github.io/Logging_0331/artfynd/A 55663-2024 artfynd.xlsx", "A 55663-2024")</f>
        <v/>
      </c>
      <c r="X57">
        <f>HYPERLINK("https://klasma.github.io/Logging_0331/kartor/A 55663-2024 karta.png", "A 55663-2024")</f>
        <v/>
      </c>
      <c r="Y57">
        <f>HYPERLINK("https://klasma.github.io/Logging_0331/kartor_geotiff/A 55663-2024 georefererad karta.tif", "A 55663-2024")</f>
        <v/>
      </c>
      <c r="AA57">
        <f>HYPERLINK("https://klasma.github.io/Logging_0331/klagomål/A 55663-2024 FSC-klagomål.docx", "A 55663-2024")</f>
        <v/>
      </c>
      <c r="AB57">
        <f>HYPERLINK("https://klasma.github.io/Logging_0331/klagomålsmail/A 55663-2024 FSC-klagomål mail.docx", "A 55663-2024")</f>
        <v/>
      </c>
      <c r="AC57">
        <f>HYPERLINK("https://klasma.github.io/Logging_0331/tillsyn/A 55663-2024 tillsynsbegäran.docx", "A 55663-2024")</f>
        <v/>
      </c>
      <c r="AD57">
        <f>HYPERLINK("https://klasma.github.io/Logging_0331/tillsynsmail/A 55663-2024 tillsynsbegäran mail.docx", "A 55663-2024")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46235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46235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46235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3374-2024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46235</v>
      </c>
      <c r="F61" t="inlineStr">
        <is>
          <t>UPPSALA LÄN</t>
        </is>
      </c>
      <c r="G61" t="inlineStr">
        <is>
          <t>HEBY</t>
        </is>
      </c>
      <c r="I61" t="n">
        <v>8.4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Berggräsfjäril</t>
        </is>
      </c>
      <c r="W61">
        <f>HYPERLINK("https://klasma.github.io/Logging_0331/artfynd/A 3374-2024 artfynd.xlsx", "A 3374-2024")</f>
        <v/>
      </c>
      <c r="X61">
        <f>HYPERLINK("https://klasma.github.io/Logging_0331/kartor/A 3374-2024 karta.png", "A 3374-2024")</f>
        <v/>
      </c>
      <c r="Y61">
        <f>HYPERLINK("https://klasma.github.io/Logging_0331/kartor_geotiff/A 3374-2024 georefererad karta.tif", "A 3374-2024")</f>
        <v/>
      </c>
      <c r="AA61">
        <f>HYPERLINK("https://klasma.github.io/Logging_0331/klagomål/A 3374-2024 FSC-klagomål.docx", "A 3374-2024")</f>
        <v/>
      </c>
      <c r="AB61">
        <f>HYPERLINK("https://klasma.github.io/Logging_0331/klagomålsmail/A 3374-2024 FSC-klagomål mail.docx", "A 3374-2024")</f>
        <v/>
      </c>
      <c r="AC61">
        <f>HYPERLINK("https://klasma.github.io/Logging_0331/tillsyn/A 3374-2024 tillsynsbegäran.docx", "A 3374-2024")</f>
        <v/>
      </c>
      <c r="AD61">
        <f>HYPERLINK("https://klasma.github.io/Logging_0331/tillsynsmail/A 3374-2024 tillsynsbegäran mail.docx", "A 3374-2024")</f>
        <v/>
      </c>
    </row>
    <row r="62" ht="15" customHeight="1">
      <c r="A62" t="inlineStr">
        <is>
          <t>A 21043-2026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46235</v>
      </c>
      <c r="F62" t="inlineStr">
        <is>
          <t>UPPSALA LÄN</t>
        </is>
      </c>
      <c r="G62" t="inlineStr">
        <is>
          <t>HEBY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Backklöver</t>
        </is>
      </c>
      <c r="W62">
        <f>HYPERLINK("https://klasma.github.io/Logging_0331/artfynd/A 21043-2026 artfynd.xlsx", "A 21043-2026")</f>
        <v/>
      </c>
      <c r="X62">
        <f>HYPERLINK("https://klasma.github.io/Logging_0331/kartor/A 21043-2026 karta.png", "A 21043-2026")</f>
        <v/>
      </c>
      <c r="Y62">
        <f>HYPERLINK("https://klasma.github.io/Logging_0331/kartor_geotiff/A 21043-2026 georefererad karta.tif", "A 21043-2026")</f>
        <v/>
      </c>
      <c r="AA62">
        <f>HYPERLINK("https://klasma.github.io/Logging_0331/klagomål/A 21043-2026 FSC-klagomål.docx", "A 21043-2026")</f>
        <v/>
      </c>
      <c r="AB62">
        <f>HYPERLINK("https://klasma.github.io/Logging_0331/klagomålsmail/A 21043-2026 FSC-klagomål mail.docx", "A 21043-2026")</f>
        <v/>
      </c>
      <c r="AC62">
        <f>HYPERLINK("https://klasma.github.io/Logging_0331/tillsyn/A 21043-2026 tillsynsbegäran.docx", "A 21043-2026")</f>
        <v/>
      </c>
      <c r="AD62">
        <f>HYPERLINK("https://klasma.github.io/Logging_0331/tillsynsmail/A 21043-2026 tillsynsbegäran mail.docx", "A 21043-2026")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46235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46235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Kandelabersvamp</t>
        </is>
      </c>
      <c r="W64">
        <f>HYPERLINK("https://klasma.github.io/Logging_0331/artfynd/A 55763-2025 artfynd.xlsx", "A 55763-2025")</f>
        <v/>
      </c>
      <c r="X64">
        <f>HYPERLINK("https://klasma.github.io/Logging_0331/kartor/A 55763-2025 karta.png", "A 55763-2025")</f>
        <v/>
      </c>
      <c r="Y64">
        <f>HYPERLINK("https://klasma.github.io/Logging_0331/kartor_geotiff/A 55763-2025 georefererad karta.tif", "A 55763-2025")</f>
        <v/>
      </c>
      <c r="AA64">
        <f>HYPERLINK("https://klasma.github.io/Logging_0331/klagomål/A 55763-2025 FSC-klagomål.docx", "A 55763-2025")</f>
        <v/>
      </c>
      <c r="AB64">
        <f>HYPERLINK("https://klasma.github.io/Logging_0331/klagomålsmail/A 55763-2025 FSC-klagomål mail.docx", "A 55763-2025")</f>
        <v/>
      </c>
      <c r="AC64">
        <f>HYPERLINK("https://klasma.github.io/Logging_0331/tillsyn/A 55763-2025 tillsynsbegäran.docx", "A 55763-2025")</f>
        <v/>
      </c>
      <c r="AD64">
        <f>HYPERLINK("https://klasma.github.io/Logging_0331/tillsynsmail/A 55763-2025 tillsynsbegäran mail.docx", "A 55763-2025")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46235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46235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31885-2026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46231</v>
      </c>
      <c r="E67" s="1" t="n">
        <v>46235</v>
      </c>
      <c r="F67" t="inlineStr">
        <is>
          <t>UPPSALA LÄN</t>
        </is>
      </c>
      <c r="G67" t="inlineStr">
        <is>
          <t>HEBY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Platt spretmossa</t>
        </is>
      </c>
      <c r="W67">
        <f>HYPERLINK("https://klasma.github.io/Logging_0331/artfynd/A 31885-2026 artfynd.xlsx", "A 31885-2026")</f>
        <v/>
      </c>
      <c r="X67">
        <f>HYPERLINK("https://klasma.github.io/Logging_0331/kartor/A 31885-2026 karta.png", "A 31885-2026")</f>
        <v/>
      </c>
      <c r="Y67">
        <f>HYPERLINK("https://klasma.github.io/Logging_0331/kartor_geotiff/A 31885-2026 georefererad karta.tif", "A 31885-2026")</f>
        <v/>
      </c>
      <c r="AA67">
        <f>HYPERLINK("https://klasma.github.io/Logging_0331/klagomål/A 31885-2026 FSC-klagomål.docx", "A 31885-2026")</f>
        <v/>
      </c>
      <c r="AB67">
        <f>HYPERLINK("https://klasma.github.io/Logging_0331/klagomålsmail/A 31885-2026 FSC-klagomål mail.docx", "A 31885-2026")</f>
        <v/>
      </c>
      <c r="AC67">
        <f>HYPERLINK("https://klasma.github.io/Logging_0331/tillsyn/A 31885-2026 tillsynsbegäran.docx", "A 31885-2026")</f>
        <v/>
      </c>
      <c r="AD67">
        <f>HYPERLINK("https://klasma.github.io/Logging_0331/tillsynsmail/A 31885-2026 tillsynsbegäran mail.docx", "A 31885-2026")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46235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9455-2026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46071</v>
      </c>
      <c r="E69" s="1" t="n">
        <v>46235</v>
      </c>
      <c r="F69" t="inlineStr">
        <is>
          <t>UPPSALA LÄN</t>
        </is>
      </c>
      <c r="G69" t="inlineStr">
        <is>
          <t>HEBY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Kungsspindling</t>
        </is>
      </c>
      <c r="W69">
        <f>HYPERLINK("https://klasma.github.io/Logging_0331/artfynd/A 9455-2026 artfynd.xlsx", "A 9455-2026")</f>
        <v/>
      </c>
      <c r="X69">
        <f>HYPERLINK("https://klasma.github.io/Logging_0331/kartor/A 9455-2026 karta.png", "A 9455-2026")</f>
        <v/>
      </c>
      <c r="Y69">
        <f>HYPERLINK("https://klasma.github.io/Logging_0331/kartor_geotiff/A 9455-2026 georefererad karta.tif", "A 9455-2026")</f>
        <v/>
      </c>
      <c r="AA69">
        <f>HYPERLINK("https://klasma.github.io/Logging_0331/klagomål/A 9455-2026 FSC-klagomål.docx", "A 9455-2026")</f>
        <v/>
      </c>
      <c r="AB69">
        <f>HYPERLINK("https://klasma.github.io/Logging_0331/klagomålsmail/A 9455-2026 FSC-klagomål mail.docx", "A 9455-2026")</f>
        <v/>
      </c>
      <c r="AC69">
        <f>HYPERLINK("https://klasma.github.io/Logging_0331/tillsyn/A 9455-2026 tillsynsbegäran.docx", "A 9455-2026")</f>
        <v/>
      </c>
      <c r="AD69">
        <f>HYPERLINK("https://klasma.github.io/Logging_0331/tillsynsmail/A 9455-2026 tillsynsbegäran mail.docx", "A 9455-2026")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46235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9618-2026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46235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HYPERLINK("https://klasma.github.io/Logging_0331/artfynd/A 9618-2026 artfynd.xlsx", "A 9618-2026")</f>
        <v/>
      </c>
      <c r="X71">
        <f>HYPERLINK("https://klasma.github.io/Logging_0331/kartor/A 9618-2026 karta.png", "A 9618-2026")</f>
        <v/>
      </c>
      <c r="Y71">
        <f>HYPERLINK("https://klasma.github.io/Logging_0331/kartor_geotiff/A 9618-2026 georefererad karta.tif", "A 9618-2026")</f>
        <v/>
      </c>
      <c r="AA71">
        <f>HYPERLINK("https://klasma.github.io/Logging_0331/klagomål/A 9618-2026 FSC-klagomål.docx", "A 9618-2026")</f>
        <v/>
      </c>
      <c r="AB71">
        <f>HYPERLINK("https://klasma.github.io/Logging_0331/klagomålsmail/A 9618-2026 FSC-klagomål mail.docx", "A 9618-2026")</f>
        <v/>
      </c>
      <c r="AC71">
        <f>HYPERLINK("https://klasma.github.io/Logging_0331/tillsyn/A 9618-2026 tillsynsbegäran.docx", "A 9618-2026")</f>
        <v/>
      </c>
      <c r="AD71">
        <f>HYPERLINK("https://klasma.github.io/Logging_0331/tillsynsmail/A 9618-2026 tillsynsbegäran mail.docx", "A 9618-2026")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46235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46235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53992-2023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46235</v>
      </c>
      <c r="F74" t="inlineStr">
        <is>
          <t>UPPSALA LÄN</t>
        </is>
      </c>
      <c r="G74" t="inlineStr">
        <is>
          <t>HEBY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HYPERLINK("https://klasma.github.io/Logging_0331/artfynd/A 53992-2023 artfynd.xlsx", "A 53992-2023")</f>
        <v/>
      </c>
      <c r="X74">
        <f>HYPERLINK("https://klasma.github.io/Logging_0331/kartor/A 53992-2023 karta.png", "A 53992-2023")</f>
        <v/>
      </c>
      <c r="Y74">
        <f>HYPERLINK("https://klasma.github.io/Logging_0331/kartor_geotiff/A 53992-2023 georefererad karta.tif", "A 53992-2023")</f>
        <v/>
      </c>
      <c r="AA74">
        <f>HYPERLINK("https://klasma.github.io/Logging_0331/klagomål/A 53992-2023 FSC-klagomål.docx", "A 53992-2023")</f>
        <v/>
      </c>
      <c r="AB74">
        <f>HYPERLINK("https://klasma.github.io/Logging_0331/klagomålsmail/A 53992-2023 FSC-klagomål mail.docx", "A 53992-2023")</f>
        <v/>
      </c>
      <c r="AC74">
        <f>HYPERLINK("https://klasma.github.io/Logging_0331/tillsyn/A 53992-2023 tillsynsbegäran.docx", "A 53992-2023")</f>
        <v/>
      </c>
      <c r="AD74">
        <f>HYPERLINK("https://klasma.github.io/Logging_0331/tillsynsmail/A 53992-2023 tillsynsbegäran mail.docx", "A 53992-2023")</f>
        <v/>
      </c>
    </row>
    <row r="75" ht="15" customHeight="1">
      <c r="A75" t="inlineStr">
        <is>
          <t>A 17697-2024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46235</v>
      </c>
      <c r="F75" t="inlineStr">
        <is>
          <t>UPPSALA LÄN</t>
        </is>
      </c>
      <c r="G75" t="inlineStr">
        <is>
          <t>HEBY</t>
        </is>
      </c>
      <c r="I75" t="n">
        <v>0.6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HYPERLINK("https://klasma.github.io/Logging_0331/artfynd/A 17697-2024 artfynd.xlsx", "A 17697-2024")</f>
        <v/>
      </c>
      <c r="X75">
        <f>HYPERLINK("https://klasma.github.io/Logging_0331/kartor/A 17697-2024 karta.png", "A 17697-2024")</f>
        <v/>
      </c>
      <c r="Y75">
        <f>HYPERLINK("https://klasma.github.io/Logging_0331/kartor_geotiff/A 17697-2024 georefererad karta.tif", "A 17697-2024")</f>
        <v/>
      </c>
      <c r="AA75">
        <f>HYPERLINK("https://klasma.github.io/Logging_0331/klagomål/A 17697-2024 FSC-klagomål.docx", "A 17697-2024")</f>
        <v/>
      </c>
      <c r="AB75">
        <f>HYPERLINK("https://klasma.github.io/Logging_0331/klagomålsmail/A 17697-2024 FSC-klagomål mail.docx", "A 17697-2024")</f>
        <v/>
      </c>
      <c r="AC75">
        <f>HYPERLINK("https://klasma.github.io/Logging_0331/tillsyn/A 17697-2024 tillsynsbegäran.docx", "A 17697-2024")</f>
        <v/>
      </c>
      <c r="AD75">
        <f>HYPERLINK("https://klasma.github.io/Logging_0331/tillsynsmail/A 17697-2024 tillsynsbegäran mail.docx", "A 17697-2024")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46235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Gullpudra</t>
        </is>
      </c>
      <c r="W76">
        <f>HYPERLINK("https://klasma.github.io/Logging_0331/artfynd/A 63940-2023 artfynd.xlsx", "A 63940-2023")</f>
        <v/>
      </c>
      <c r="X76">
        <f>HYPERLINK("https://klasma.github.io/Logging_0331/kartor/A 63940-2023 karta.png", "A 63940-2023")</f>
        <v/>
      </c>
      <c r="Y76">
        <f>HYPERLINK("https://klasma.github.io/Logging_0331/kartor_geotiff/A 63940-2023 georefererad karta.tif", "A 63940-2023")</f>
        <v/>
      </c>
      <c r="AA76">
        <f>HYPERLINK("https://klasma.github.io/Logging_0331/klagomål/A 63940-2023 FSC-klagomål.docx", "A 63940-2023")</f>
        <v/>
      </c>
      <c r="AB76">
        <f>HYPERLINK("https://klasma.github.io/Logging_0331/klagomålsmail/A 63940-2023 FSC-klagomål mail.docx", "A 63940-2023")</f>
        <v/>
      </c>
      <c r="AC76">
        <f>HYPERLINK("https://klasma.github.io/Logging_0331/tillsyn/A 63940-2023 tillsynsbegäran.docx", "A 63940-2023")</f>
        <v/>
      </c>
      <c r="AD76">
        <f>HYPERLINK("https://klasma.github.io/Logging_0331/tillsynsmail/A 63940-2023 tillsynsbegäran mail.docx", "A 63940-2023")</f>
        <v/>
      </c>
    </row>
    <row r="77" ht="15" customHeight="1">
      <c r="A77" t="inlineStr">
        <is>
          <t>A 11011-2025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45723</v>
      </c>
      <c r="E77" s="1" t="n">
        <v>46235</v>
      </c>
      <c r="F77" t="inlineStr">
        <is>
          <t>UPPSALA LÄN</t>
        </is>
      </c>
      <c r="G77" t="inlineStr">
        <is>
          <t>HEBY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HYPERLINK("https://klasma.github.io/Logging_0331/artfynd/A 11011-2025 artfynd.xlsx", "A 11011-2025")</f>
        <v/>
      </c>
      <c r="X77">
        <f>HYPERLINK("https://klasma.github.io/Logging_0331/kartor/A 11011-2025 karta.png", "A 11011-2025")</f>
        <v/>
      </c>
      <c r="Y77">
        <f>HYPERLINK("https://klasma.github.io/Logging_0331/kartor_geotiff/A 11011-2025 georefererad karta.tif", "A 11011-2025")</f>
        <v/>
      </c>
      <c r="AA77">
        <f>HYPERLINK("https://klasma.github.io/Logging_0331/klagomål/A 11011-2025 FSC-klagomål.docx", "A 11011-2025")</f>
        <v/>
      </c>
      <c r="AB77">
        <f>HYPERLINK("https://klasma.github.io/Logging_0331/klagomålsmail/A 11011-2025 FSC-klagomål mail.docx", "A 11011-2025")</f>
        <v/>
      </c>
      <c r="AC77">
        <f>HYPERLINK("https://klasma.github.io/Logging_0331/tillsyn/A 11011-2025 tillsynsbegäran.docx", "A 11011-2025")</f>
        <v/>
      </c>
      <c r="AD77">
        <f>HYPERLINK("https://klasma.github.io/Logging_0331/tillsynsmail/A 11011-2025 tillsynsbegäran mail.docx", "A 11011-2025")</f>
        <v/>
      </c>
    </row>
    <row r="78" ht="15" customHeight="1">
      <c r="A78" t="inlineStr">
        <is>
          <t>A 20530-2026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46235</v>
      </c>
      <c r="F78" t="inlineStr">
        <is>
          <t>UPPSALA LÄN</t>
        </is>
      </c>
      <c r="G78" t="inlineStr">
        <is>
          <t>HEBY</t>
        </is>
      </c>
      <c r="I78" t="n">
        <v>5.3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Björksplintborre</t>
        </is>
      </c>
      <c r="W78">
        <f>HYPERLINK("https://klasma.github.io/Logging_0331/artfynd/A 20530-2026 artfynd.xlsx", "A 20530-2026")</f>
        <v/>
      </c>
      <c r="X78">
        <f>HYPERLINK("https://klasma.github.io/Logging_0331/kartor/A 20530-2026 karta.png", "A 20530-2026")</f>
        <v/>
      </c>
      <c r="Y78">
        <f>HYPERLINK("https://klasma.github.io/Logging_0331/kartor_geotiff/A 20530-2026 georefererad karta.tif", "A 20530-2026")</f>
        <v/>
      </c>
      <c r="AA78">
        <f>HYPERLINK("https://klasma.github.io/Logging_0331/klagomål/A 20530-2026 FSC-klagomål.docx", "A 20530-2026")</f>
        <v/>
      </c>
      <c r="AB78">
        <f>HYPERLINK("https://klasma.github.io/Logging_0331/klagomålsmail/A 20530-2026 FSC-klagomål mail.docx", "A 20530-2026")</f>
        <v/>
      </c>
      <c r="AC78">
        <f>HYPERLINK("https://klasma.github.io/Logging_0331/tillsyn/A 20530-2026 tillsynsbegäran.docx", "A 20530-2026")</f>
        <v/>
      </c>
      <c r="AD78">
        <f>HYPERLINK("https://klasma.github.io/Logging_0331/tillsynsmail/A 20530-2026 tillsynsbegäran mail.docx", "A 20530-2026")</f>
        <v/>
      </c>
    </row>
    <row r="79" ht="15" customHeight="1">
      <c r="A79" t="inlineStr">
        <is>
          <t>A 19751-2023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46235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HYPERLINK("https://klasma.github.io/Logging_0331/artfynd/A 19751-2023 artfynd.xlsx", "A 19751-2023")</f>
        <v/>
      </c>
      <c r="X79">
        <f>HYPERLINK("https://klasma.github.io/Logging_0331/kartor/A 19751-2023 karta.png", "A 19751-2023")</f>
        <v/>
      </c>
      <c r="Y79">
        <f>HYPERLINK("https://klasma.github.io/Logging_0331/kartor_geotiff/A 19751-2023 georefererad karta.tif", "A 19751-2023")</f>
        <v/>
      </c>
      <c r="Z79">
        <f>HYPERLINK("https://klasma.github.io/Logging_0331/knärot/A 19751-2023 karta knärot.png", "A 19751-2023")</f>
        <v/>
      </c>
      <c r="AA79">
        <f>HYPERLINK("https://klasma.github.io/Logging_0331/klagomål/A 19751-2023 FSC-klagomål.docx", "A 19751-2023")</f>
        <v/>
      </c>
      <c r="AB79">
        <f>HYPERLINK("https://klasma.github.io/Logging_0331/klagomålsmail/A 19751-2023 FSC-klagomål mail.docx", "A 19751-2023")</f>
        <v/>
      </c>
      <c r="AC79">
        <f>HYPERLINK("https://klasma.github.io/Logging_0331/tillsyn/A 19751-2023 tillsynsbegäran.docx", "A 19751-2023")</f>
        <v/>
      </c>
      <c r="AD79">
        <f>HYPERLINK("https://klasma.github.io/Logging_0331/tillsynsmail/A 19751-2023 tillsynsbegäran mail.docx", "A 19751-2023")</f>
        <v/>
      </c>
    </row>
    <row r="80" ht="15" customHeight="1">
      <c r="A80" t="inlineStr">
        <is>
          <t>A 54368-2024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46235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13.9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Talltita</t>
        </is>
      </c>
      <c r="W80">
        <f>HYPERLINK("https://klasma.github.io/Logging_0331/artfynd/A 54368-2024 artfynd.xlsx", "A 54368-2024")</f>
        <v/>
      </c>
      <c r="X80">
        <f>HYPERLINK("https://klasma.github.io/Logging_0331/kartor/A 54368-2024 karta.png", "A 54368-2024")</f>
        <v/>
      </c>
      <c r="Y80">
        <f>HYPERLINK("https://klasma.github.io/Logging_0331/kartor_geotiff/A 54368-2024 georefererad karta.tif", "A 54368-2024")</f>
        <v/>
      </c>
      <c r="AA80">
        <f>HYPERLINK("https://klasma.github.io/Logging_0331/klagomål/A 54368-2024 FSC-klagomål.docx", "A 54368-2024")</f>
        <v/>
      </c>
      <c r="AB80">
        <f>HYPERLINK("https://klasma.github.io/Logging_0331/klagomålsmail/A 54368-2024 FSC-klagomål mail.docx", "A 54368-2024")</f>
        <v/>
      </c>
      <c r="AC80">
        <f>HYPERLINK("https://klasma.github.io/Logging_0331/tillsyn/A 54368-2024 tillsynsbegäran.docx", "A 54368-2024")</f>
        <v/>
      </c>
      <c r="AD80">
        <f>HYPERLINK("https://klasma.github.io/Logging_0331/tillsynsmail/A 54368-2024 tillsynsbegäran mail.docx", "A 54368-2024")</f>
        <v/>
      </c>
      <c r="AE80">
        <f>HYPERLINK("https://klasma.github.io/Logging_0331/fåglar/A 54368-2024 prioriterade fågelarter.docx", "A 54368-2024")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46235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19555-2025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45770</v>
      </c>
      <c r="E82" s="1" t="n">
        <v>46235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Sparvuggla</t>
        </is>
      </c>
      <c r="W82">
        <f>HYPERLINK("https://klasma.github.io/Logging_0331/artfynd/A 19555-2025 artfynd.xlsx", "A 19555-2025")</f>
        <v/>
      </c>
      <c r="X82">
        <f>HYPERLINK("https://klasma.github.io/Logging_0331/kartor/A 19555-2025 karta.png", "A 19555-2025")</f>
        <v/>
      </c>
      <c r="Y82">
        <f>HYPERLINK("https://klasma.github.io/Logging_0331/kartor_geotiff/A 19555-2025 georefererad karta.tif", "A 19555-2025")</f>
        <v/>
      </c>
      <c r="AA82">
        <f>HYPERLINK("https://klasma.github.io/Logging_0331/klagomål/A 19555-2025 FSC-klagomål.docx", "A 19555-2025")</f>
        <v/>
      </c>
      <c r="AB82">
        <f>HYPERLINK("https://klasma.github.io/Logging_0331/klagomålsmail/A 19555-2025 FSC-klagomål mail.docx", "A 19555-2025")</f>
        <v/>
      </c>
      <c r="AC82">
        <f>HYPERLINK("https://klasma.github.io/Logging_0331/tillsyn/A 19555-2025 tillsynsbegäran.docx", "A 19555-2025")</f>
        <v/>
      </c>
      <c r="AD82">
        <f>HYPERLINK("https://klasma.github.io/Logging_0331/tillsynsmail/A 19555-2025 tillsynsbegäran mail.docx", "A 19555-2025")</f>
        <v/>
      </c>
      <c r="AE82">
        <f>HYPERLINK("https://klasma.github.io/Logging_0331/fåglar/A 19555-2025 prioriterade fågelarter.docx", "A 19555-2025")</f>
        <v/>
      </c>
    </row>
    <row r="83" ht="15" customHeight="1">
      <c r="A83" t="inlineStr">
        <is>
          <t>A 61598-2021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46235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Trana</t>
        </is>
      </c>
      <c r="W83">
        <f>HYPERLINK("https://klasma.github.io/Logging_0331/artfynd/A 61598-2021 artfynd.xlsx", "A 61598-2021")</f>
        <v/>
      </c>
      <c r="X83">
        <f>HYPERLINK("https://klasma.github.io/Logging_0331/kartor/A 61598-2021 karta.png", "A 61598-2021")</f>
        <v/>
      </c>
      <c r="Y83">
        <f>HYPERLINK("https://klasma.github.io/Logging_0331/kartor_geotiff/A 61598-2021 georefererad karta.tif", "A 61598-2021")</f>
        <v/>
      </c>
      <c r="AA83">
        <f>HYPERLINK("https://klasma.github.io/Logging_0331/klagomål/A 61598-2021 FSC-klagomål.docx", "A 61598-2021")</f>
        <v/>
      </c>
      <c r="AB83">
        <f>HYPERLINK("https://klasma.github.io/Logging_0331/klagomålsmail/A 61598-2021 FSC-klagomål mail.docx", "A 61598-2021")</f>
        <v/>
      </c>
      <c r="AC83">
        <f>HYPERLINK("https://klasma.github.io/Logging_0331/tillsyn/A 61598-2021 tillsynsbegäran.docx", "A 61598-2021")</f>
        <v/>
      </c>
      <c r="AD83">
        <f>HYPERLINK("https://klasma.github.io/Logging_0331/tillsynsmail/A 61598-2021 tillsynsbegäran mail.docx", "A 61598-2021")</f>
        <v/>
      </c>
      <c r="AE83">
        <f>HYPERLINK("https://klasma.github.io/Logging_0331/fåglar/A 61598-2021 prioriterade fågelarter.docx", "A 61598-2021")</f>
        <v/>
      </c>
    </row>
    <row r="84" ht="15" customHeight="1">
      <c r="A84" t="inlineStr">
        <is>
          <t>A 17006-2024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46235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14.6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HYPERLINK("https://klasma.github.io/Logging_0331/artfynd/A 17006-2024 artfynd.xlsx", "A 17006-2024")</f>
        <v/>
      </c>
      <c r="X84">
        <f>HYPERLINK("https://klasma.github.io/Logging_0331/kartor/A 17006-2024 karta.png", "A 17006-2024")</f>
        <v/>
      </c>
      <c r="Y84">
        <f>HYPERLINK("https://klasma.github.io/Logging_0331/kartor_geotiff/A 17006-2024 georefererad karta.tif", "A 17006-2024")</f>
        <v/>
      </c>
      <c r="AA84">
        <f>HYPERLINK("https://klasma.github.io/Logging_0331/klagomål/A 17006-2024 FSC-klagomål.docx", "A 17006-2024")</f>
        <v/>
      </c>
      <c r="AB84">
        <f>HYPERLINK("https://klasma.github.io/Logging_0331/klagomålsmail/A 17006-2024 FSC-klagomål mail.docx", "A 17006-2024")</f>
        <v/>
      </c>
      <c r="AC84">
        <f>HYPERLINK("https://klasma.github.io/Logging_0331/tillsyn/A 17006-2024 tillsynsbegäran.docx", "A 17006-2024")</f>
        <v/>
      </c>
      <c r="AD84">
        <f>HYPERLINK("https://klasma.github.io/Logging_0331/tillsynsmail/A 17006-2024 tillsynsbegäran mail.docx", "A 17006-2024")</f>
        <v/>
      </c>
      <c r="AE84">
        <f>HYPERLINK("https://klasma.github.io/Logging_0331/fåglar/A 17006-2024 prioriterade fågelarter.docx", "A 17006-2024")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46235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46235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46235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46235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46235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46235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46235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46235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46235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46235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46235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46235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46235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46235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46235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46235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46235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46235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46235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46235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46235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46235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46235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46235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46235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44411</v>
      </c>
      <c r="E110" s="1" t="n">
        <v>46235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46235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46235</v>
      </c>
      <c r="F112" t="inlineStr">
        <is>
          <t>UPPSALA LÄN</t>
        </is>
      </c>
      <c r="G112" t="inlineStr">
        <is>
          <t>HEBY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46235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46235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46235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46235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46235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46235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46235</v>
      </c>
      <c r="F119" t="inlineStr">
        <is>
          <t>UPPSALA LÄN</t>
        </is>
      </c>
      <c r="G119" t="inlineStr">
        <is>
          <t>HEBY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46235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46235</v>
      </c>
      <c r="F121" t="inlineStr">
        <is>
          <t>UPPSALA LÄN</t>
        </is>
      </c>
      <c r="G121" t="inlineStr">
        <is>
          <t>HEBY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46235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46235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44519</v>
      </c>
      <c r="E124" s="1" t="n">
        <v>46235</v>
      </c>
      <c r="F124" t="inlineStr">
        <is>
          <t>UPPSALA LÄN</t>
        </is>
      </c>
      <c r="G124" t="inlineStr">
        <is>
          <t>HEBY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46235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44850</v>
      </c>
      <c r="E126" s="1" t="n">
        <v>46235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59599-2021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46235</v>
      </c>
      <c r="F127" t="inlineStr">
        <is>
          <t>UPPSALA LÄN</t>
        </is>
      </c>
      <c r="G127" t="inlineStr">
        <is>
          <t>HEBY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46235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46235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46235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44978</v>
      </c>
      <c r="E131" s="1" t="n">
        <v>46235</v>
      </c>
      <c r="F131" t="inlineStr">
        <is>
          <t>UPPSALA LÄN</t>
        </is>
      </c>
      <c r="G131" t="inlineStr">
        <is>
          <t>HEBY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46235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45406</v>
      </c>
      <c r="E133" s="1" t="n">
        <v>46235</v>
      </c>
      <c r="F133" t="inlineStr">
        <is>
          <t>UPPSALA LÄN</t>
        </is>
      </c>
      <c r="G133" t="inlineStr">
        <is>
          <t>HEBY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46235</v>
      </c>
      <c r="F134" t="inlineStr">
        <is>
          <t>UPPSALA LÄN</t>
        </is>
      </c>
      <c r="G134" t="inlineStr">
        <is>
          <t>HEBY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46235</v>
      </c>
      <c r="F135" t="inlineStr">
        <is>
          <t>UPPSALA LÄN</t>
        </is>
      </c>
      <c r="G135" t="inlineStr">
        <is>
          <t>HEBY</t>
        </is>
      </c>
      <c r="H135" t="inlineStr">
        <is>
          <t>Allmännings- och besparingsskogar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44748</v>
      </c>
      <c r="E136" s="1" t="n">
        <v>46235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46235</v>
      </c>
      <c r="F137" t="inlineStr">
        <is>
          <t>UPPSALA LÄN</t>
        </is>
      </c>
      <c r="G137" t="inlineStr">
        <is>
          <t>HEBY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46235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44459</v>
      </c>
      <c r="E139" s="1" t="n">
        <v>46235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46235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55204-2022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46235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44650</v>
      </c>
      <c r="E142" s="1" t="n">
        <v>46235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öst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44459</v>
      </c>
      <c r="E143" s="1" t="n">
        <v>46235</v>
      </c>
      <c r="F143" t="inlineStr">
        <is>
          <t>UPPSALA LÄN</t>
        </is>
      </c>
      <c r="G143" t="inlineStr">
        <is>
          <t>HEBY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69377-2021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44531</v>
      </c>
      <c r="E144" s="1" t="n">
        <v>46235</v>
      </c>
      <c r="F144" t="inlineStr">
        <is>
          <t>UPPSALA LÄN</t>
        </is>
      </c>
      <c r="G144" t="inlineStr">
        <is>
          <t>HEBY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45339</v>
      </c>
      <c r="E145" s="1" t="n">
        <v>46235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45502</v>
      </c>
      <c r="E146" s="1" t="n">
        <v>46235</v>
      </c>
      <c r="F146" t="inlineStr">
        <is>
          <t>UPPSALA LÄN</t>
        </is>
      </c>
      <c r="G146" t="inlineStr">
        <is>
          <t>HEBY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44655</v>
      </c>
      <c r="E147" s="1" t="n">
        <v>46235</v>
      </c>
      <c r="F147" t="inlineStr">
        <is>
          <t>UPPSALA LÄN</t>
        </is>
      </c>
      <c r="G147" t="inlineStr">
        <is>
          <t>HEBY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23979-2022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44722</v>
      </c>
      <c r="E148" s="1" t="n">
        <v>46235</v>
      </c>
      <c r="F148" t="inlineStr">
        <is>
          <t>UPPSALA LÄN</t>
        </is>
      </c>
      <c r="G148" t="inlineStr">
        <is>
          <t>HEBY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44700</v>
      </c>
      <c r="E149" s="1" t="n">
        <v>46235</v>
      </c>
      <c r="F149" t="inlineStr">
        <is>
          <t>UPPSALA LÄN</t>
        </is>
      </c>
      <c r="G149" t="inlineStr">
        <is>
          <t>HEBY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46235</v>
      </c>
      <c r="F150" t="inlineStr">
        <is>
          <t>UPPSALA LÄN</t>
        </is>
      </c>
      <c r="G150" t="inlineStr">
        <is>
          <t>HEBY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56302-2021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44477</v>
      </c>
      <c r="E151" s="1" t="n">
        <v>46235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69597-2021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46235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44573</v>
      </c>
      <c r="E153" s="1" t="n">
        <v>46235</v>
      </c>
      <c r="F153" t="inlineStr">
        <is>
          <t>UPPSALA LÄN</t>
        </is>
      </c>
      <c r="G153" t="inlineStr">
        <is>
          <t>HEBY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46235</v>
      </c>
      <c r="F154" t="inlineStr">
        <is>
          <t>UPPSALA LÄN</t>
        </is>
      </c>
      <c r="G154" t="inlineStr">
        <is>
          <t>HEBY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46235</v>
      </c>
      <c r="F155" t="inlineStr">
        <is>
          <t>UPPSALA LÄN</t>
        </is>
      </c>
      <c r="G155" t="inlineStr">
        <is>
          <t>HEBY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46235</v>
      </c>
      <c r="F156" t="inlineStr">
        <is>
          <t>UPPSALA LÄN</t>
        </is>
      </c>
      <c r="G156" t="inlineStr">
        <is>
          <t>HEBY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46235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46235</v>
      </c>
      <c r="F158" t="inlineStr">
        <is>
          <t>UPPSALA LÄN</t>
        </is>
      </c>
      <c r="G158" t="inlineStr">
        <is>
          <t>HEBY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46235</v>
      </c>
      <c r="F159" t="inlineStr">
        <is>
          <t>UPPSALA LÄN</t>
        </is>
      </c>
      <c r="G159" t="inlineStr">
        <is>
          <t>HEBY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46235</v>
      </c>
      <c r="F160" t="inlineStr">
        <is>
          <t>UPPSALA LÄN</t>
        </is>
      </c>
      <c r="G160" t="inlineStr">
        <is>
          <t>HEBY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46235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46235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46235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60295-2021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44495</v>
      </c>
      <c r="E164" s="1" t="n">
        <v>46235</v>
      </c>
      <c r="F164" t="inlineStr">
        <is>
          <t>UPPSALA LÄN</t>
        </is>
      </c>
      <c r="G164" t="inlineStr">
        <is>
          <t>HEBY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46235</v>
      </c>
      <c r="F165" t="inlineStr">
        <is>
          <t>UPPSALA LÄN</t>
        </is>
      </c>
      <c r="G165" t="inlineStr">
        <is>
          <t>HEBY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46235</v>
      </c>
      <c r="F166" t="inlineStr">
        <is>
          <t>UPPSALA LÄN</t>
        </is>
      </c>
      <c r="G166" t="inlineStr">
        <is>
          <t>HEBY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46235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44574</v>
      </c>
      <c r="E168" s="1" t="n">
        <v>46235</v>
      </c>
      <c r="F168" t="inlineStr">
        <is>
          <t>UPPSALA LÄN</t>
        </is>
      </c>
      <c r="G168" t="inlineStr">
        <is>
          <t>HEBY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46235</v>
      </c>
      <c r="F169" t="inlineStr">
        <is>
          <t>UPPSALA LÄN</t>
        </is>
      </c>
      <c r="G169" t="inlineStr">
        <is>
          <t>HEBY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46235</v>
      </c>
      <c r="F170" t="inlineStr">
        <is>
          <t>UPPSALA LÄN</t>
        </is>
      </c>
      <c r="G170" t="inlineStr">
        <is>
          <t>HEBY</t>
        </is>
      </c>
      <c r="H170" t="inlineStr">
        <is>
          <t>Övriga Aktiebolag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45331</v>
      </c>
      <c r="E171" s="1" t="n">
        <v>46235</v>
      </c>
      <c r="F171" t="inlineStr">
        <is>
          <t>UPPSALA LÄN</t>
        </is>
      </c>
      <c r="G171" t="inlineStr">
        <is>
          <t>HEBY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6885-2024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46235</v>
      </c>
      <c r="F172" t="inlineStr">
        <is>
          <t>UPPSALA LÄN</t>
        </is>
      </c>
      <c r="G172" t="inlineStr">
        <is>
          <t>HEBY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64899-2021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44512</v>
      </c>
      <c r="E173" s="1" t="n">
        <v>46235</v>
      </c>
      <c r="F173" t="inlineStr">
        <is>
          <t>UPPSALA LÄN</t>
        </is>
      </c>
      <c r="G173" t="inlineStr">
        <is>
          <t>HEBY</t>
        </is>
      </c>
      <c r="H173" t="inlineStr">
        <is>
          <t>Bergvik skog öst AB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44614</v>
      </c>
      <c r="E174" s="1" t="n">
        <v>46235</v>
      </c>
      <c r="F174" t="inlineStr">
        <is>
          <t>UPPSALA LÄN</t>
        </is>
      </c>
      <c r="G174" t="inlineStr">
        <is>
          <t>HEBY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45453</v>
      </c>
      <c r="E175" s="1" t="n">
        <v>46235</v>
      </c>
      <c r="F175" t="inlineStr">
        <is>
          <t>UPPSALA LÄN</t>
        </is>
      </c>
      <c r="G175" t="inlineStr">
        <is>
          <t>HEBY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46235</v>
      </c>
      <c r="F176" t="inlineStr">
        <is>
          <t>UPPSALA LÄN</t>
        </is>
      </c>
      <c r="G176" t="inlineStr">
        <is>
          <t>HEBY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46235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46235</v>
      </c>
      <c r="F178" t="inlineStr">
        <is>
          <t>UPPSALA LÄN</t>
        </is>
      </c>
      <c r="G178" t="inlineStr">
        <is>
          <t>HEBY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60722-2022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44913</v>
      </c>
      <c r="E179" s="1" t="n">
        <v>46235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46235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46235</v>
      </c>
      <c r="F181" t="inlineStr">
        <is>
          <t>UPPSALA LÄN</t>
        </is>
      </c>
      <c r="G181" t="inlineStr">
        <is>
          <t>HEBY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46235</v>
      </c>
      <c r="F182" t="inlineStr">
        <is>
          <t>UPPSALA LÄN</t>
        </is>
      </c>
      <c r="G182" t="inlineStr">
        <is>
          <t>HEBY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46235</v>
      </c>
      <c r="F183" t="inlineStr">
        <is>
          <t>UPPSALA LÄN</t>
        </is>
      </c>
      <c r="G183" t="inlineStr">
        <is>
          <t>HEBY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46235</v>
      </c>
      <c r="F184" t="inlineStr">
        <is>
          <t>UPPSALA LÄN</t>
        </is>
      </c>
      <c r="G184" t="inlineStr">
        <is>
          <t>HEBY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44602</v>
      </c>
      <c r="E185" s="1" t="n">
        <v>46235</v>
      </c>
      <c r="F185" t="inlineStr">
        <is>
          <t>UPPSALA LÄN</t>
        </is>
      </c>
      <c r="G185" t="inlineStr">
        <is>
          <t>HEBY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46235</v>
      </c>
      <c r="F186" t="inlineStr">
        <is>
          <t>UPPSALA LÄN</t>
        </is>
      </c>
      <c r="G186" t="inlineStr">
        <is>
          <t>HEBY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46235</v>
      </c>
      <c r="F187" t="inlineStr">
        <is>
          <t>UPPSALA LÄN</t>
        </is>
      </c>
      <c r="G187" t="inlineStr">
        <is>
          <t>HEBY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46235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41.8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46235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46235</v>
      </c>
      <c r="F190" t="inlineStr">
        <is>
          <t>UPPSALA LÄN</t>
        </is>
      </c>
      <c r="G190" t="inlineStr">
        <is>
          <t>HEBY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46235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44753</v>
      </c>
      <c r="E192" s="1" t="n">
        <v>46235</v>
      </c>
      <c r="F192" t="inlineStr">
        <is>
          <t>UPPSALA LÄN</t>
        </is>
      </c>
      <c r="G192" t="inlineStr">
        <is>
          <t>HEBY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46235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46235</v>
      </c>
      <c r="F194" t="inlineStr">
        <is>
          <t>UPPSALA LÄN</t>
        </is>
      </c>
      <c r="G194" t="inlineStr">
        <is>
          <t>HEBY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44849</v>
      </c>
      <c r="E195" s="1" t="n">
        <v>46235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46235</v>
      </c>
      <c r="F196" t="inlineStr">
        <is>
          <t>UPPSALA LÄN</t>
        </is>
      </c>
      <c r="G196" t="inlineStr">
        <is>
          <t>HEBY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44574</v>
      </c>
      <c r="E197" s="1" t="n">
        <v>46235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58332-2023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45250</v>
      </c>
      <c r="E198" s="1" t="n">
        <v>46235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46235</v>
      </c>
      <c r="F199" t="inlineStr">
        <is>
          <t>UPPSALA LÄN</t>
        </is>
      </c>
      <c r="G199" t="inlineStr">
        <is>
          <t>HEBY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45519</v>
      </c>
      <c r="E200" s="1" t="n">
        <v>46235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46235</v>
      </c>
      <c r="F201" t="inlineStr">
        <is>
          <t>UPPSALA LÄN</t>
        </is>
      </c>
      <c r="G201" t="inlineStr">
        <is>
          <t>HEBY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46235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46235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66.90000000000001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46235</v>
      </c>
      <c r="F204" t="inlineStr">
        <is>
          <t>UPPSALA LÄN</t>
        </is>
      </c>
      <c r="G204" t="inlineStr">
        <is>
          <t>HEBY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46235</v>
      </c>
      <c r="F205" t="inlineStr">
        <is>
          <t>UPPSALA LÄN</t>
        </is>
      </c>
      <c r="G205" t="inlineStr">
        <is>
          <t>HEBY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46235</v>
      </c>
      <c r="F206" t="inlineStr">
        <is>
          <t>UPPSALA LÄN</t>
        </is>
      </c>
      <c r="G206" t="inlineStr">
        <is>
          <t>HEBY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45083</v>
      </c>
      <c r="E207" s="1" t="n">
        <v>46235</v>
      </c>
      <c r="F207" t="inlineStr">
        <is>
          <t>UPPSALA LÄN</t>
        </is>
      </c>
      <c r="G207" t="inlineStr">
        <is>
          <t>HEBY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46235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44873</v>
      </c>
      <c r="E209" s="1" t="n">
        <v>46235</v>
      </c>
      <c r="F209" t="inlineStr">
        <is>
          <t>UPPSALA LÄN</t>
        </is>
      </c>
      <c r="G209" t="inlineStr">
        <is>
          <t>HEBY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46235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46235</v>
      </c>
      <c r="F211" t="inlineStr">
        <is>
          <t>UPPSALA LÄN</t>
        </is>
      </c>
      <c r="G211" t="inlineStr">
        <is>
          <t>HEBY</t>
        </is>
      </c>
      <c r="I211" t="n">
        <v>14.8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46235</v>
      </c>
      <c r="F212" t="inlineStr">
        <is>
          <t>UPPSALA LÄN</t>
        </is>
      </c>
      <c r="G212" t="inlineStr">
        <is>
          <t>HEBY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46235</v>
      </c>
      <c r="F213" t="inlineStr">
        <is>
          <t>UPPSALA LÄN</t>
        </is>
      </c>
      <c r="G213" t="inlineStr">
        <is>
          <t>HEBY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46235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46235</v>
      </c>
      <c r="F215" t="inlineStr">
        <is>
          <t>UPPSALA LÄN</t>
        </is>
      </c>
      <c r="G215" t="inlineStr">
        <is>
          <t>HEBY</t>
        </is>
      </c>
      <c r="H215" t="inlineStr">
        <is>
          <t>Allmännings- och besparingsskogar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46235</v>
      </c>
      <c r="F216" t="inlineStr">
        <is>
          <t>UPPSALA LÄN</t>
        </is>
      </c>
      <c r="G216" t="inlineStr">
        <is>
          <t>HEBY</t>
        </is>
      </c>
      <c r="H216" t="inlineStr">
        <is>
          <t>Övriga Aktiebolag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46235</v>
      </c>
      <c r="F217" t="inlineStr">
        <is>
          <t>UPPSALA LÄN</t>
        </is>
      </c>
      <c r="G217" t="inlineStr">
        <is>
          <t>HEBY</t>
        </is>
      </c>
      <c r="H217" t="inlineStr">
        <is>
          <t>Övriga Aktiebolag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46235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46235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44701</v>
      </c>
      <c r="E220" s="1" t="n">
        <v>46235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45331</v>
      </c>
      <c r="E221" s="1" t="n">
        <v>46235</v>
      </c>
      <c r="F221" t="inlineStr">
        <is>
          <t>UPPSALA LÄN</t>
        </is>
      </c>
      <c r="G221" t="inlineStr">
        <is>
          <t>HEBY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46235</v>
      </c>
      <c r="F222" t="inlineStr">
        <is>
          <t>UPPSALA LÄN</t>
        </is>
      </c>
      <c r="G222" t="inlineStr">
        <is>
          <t>HEBY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45050</v>
      </c>
      <c r="E223" s="1" t="n">
        <v>46235</v>
      </c>
      <c r="F223" t="inlineStr">
        <is>
          <t>UPPSALA LÄN</t>
        </is>
      </c>
      <c r="G223" t="inlineStr">
        <is>
          <t>HEBY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46235</v>
      </c>
      <c r="F224" t="inlineStr">
        <is>
          <t>UPPSALA LÄN</t>
        </is>
      </c>
      <c r="G224" t="inlineStr">
        <is>
          <t>HEBY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46235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46235</v>
      </c>
      <c r="F226" t="inlineStr">
        <is>
          <t>UPPSALA LÄN</t>
        </is>
      </c>
      <c r="G226" t="inlineStr">
        <is>
          <t>HEBY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46235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46235</v>
      </c>
      <c r="F228" t="inlineStr">
        <is>
          <t>UPPSALA LÄN</t>
        </is>
      </c>
      <c r="G228" t="inlineStr">
        <is>
          <t>HEBY</t>
        </is>
      </c>
      <c r="H228" t="inlineStr">
        <is>
          <t>Kyrkan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46235</v>
      </c>
      <c r="F229" t="inlineStr">
        <is>
          <t>UPPSALA LÄN</t>
        </is>
      </c>
      <c r="G229" t="inlineStr">
        <is>
          <t>HEBY</t>
        </is>
      </c>
      <c r="H229" t="inlineStr">
        <is>
          <t>Kyrkan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45013</v>
      </c>
      <c r="E230" s="1" t="n">
        <v>46235</v>
      </c>
      <c r="F230" t="inlineStr">
        <is>
          <t>UPPSALA LÄN</t>
        </is>
      </c>
      <c r="G230" t="inlineStr">
        <is>
          <t>HEBY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46235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56352-2021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44480</v>
      </c>
      <c r="E232" s="1" t="n">
        <v>46235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46235</v>
      </c>
      <c r="F233" t="inlineStr">
        <is>
          <t>UPPSALA LÄN</t>
        </is>
      </c>
      <c r="G233" t="inlineStr">
        <is>
          <t>HEBY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46235</v>
      </c>
      <c r="F234" t="inlineStr">
        <is>
          <t>UPPSALA LÄN</t>
        </is>
      </c>
      <c r="G234" t="inlineStr">
        <is>
          <t>HEBY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46235</v>
      </c>
      <c r="F235" t="inlineStr">
        <is>
          <t>UPPSALA LÄN</t>
        </is>
      </c>
      <c r="G235" t="inlineStr">
        <is>
          <t>HEBY</t>
        </is>
      </c>
      <c r="H235" t="inlineStr">
        <is>
          <t>Övriga Aktiebolag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46235</v>
      </c>
      <c r="F236" t="inlineStr">
        <is>
          <t>UPPSALA LÄN</t>
        </is>
      </c>
      <c r="G236" t="inlineStr">
        <is>
          <t>HEBY</t>
        </is>
      </c>
      <c r="H236" t="inlineStr">
        <is>
          <t>Allmännings- och besparingsskogar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46235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46235</v>
      </c>
      <c r="F238" t="inlineStr">
        <is>
          <t>UPPSALA LÄN</t>
        </is>
      </c>
      <c r="G238" t="inlineStr">
        <is>
          <t>HEBY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46235</v>
      </c>
      <c r="F239" t="inlineStr">
        <is>
          <t>UPPSALA LÄN</t>
        </is>
      </c>
      <c r="G239" t="inlineStr">
        <is>
          <t>HEBY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46235</v>
      </c>
      <c r="F240" t="inlineStr">
        <is>
          <t>UPPSALA LÄN</t>
        </is>
      </c>
      <c r="G240" t="inlineStr">
        <is>
          <t>HEBY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46235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46235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46235</v>
      </c>
      <c r="F243" t="inlineStr">
        <is>
          <t>UPPSALA LÄN</t>
        </is>
      </c>
      <c r="G243" t="inlineStr">
        <is>
          <t>HEBY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10069-2024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45364</v>
      </c>
      <c r="E244" s="1" t="n">
        <v>46235</v>
      </c>
      <c r="F244" t="inlineStr">
        <is>
          <t>UPPSALA LÄN</t>
        </is>
      </c>
      <c r="G244" t="inlineStr">
        <is>
          <t>HEBY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46235</v>
      </c>
      <c r="F245" t="inlineStr">
        <is>
          <t>UPPSALA LÄN</t>
        </is>
      </c>
      <c r="G245" t="inlineStr">
        <is>
          <t>HEBY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46235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46235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44888</v>
      </c>
      <c r="E248" s="1" t="n">
        <v>46235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46235</v>
      </c>
      <c r="F249" t="inlineStr">
        <is>
          <t>UPPSALA LÄN</t>
        </is>
      </c>
      <c r="G249" t="inlineStr">
        <is>
          <t>HEBY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46235</v>
      </c>
      <c r="F250" t="inlineStr">
        <is>
          <t>UPPSALA LÄN</t>
        </is>
      </c>
      <c r="G250" t="inlineStr">
        <is>
          <t>HEBY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46235</v>
      </c>
      <c r="F251" t="inlineStr">
        <is>
          <t>UPPSALA LÄN</t>
        </is>
      </c>
      <c r="G251" t="inlineStr">
        <is>
          <t>HEBY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46235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46235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46235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öst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46235</v>
      </c>
      <c r="F255" t="inlineStr">
        <is>
          <t>UPPSALA LÄN</t>
        </is>
      </c>
      <c r="G255" t="inlineStr">
        <is>
          <t>HEBY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46235</v>
      </c>
      <c r="F256" t="inlineStr">
        <is>
          <t>UPPSALA LÄN</t>
        </is>
      </c>
      <c r="G256" t="inlineStr">
        <is>
          <t>HEBY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46235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46235</v>
      </c>
      <c r="F258" t="inlineStr">
        <is>
          <t>UPPSALA LÄN</t>
        </is>
      </c>
      <c r="G258" t="inlineStr">
        <is>
          <t>HEBY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46235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46235</v>
      </c>
      <c r="F260" t="inlineStr">
        <is>
          <t>UPPSALA LÄN</t>
        </is>
      </c>
      <c r="G260" t="inlineStr">
        <is>
          <t>HEBY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46235</v>
      </c>
      <c r="F261" t="inlineStr">
        <is>
          <t>UPPSALA LÄN</t>
        </is>
      </c>
      <c r="G261" t="inlineStr">
        <is>
          <t>HEBY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46235</v>
      </c>
      <c r="F262" t="inlineStr">
        <is>
          <t>UPPSALA LÄN</t>
        </is>
      </c>
      <c r="G262" t="inlineStr">
        <is>
          <t>HEBY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18278-2024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45422</v>
      </c>
      <c r="E263" s="1" t="n">
        <v>46235</v>
      </c>
      <c r="F263" t="inlineStr">
        <is>
          <t>UPPSALA LÄN</t>
        </is>
      </c>
      <c r="G263" t="inlineStr">
        <is>
          <t>HEBY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19990-2022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46235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14.3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45964-2021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44441</v>
      </c>
      <c r="E265" s="1" t="n">
        <v>46235</v>
      </c>
      <c r="F265" t="inlineStr">
        <is>
          <t>UPPSALA LÄN</t>
        </is>
      </c>
      <c r="G265" t="inlineStr">
        <is>
          <t>HEBY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46235</v>
      </c>
      <c r="F266" t="inlineStr">
        <is>
          <t>UPPSALA LÄN</t>
        </is>
      </c>
      <c r="G266" t="inlineStr">
        <is>
          <t>HEBY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46235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46235</v>
      </c>
      <c r="F268" t="inlineStr">
        <is>
          <t>UPPSALA LÄN</t>
        </is>
      </c>
      <c r="G268" t="inlineStr">
        <is>
          <t>HEBY</t>
        </is>
      </c>
      <c r="H268" t="inlineStr">
        <is>
          <t>Allmännings- och besparingsskogar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46235</v>
      </c>
      <c r="F269" t="inlineStr">
        <is>
          <t>UPPSALA LÄN</t>
        </is>
      </c>
      <c r="G269" t="inlineStr">
        <is>
          <t>HEBY</t>
        </is>
      </c>
      <c r="H269" t="inlineStr">
        <is>
          <t>Övriga Aktiebolag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45805</v>
      </c>
      <c r="E270" s="1" t="n">
        <v>46235</v>
      </c>
      <c r="F270" t="inlineStr">
        <is>
          <t>UPPSALA LÄN</t>
        </is>
      </c>
      <c r="G270" t="inlineStr">
        <is>
          <t>HEBY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46235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46235</v>
      </c>
      <c r="F272" t="inlineStr">
        <is>
          <t>UPPSALA LÄN</t>
        </is>
      </c>
      <c r="G272" t="inlineStr">
        <is>
          <t>HEBY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44960</v>
      </c>
      <c r="E273" s="1" t="n">
        <v>46235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46235</v>
      </c>
      <c r="F274" t="inlineStr">
        <is>
          <t>UPPSALA LÄN</t>
        </is>
      </c>
      <c r="G274" t="inlineStr">
        <is>
          <t>HEBY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46235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70158-2021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44533</v>
      </c>
      <c r="E276" s="1" t="n">
        <v>46235</v>
      </c>
      <c r="F276" t="inlineStr">
        <is>
          <t>UPPSALA LÄN</t>
        </is>
      </c>
      <c r="G276" t="inlineStr">
        <is>
          <t>HEBY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44644</v>
      </c>
      <c r="E277" s="1" t="n">
        <v>46235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46235</v>
      </c>
      <c r="F278" t="inlineStr">
        <is>
          <t>UPPSALA LÄN</t>
        </is>
      </c>
      <c r="G278" t="inlineStr">
        <is>
          <t>HEBY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46235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46235</v>
      </c>
      <c r="F280" t="inlineStr">
        <is>
          <t>UPPSALA LÄN</t>
        </is>
      </c>
      <c r="G280" t="inlineStr">
        <is>
          <t>HEBY</t>
        </is>
      </c>
      <c r="H280" t="inlineStr">
        <is>
          <t>Kommuner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46235</v>
      </c>
      <c r="F281" t="inlineStr">
        <is>
          <t>UPPSALA LÄN</t>
        </is>
      </c>
      <c r="G281" t="inlineStr">
        <is>
          <t>HEBY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45944</v>
      </c>
      <c r="E282" s="1" t="n">
        <v>46235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46235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46235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43957-2021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44434</v>
      </c>
      <c r="E285" s="1" t="n">
        <v>46235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45639</v>
      </c>
      <c r="E286" s="1" t="n">
        <v>46235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46235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35868-2022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46235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46235</v>
      </c>
      <c r="F289" t="inlineStr">
        <is>
          <t>UPPSALA LÄN</t>
        </is>
      </c>
      <c r="G289" t="inlineStr">
        <is>
          <t>HEBY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46235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46235</v>
      </c>
      <c r="F291" t="inlineStr">
        <is>
          <t>UPPSALA LÄN</t>
        </is>
      </c>
      <c r="G291" t="inlineStr">
        <is>
          <t>HEBY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60788-2022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44914</v>
      </c>
      <c r="E292" s="1" t="n">
        <v>46235</v>
      </c>
      <c r="F292" t="inlineStr">
        <is>
          <t>UPPSALA LÄN</t>
        </is>
      </c>
      <c r="G292" t="inlineStr">
        <is>
          <t>HEBY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46235</v>
      </c>
      <c r="F293" t="inlineStr">
        <is>
          <t>UPPSALA LÄN</t>
        </is>
      </c>
      <c r="G293" t="inlineStr">
        <is>
          <t>HEBY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46235</v>
      </c>
      <c r="F294" t="inlineStr">
        <is>
          <t>UPPSALA LÄN</t>
        </is>
      </c>
      <c r="G294" t="inlineStr">
        <is>
          <t>HEBY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44431</v>
      </c>
      <c r="E295" s="1" t="n">
        <v>46235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52861-2025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46235</v>
      </c>
      <c r="F296" t="inlineStr">
        <is>
          <t>UPPSALA LÄN</t>
        </is>
      </c>
      <c r="G296" t="inlineStr">
        <is>
          <t>HEBY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45376</v>
      </c>
      <c r="E297" s="1" t="n">
        <v>46235</v>
      </c>
      <c r="F297" t="inlineStr">
        <is>
          <t>UPPSALA LÄN</t>
        </is>
      </c>
      <c r="G297" t="inlineStr">
        <is>
          <t>HEBY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45805</v>
      </c>
      <c r="E298" s="1" t="n">
        <v>46235</v>
      </c>
      <c r="F298" t="inlineStr">
        <is>
          <t>UPPSALA LÄN</t>
        </is>
      </c>
      <c r="G298" t="inlineStr">
        <is>
          <t>HEBY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46235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46235</v>
      </c>
      <c r="F300" t="inlineStr">
        <is>
          <t>UPPSALA LÄN</t>
        </is>
      </c>
      <c r="G300" t="inlineStr">
        <is>
          <t>HEBY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45030</v>
      </c>
      <c r="E301" s="1" t="n">
        <v>46235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46235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46235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46235</v>
      </c>
      <c r="F304" t="inlineStr">
        <is>
          <t>UPPSALA LÄN</t>
        </is>
      </c>
      <c r="G304" t="inlineStr">
        <is>
          <t>HEBY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46235</v>
      </c>
      <c r="F305" t="inlineStr">
        <is>
          <t>UPPSALA LÄN</t>
        </is>
      </c>
      <c r="G305" t="inlineStr">
        <is>
          <t>HEBY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46235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45770</v>
      </c>
      <c r="E307" s="1" t="n">
        <v>46235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44754</v>
      </c>
      <c r="E308" s="1" t="n">
        <v>46235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45132</v>
      </c>
      <c r="E309" s="1" t="n">
        <v>46235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45132</v>
      </c>
      <c r="E310" s="1" t="n">
        <v>46235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46235</v>
      </c>
      <c r="F311" t="inlineStr">
        <is>
          <t>UPPSALA LÄN</t>
        </is>
      </c>
      <c r="G311" t="inlineStr">
        <is>
          <t>HEBY</t>
        </is>
      </c>
      <c r="I311" t="n">
        <v>22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45132</v>
      </c>
      <c r="E312" s="1" t="n">
        <v>46235</v>
      </c>
      <c r="F312" t="inlineStr">
        <is>
          <t>UPPSALA LÄN</t>
        </is>
      </c>
      <c r="G312" t="inlineStr">
        <is>
          <t>HEBY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45966</v>
      </c>
      <c r="E313" s="1" t="n">
        <v>46235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46235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44609</v>
      </c>
      <c r="E315" s="1" t="n">
        <v>46235</v>
      </c>
      <c r="F315" t="inlineStr">
        <is>
          <t>UPPSALA LÄN</t>
        </is>
      </c>
      <c r="G315" t="inlineStr">
        <is>
          <t>HEBY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46235</v>
      </c>
      <c r="F316" t="inlineStr">
        <is>
          <t>UPPSALA LÄN</t>
        </is>
      </c>
      <c r="G316" t="inlineStr">
        <is>
          <t>HEBY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46235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45971</v>
      </c>
      <c r="E318" s="1" t="n">
        <v>46235</v>
      </c>
      <c r="F318" t="inlineStr">
        <is>
          <t>UPPSALA LÄN</t>
        </is>
      </c>
      <c r="G318" t="inlineStr">
        <is>
          <t>HEBY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55496-2025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45971</v>
      </c>
      <c r="E319" s="1" t="n">
        <v>46235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46235</v>
      </c>
      <c r="F320" t="inlineStr">
        <is>
          <t>UPPSALA LÄN</t>
        </is>
      </c>
      <c r="G320" t="inlineStr">
        <is>
          <t>HEBY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46235</v>
      </c>
      <c r="F321" t="inlineStr">
        <is>
          <t>UPPSALA LÄN</t>
        </is>
      </c>
      <c r="G321" t="inlineStr">
        <is>
          <t>HEBY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46235</v>
      </c>
      <c r="F322" t="inlineStr">
        <is>
          <t>UPPSALA LÄN</t>
        </is>
      </c>
      <c r="G322" t="inlineStr">
        <is>
          <t>HEBY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44435</v>
      </c>
      <c r="E323" s="1" t="n">
        <v>46235</v>
      </c>
      <c r="F323" t="inlineStr">
        <is>
          <t>UPPSALA LÄN</t>
        </is>
      </c>
      <c r="G323" t="inlineStr">
        <is>
          <t>HEBY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46235</v>
      </c>
      <c r="F324" t="inlineStr">
        <is>
          <t>UPPSALA LÄN</t>
        </is>
      </c>
      <c r="G324" t="inlineStr">
        <is>
          <t>HEBY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46235</v>
      </c>
      <c r="F325" t="inlineStr">
        <is>
          <t>UPPSALA LÄN</t>
        </is>
      </c>
      <c r="G325" t="inlineStr">
        <is>
          <t>HEBY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51091-2023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45218</v>
      </c>
      <c r="E326" s="1" t="n">
        <v>46235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45135</v>
      </c>
      <c r="E327" s="1" t="n">
        <v>46235</v>
      </c>
      <c r="F327" t="inlineStr">
        <is>
          <t>UPPSALA LÄN</t>
        </is>
      </c>
      <c r="G327" t="inlineStr">
        <is>
          <t>HEBY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46235</v>
      </c>
      <c r="F328" t="inlineStr">
        <is>
          <t>UPPSALA LÄN</t>
        </is>
      </c>
      <c r="G328" t="inlineStr">
        <is>
          <t>HEBY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45216</v>
      </c>
      <c r="E329" s="1" t="n">
        <v>46235</v>
      </c>
      <c r="F329" t="inlineStr">
        <is>
          <t>UPPSALA LÄN</t>
        </is>
      </c>
      <c r="G329" t="inlineStr">
        <is>
          <t>HEBY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46235</v>
      </c>
      <c r="F330" t="inlineStr">
        <is>
          <t>UPPSALA LÄN</t>
        </is>
      </c>
      <c r="G330" t="inlineStr">
        <is>
          <t>HEBY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46235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44684</v>
      </c>
      <c r="E332" s="1" t="n">
        <v>46235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44939</v>
      </c>
      <c r="E333" s="1" t="n">
        <v>46235</v>
      </c>
      <c r="F333" t="inlineStr">
        <is>
          <t>UPPSALA LÄN</t>
        </is>
      </c>
      <c r="G333" t="inlineStr">
        <is>
          <t>HEBY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46235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46235</v>
      </c>
      <c r="F335" t="inlineStr">
        <is>
          <t>UPPSALA LÄN</t>
        </is>
      </c>
      <c r="G335" t="inlineStr">
        <is>
          <t>HEBY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46235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45132</v>
      </c>
      <c r="E337" s="1" t="n">
        <v>46235</v>
      </c>
      <c r="F337" t="inlineStr">
        <is>
          <t>UPPSALA LÄN</t>
        </is>
      </c>
      <c r="G337" t="inlineStr">
        <is>
          <t>HEBY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46235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46235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46235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46235</v>
      </c>
      <c r="F341" t="inlineStr">
        <is>
          <t>UPPSALA LÄN</t>
        </is>
      </c>
      <c r="G341" t="inlineStr">
        <is>
          <t>HEBY</t>
        </is>
      </c>
      <c r="H341" t="inlineStr">
        <is>
          <t>Kyrkan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46235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70976-2021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44538</v>
      </c>
      <c r="E343" s="1" t="n">
        <v>46235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46235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35.2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29518-2026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46235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45099</v>
      </c>
      <c r="E346" s="1" t="n">
        <v>46235</v>
      </c>
      <c r="F346" t="inlineStr">
        <is>
          <t>UPPSALA LÄN</t>
        </is>
      </c>
      <c r="G346" t="inlineStr">
        <is>
          <t>HEBY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45670</v>
      </c>
      <c r="E347" s="1" t="n">
        <v>46235</v>
      </c>
      <c r="F347" t="inlineStr">
        <is>
          <t>UPPSALA LÄN</t>
        </is>
      </c>
      <c r="G347" t="inlineStr">
        <is>
          <t>HEBY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46235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46.8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46235</v>
      </c>
      <c r="F349" t="inlineStr">
        <is>
          <t>UPPSALA LÄN</t>
        </is>
      </c>
      <c r="G349" t="inlineStr">
        <is>
          <t>HEBY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44944</v>
      </c>
      <c r="E350" s="1" t="n">
        <v>46235</v>
      </c>
      <c r="F350" t="inlineStr">
        <is>
          <t>UPPSALA LÄN</t>
        </is>
      </c>
      <c r="G350" t="inlineStr">
        <is>
          <t>HEBY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46235</v>
      </c>
      <c r="F351" t="inlineStr">
        <is>
          <t>UPPSALA LÄN</t>
        </is>
      </c>
      <c r="G351" t="inlineStr">
        <is>
          <t>HEBY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50859-2022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44862</v>
      </c>
      <c r="E352" s="1" t="n">
        <v>46235</v>
      </c>
      <c r="F352" t="inlineStr">
        <is>
          <t>UPPSALA LÄN</t>
        </is>
      </c>
      <c r="G352" t="inlineStr">
        <is>
          <t>HEBY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44568</v>
      </c>
      <c r="E353" s="1" t="n">
        <v>46235</v>
      </c>
      <c r="F353" t="inlineStr">
        <is>
          <t>UPPSALA LÄN</t>
        </is>
      </c>
      <c r="G353" t="inlineStr">
        <is>
          <t>HEBY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46235</v>
      </c>
      <c r="F354" t="inlineStr">
        <is>
          <t>UPPSALA LÄN</t>
        </is>
      </c>
      <c r="G354" t="inlineStr">
        <is>
          <t>HEBY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45279</v>
      </c>
      <c r="E355" s="1" t="n">
        <v>46235</v>
      </c>
      <c r="F355" t="inlineStr">
        <is>
          <t>UPPSALA LÄN</t>
        </is>
      </c>
      <c r="G355" t="inlineStr">
        <is>
          <t>HEBY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46235</v>
      </c>
      <c r="F356" t="inlineStr">
        <is>
          <t>UPPSALA LÄN</t>
        </is>
      </c>
      <c r="G356" t="inlineStr">
        <is>
          <t>HEBY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46235</v>
      </c>
      <c r="F357" t="inlineStr">
        <is>
          <t>UPPSALA LÄN</t>
        </is>
      </c>
      <c r="G357" t="inlineStr">
        <is>
          <t>HEBY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46235</v>
      </c>
      <c r="F358" t="inlineStr">
        <is>
          <t>UPPSALA LÄN</t>
        </is>
      </c>
      <c r="G358" t="inlineStr">
        <is>
          <t>HEBY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46235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62042-2025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46005</v>
      </c>
      <c r="E360" s="1" t="n">
        <v>46235</v>
      </c>
      <c r="F360" t="inlineStr">
        <is>
          <t>UPPSALA LÄN</t>
        </is>
      </c>
      <c r="G360" t="inlineStr">
        <is>
          <t>HEBY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45599</v>
      </c>
      <c r="E361" s="1" t="n">
        <v>46235</v>
      </c>
      <c r="F361" t="inlineStr">
        <is>
          <t>UPPSALA LÄN</t>
        </is>
      </c>
      <c r="G361" t="inlineStr">
        <is>
          <t>HEBY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46235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45344</v>
      </c>
      <c r="E363" s="1" t="n">
        <v>46235</v>
      </c>
      <c r="F363" t="inlineStr">
        <is>
          <t>UPPSALA LÄN</t>
        </is>
      </c>
      <c r="G363" t="inlineStr">
        <is>
          <t>HEBY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46235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46235</v>
      </c>
      <c r="F365" t="inlineStr">
        <is>
          <t>UPPSALA LÄN</t>
        </is>
      </c>
      <c r="G365" t="inlineStr">
        <is>
          <t>HEBY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46235</v>
      </c>
      <c r="F366" t="inlineStr">
        <is>
          <t>UPPSALA LÄN</t>
        </is>
      </c>
      <c r="G366" t="inlineStr">
        <is>
          <t>HEBY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46235</v>
      </c>
      <c r="F367" t="inlineStr">
        <is>
          <t>UPPSALA LÄN</t>
        </is>
      </c>
      <c r="G367" t="inlineStr">
        <is>
          <t>HEBY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66055-2021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44517</v>
      </c>
      <c r="E368" s="1" t="n">
        <v>46235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öst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46235</v>
      </c>
      <c r="F369" t="inlineStr">
        <is>
          <t>UPPSALA LÄN</t>
        </is>
      </c>
      <c r="G369" t="inlineStr">
        <is>
          <t>HEBY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46235</v>
      </c>
      <c r="F370" t="inlineStr">
        <is>
          <t>UPPSALA LÄN</t>
        </is>
      </c>
      <c r="G370" t="inlineStr">
        <is>
          <t>HEBY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45761</v>
      </c>
      <c r="E371" s="1" t="n">
        <v>46235</v>
      </c>
      <c r="F371" t="inlineStr">
        <is>
          <t>UPPSALA LÄN</t>
        </is>
      </c>
      <c r="G371" t="inlineStr">
        <is>
          <t>HEBY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46235</v>
      </c>
      <c r="F372" t="inlineStr">
        <is>
          <t>UPPSALA LÄN</t>
        </is>
      </c>
      <c r="G372" t="inlineStr">
        <is>
          <t>HEBY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72180-2021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44543</v>
      </c>
      <c r="E373" s="1" t="n">
        <v>46235</v>
      </c>
      <c r="F373" t="inlineStr">
        <is>
          <t>UPPSALA LÄN</t>
        </is>
      </c>
      <c r="G373" t="inlineStr">
        <is>
          <t>HEBY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44911</v>
      </c>
      <c r="E374" s="1" t="n">
        <v>46235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45551</v>
      </c>
      <c r="E375" s="1" t="n">
        <v>46235</v>
      </c>
      <c r="F375" t="inlineStr">
        <is>
          <t>UPPSALA LÄN</t>
        </is>
      </c>
      <c r="G375" t="inlineStr">
        <is>
          <t>HEBY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46235</v>
      </c>
      <c r="F376" t="inlineStr">
        <is>
          <t>UPPSALA LÄN</t>
        </is>
      </c>
      <c r="G376" t="inlineStr">
        <is>
          <t>HEBY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33381-2024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46235</v>
      </c>
      <c r="F377" t="inlineStr">
        <is>
          <t>UPPSALA LÄN</t>
        </is>
      </c>
      <c r="G377" t="inlineStr">
        <is>
          <t>HEBY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46235</v>
      </c>
      <c r="F378" t="inlineStr">
        <is>
          <t>UPPSALA LÄN</t>
        </is>
      </c>
      <c r="G378" t="inlineStr">
        <is>
          <t>HEBY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46235</v>
      </c>
      <c r="F379" t="inlineStr">
        <is>
          <t>UPPSALA LÄN</t>
        </is>
      </c>
      <c r="G379" t="inlineStr">
        <is>
          <t>HEBY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21310-2023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46235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45209</v>
      </c>
      <c r="E381" s="1" t="n">
        <v>46235</v>
      </c>
      <c r="F381" t="inlineStr">
        <is>
          <t>UPPSALA LÄN</t>
        </is>
      </c>
      <c r="G381" t="inlineStr">
        <is>
          <t>HEBY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45117</v>
      </c>
      <c r="E382" s="1" t="n">
        <v>46235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46235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46235</v>
      </c>
      <c r="F384" t="inlineStr">
        <is>
          <t>UPPSALA LÄN</t>
        </is>
      </c>
      <c r="G384" t="inlineStr">
        <is>
          <t>HEBY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46235</v>
      </c>
      <c r="F385" t="inlineStr">
        <is>
          <t>UPPSALA LÄN</t>
        </is>
      </c>
      <c r="G385" t="inlineStr">
        <is>
          <t>HEBY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46023</v>
      </c>
      <c r="E386" s="1" t="n">
        <v>46235</v>
      </c>
      <c r="F386" t="inlineStr">
        <is>
          <t>UPPSALA LÄN</t>
        </is>
      </c>
      <c r="G386" t="inlineStr">
        <is>
          <t>HEBY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45317</v>
      </c>
      <c r="E387" s="1" t="n">
        <v>46235</v>
      </c>
      <c r="F387" t="inlineStr">
        <is>
          <t>UPPSALA LÄN</t>
        </is>
      </c>
      <c r="G387" t="inlineStr">
        <is>
          <t>HEBY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46235</v>
      </c>
      <c r="F388" t="inlineStr">
        <is>
          <t>UPPSALA LÄN</t>
        </is>
      </c>
      <c r="G388" t="inlineStr">
        <is>
          <t>HEBY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73622-2021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44552</v>
      </c>
      <c r="E389" s="1" t="n">
        <v>46235</v>
      </c>
      <c r="F389" t="inlineStr">
        <is>
          <t>UPPSALA LÄN</t>
        </is>
      </c>
      <c r="G389" t="inlineStr">
        <is>
          <t>HEBY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45006</v>
      </c>
      <c r="E390" s="1" t="n">
        <v>46235</v>
      </c>
      <c r="F390" t="inlineStr">
        <is>
          <t>UPPSALA LÄN</t>
        </is>
      </c>
      <c r="G390" t="inlineStr">
        <is>
          <t>HEBY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45029</v>
      </c>
      <c r="E391" s="1" t="n">
        <v>46235</v>
      </c>
      <c r="F391" t="inlineStr">
        <is>
          <t>UPPSALA LÄN</t>
        </is>
      </c>
      <c r="G391" t="inlineStr">
        <is>
          <t>HEBY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44568</v>
      </c>
      <c r="E392" s="1" t="n">
        <v>46235</v>
      </c>
      <c r="F392" t="inlineStr">
        <is>
          <t>UPPSALA LÄN</t>
        </is>
      </c>
      <c r="G392" t="inlineStr">
        <is>
          <t>HEBY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31561-2026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46223</v>
      </c>
      <c r="E393" s="1" t="n">
        <v>46235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46235</v>
      </c>
      <c r="F394" t="inlineStr">
        <is>
          <t>UPPSALA LÄN</t>
        </is>
      </c>
      <c r="G394" t="inlineStr">
        <is>
          <t>HEBY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46223</v>
      </c>
      <c r="E395" s="1" t="n">
        <v>46235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46235</v>
      </c>
      <c r="F396" t="inlineStr">
        <is>
          <t>UPPSALA LÄN</t>
        </is>
      </c>
      <c r="G396" t="inlineStr">
        <is>
          <t>HEBY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46235</v>
      </c>
      <c r="F397" t="inlineStr">
        <is>
          <t>UPPSALA LÄN</t>
        </is>
      </c>
      <c r="G397" t="inlineStr">
        <is>
          <t>HEBY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45532</v>
      </c>
      <c r="E398" s="1" t="n">
        <v>46235</v>
      </c>
      <c r="F398" t="inlineStr">
        <is>
          <t>UPPSALA LÄN</t>
        </is>
      </c>
      <c r="G398" t="inlineStr">
        <is>
          <t>HEBY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46044</v>
      </c>
      <c r="E399" s="1" t="n">
        <v>46235</v>
      </c>
      <c r="F399" t="inlineStr">
        <is>
          <t>UPPSALA LÄN</t>
        </is>
      </c>
      <c r="G399" t="inlineStr">
        <is>
          <t>HEBY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46235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46235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46235</v>
      </c>
      <c r="F402" t="inlineStr">
        <is>
          <t>UPPSALA LÄN</t>
        </is>
      </c>
      <c r="G402" t="inlineStr">
        <is>
          <t>HEBY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46235</v>
      </c>
      <c r="F403" t="inlineStr">
        <is>
          <t>UPPSALA LÄN</t>
        </is>
      </c>
      <c r="G403" t="inlineStr">
        <is>
          <t>HEBY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46235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46235</v>
      </c>
      <c r="F405" t="inlineStr">
        <is>
          <t>UPPSALA LÄN</t>
        </is>
      </c>
      <c r="G405" t="inlineStr">
        <is>
          <t>HEBY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46235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46235</v>
      </c>
      <c r="F407" t="inlineStr">
        <is>
          <t>UPPSALA LÄN</t>
        </is>
      </c>
      <c r="G407" t="inlineStr">
        <is>
          <t>HEBY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45511</v>
      </c>
      <c r="E408" s="1" t="n">
        <v>46235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46235</v>
      </c>
      <c r="F409" t="inlineStr">
        <is>
          <t>UPPSALA LÄN</t>
        </is>
      </c>
      <c r="G409" t="inlineStr">
        <is>
          <t>HEBY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46235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8881-2025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46235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46235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46220</v>
      </c>
      <c r="E413" s="1" t="n">
        <v>46235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55.9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46235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64364-2021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44511</v>
      </c>
      <c r="E415" s="1" t="n">
        <v>46235</v>
      </c>
      <c r="F415" t="inlineStr">
        <is>
          <t>UPPSALA LÄN</t>
        </is>
      </c>
      <c r="G415" t="inlineStr">
        <is>
          <t>HEBY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11555-2026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46084</v>
      </c>
      <c r="E416" s="1" t="n">
        <v>46235</v>
      </c>
      <c r="F416" t="inlineStr">
        <is>
          <t>UPPSALA LÄN</t>
        </is>
      </c>
      <c r="G416" t="inlineStr">
        <is>
          <t>HEBY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46235</v>
      </c>
      <c r="F417" t="inlineStr">
        <is>
          <t>UPPSALA LÄN</t>
        </is>
      </c>
      <c r="G417" t="inlineStr">
        <is>
          <t>HEBY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46235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46235</v>
      </c>
      <c r="F419" t="inlineStr">
        <is>
          <t>UPPSALA LÄN</t>
        </is>
      </c>
      <c r="G419" t="inlineStr">
        <is>
          <t>HEBY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46235</v>
      </c>
      <c r="F420" t="inlineStr">
        <is>
          <t>UPPSALA LÄN</t>
        </is>
      </c>
      <c r="G420" t="inlineStr">
        <is>
          <t>HEBY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46235</v>
      </c>
      <c r="F421" t="inlineStr">
        <is>
          <t>UPPSALA LÄN</t>
        </is>
      </c>
      <c r="G421" t="inlineStr">
        <is>
          <t>HEBY</t>
        </is>
      </c>
      <c r="H421" t="inlineStr">
        <is>
          <t>Kommuner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46235</v>
      </c>
      <c r="F422" t="inlineStr">
        <is>
          <t>UPPSALA LÄN</t>
        </is>
      </c>
      <c r="G422" t="inlineStr">
        <is>
          <t>HEBY</t>
        </is>
      </c>
      <c r="H422" t="inlineStr">
        <is>
          <t>Kommuner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46235</v>
      </c>
      <c r="F423" t="inlineStr">
        <is>
          <t>UPPSALA LÄN</t>
        </is>
      </c>
      <c r="G423" t="inlineStr">
        <is>
          <t>HEBY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31604-2026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46224</v>
      </c>
      <c r="E424" s="1" t="n">
        <v>46235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46059</v>
      </c>
      <c r="E425" s="1" t="n">
        <v>46235</v>
      </c>
      <c r="F425" t="inlineStr">
        <is>
          <t>UPPSALA LÄN</t>
        </is>
      </c>
      <c r="G425" t="inlineStr">
        <is>
          <t>HEBY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45321</v>
      </c>
      <c r="E426" s="1" t="n">
        <v>46235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45589</v>
      </c>
      <c r="E427" s="1" t="n">
        <v>46235</v>
      </c>
      <c r="F427" t="inlineStr">
        <is>
          <t>UPPSALA LÄN</t>
        </is>
      </c>
      <c r="G427" t="inlineStr">
        <is>
          <t>HEBY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44620</v>
      </c>
      <c r="E428" s="1" t="n">
        <v>46235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46235</v>
      </c>
      <c r="F429" t="inlineStr">
        <is>
          <t>UPPSALA LÄN</t>
        </is>
      </c>
      <c r="G429" t="inlineStr">
        <is>
          <t>HEBY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44613</v>
      </c>
      <c r="E430" s="1" t="n">
        <v>46235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8003-2026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46235</v>
      </c>
      <c r="F431" t="inlineStr">
        <is>
          <t>UPPSALA LÄN</t>
        </is>
      </c>
      <c r="G431" t="inlineStr">
        <is>
          <t>HEBY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7986-2026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46235</v>
      </c>
      <c r="F432" t="inlineStr">
        <is>
          <t>UPPSALA LÄN</t>
        </is>
      </c>
      <c r="G432" t="inlineStr">
        <is>
          <t>HEBY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45331</v>
      </c>
      <c r="E433" s="1" t="n">
        <v>46235</v>
      </c>
      <c r="F433" t="inlineStr">
        <is>
          <t>UPPSALA LÄN</t>
        </is>
      </c>
      <c r="G433" t="inlineStr">
        <is>
          <t>HEBY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74215-2021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44558</v>
      </c>
      <c r="E434" s="1" t="n">
        <v>46235</v>
      </c>
      <c r="F434" t="inlineStr">
        <is>
          <t>UPPSALA LÄN</t>
        </is>
      </c>
      <c r="G434" t="inlineStr">
        <is>
          <t>HEBY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46231</v>
      </c>
      <c r="E435" s="1" t="n">
        <v>46235</v>
      </c>
      <c r="F435" t="inlineStr">
        <is>
          <t>UPPSALA LÄN</t>
        </is>
      </c>
      <c r="G435" t="inlineStr">
        <is>
          <t>HEBY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40924-2023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45173</v>
      </c>
      <c r="E436" s="1" t="n">
        <v>46235</v>
      </c>
      <c r="F436" t="inlineStr">
        <is>
          <t>UPPSALA LÄN</t>
        </is>
      </c>
      <c r="G436" t="inlineStr">
        <is>
          <t>HEBY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46235</v>
      </c>
      <c r="F437" t="inlineStr">
        <is>
          <t>UPPSALA LÄN</t>
        </is>
      </c>
      <c r="G437" t="inlineStr">
        <is>
          <t>HEBY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52955-2022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44875</v>
      </c>
      <c r="E438" s="1" t="n">
        <v>46235</v>
      </c>
      <c r="F438" t="inlineStr">
        <is>
          <t>UPPSALA LÄN</t>
        </is>
      </c>
      <c r="G438" t="inlineStr">
        <is>
          <t>HEBY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45008</v>
      </c>
      <c r="E439" s="1" t="n">
        <v>46235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46235</v>
      </c>
      <c r="F440" t="inlineStr">
        <is>
          <t>UPPSALA LÄN</t>
        </is>
      </c>
      <c r="G440" t="inlineStr">
        <is>
          <t>HEBY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46231</v>
      </c>
      <c r="E441" s="1" t="n">
        <v>46235</v>
      </c>
      <c r="F441" t="inlineStr">
        <is>
          <t>UPPSALA LÄN</t>
        </is>
      </c>
      <c r="G441" t="inlineStr">
        <is>
          <t>HEBY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46235</v>
      </c>
      <c r="F442" t="inlineStr">
        <is>
          <t>UPPSALA LÄN</t>
        </is>
      </c>
      <c r="G442" t="inlineStr">
        <is>
          <t>HEBY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46235</v>
      </c>
      <c r="F443" t="inlineStr">
        <is>
          <t>UPPSALA LÄN</t>
        </is>
      </c>
      <c r="G443" t="inlineStr">
        <is>
          <t>HEBY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45337</v>
      </c>
      <c r="E444" s="1" t="n">
        <v>46235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45181</v>
      </c>
      <c r="E445" s="1" t="n">
        <v>46235</v>
      </c>
      <c r="F445" t="inlineStr">
        <is>
          <t>UPPSALA LÄN</t>
        </is>
      </c>
      <c r="G445" t="inlineStr">
        <is>
          <t>HEBY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45599</v>
      </c>
      <c r="E446" s="1" t="n">
        <v>46235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46235</v>
      </c>
      <c r="F447" t="inlineStr">
        <is>
          <t>UPPSALA LÄN</t>
        </is>
      </c>
      <c r="G447" t="inlineStr">
        <is>
          <t>HEBY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46235</v>
      </c>
      <c r="F448" t="inlineStr">
        <is>
          <t>UPPSALA LÄN</t>
        </is>
      </c>
      <c r="G448" t="inlineStr">
        <is>
          <t>HEBY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46073</v>
      </c>
      <c r="E449" s="1" t="n">
        <v>46235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46235</v>
      </c>
      <c r="F450" t="inlineStr">
        <is>
          <t>UPPSALA LÄN</t>
        </is>
      </c>
      <c r="G450" t="inlineStr">
        <is>
          <t>HEBY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46235</v>
      </c>
      <c r="F451" t="inlineStr">
        <is>
          <t>UPPSALA LÄN</t>
        </is>
      </c>
      <c r="G451" t="inlineStr">
        <is>
          <t>HEBY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46235</v>
      </c>
      <c r="F452" t="inlineStr">
        <is>
          <t>UPPSALA LÄN</t>
        </is>
      </c>
      <c r="G452" t="inlineStr">
        <is>
          <t>HEBY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46235</v>
      </c>
      <c r="F453" t="inlineStr">
        <is>
          <t>UPPSALA LÄN</t>
        </is>
      </c>
      <c r="G453" t="inlineStr">
        <is>
          <t>HEBY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46235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46079</v>
      </c>
      <c r="E455" s="1" t="n">
        <v>46235</v>
      </c>
      <c r="F455" t="inlineStr">
        <is>
          <t>UPPSALA LÄN</t>
        </is>
      </c>
      <c r="G455" t="inlineStr">
        <is>
          <t>HEBY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45674</v>
      </c>
      <c r="E456" s="1" t="n">
        <v>46235</v>
      </c>
      <c r="F456" t="inlineStr">
        <is>
          <t>UPPSALA LÄN</t>
        </is>
      </c>
      <c r="G456" t="inlineStr">
        <is>
          <t>HEBY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44802</v>
      </c>
      <c r="E457" s="1" t="n">
        <v>46235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35875-2022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44802</v>
      </c>
      <c r="E458" s="1" t="n">
        <v>46235</v>
      </c>
      <c r="F458" t="inlineStr">
        <is>
          <t>UPPSALA LÄN</t>
        </is>
      </c>
      <c r="G458" t="inlineStr">
        <is>
          <t>HEBY</t>
        </is>
      </c>
      <c r="I458" t="n">
        <v>12.1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46235</v>
      </c>
      <c r="F459" t="inlineStr">
        <is>
          <t>UPPSALA LÄN</t>
        </is>
      </c>
      <c r="G459" t="inlineStr">
        <is>
          <t>HEBY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44623</v>
      </c>
      <c r="E460" s="1" t="n">
        <v>46235</v>
      </c>
      <c r="F460" t="inlineStr">
        <is>
          <t>UPPSALA LÄN</t>
        </is>
      </c>
      <c r="G460" t="inlineStr">
        <is>
          <t>HEBY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19718-2023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45050</v>
      </c>
      <c r="E461" s="1" t="n">
        <v>46235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8181-2022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44609</v>
      </c>
      <c r="E462" s="1" t="n">
        <v>46235</v>
      </c>
      <c r="F462" t="inlineStr">
        <is>
          <t>UPPSALA LÄN</t>
        </is>
      </c>
      <c r="G462" t="inlineStr">
        <is>
          <t>HEBY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46235</v>
      </c>
      <c r="F463" t="inlineStr">
        <is>
          <t>UPPSALA LÄN</t>
        </is>
      </c>
      <c r="G463" t="inlineStr">
        <is>
          <t>HEBY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46235</v>
      </c>
      <c r="F464" t="inlineStr">
        <is>
          <t>UPPSALA LÄN</t>
        </is>
      </c>
      <c r="G464" t="inlineStr">
        <is>
          <t>HEBY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46235</v>
      </c>
      <c r="F465" t="inlineStr">
        <is>
          <t>UPPSALA LÄN</t>
        </is>
      </c>
      <c r="G465" t="inlineStr">
        <is>
          <t>HEBY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46235</v>
      </c>
      <c r="F466" t="inlineStr">
        <is>
          <t>UPPSALA LÄN</t>
        </is>
      </c>
      <c r="G466" t="inlineStr">
        <is>
          <t>HEBY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45117</v>
      </c>
      <c r="E467" s="1" t="n">
        <v>46235</v>
      </c>
      <c r="F467" t="inlineStr">
        <is>
          <t>UPPSALA LÄN</t>
        </is>
      </c>
      <c r="G467" t="inlineStr">
        <is>
          <t>HEBY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45195</v>
      </c>
      <c r="E468" s="1" t="n">
        <v>46235</v>
      </c>
      <c r="F468" t="inlineStr">
        <is>
          <t>UPPSALA LÄN</t>
        </is>
      </c>
      <c r="G468" t="inlineStr">
        <is>
          <t>HEBY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46235</v>
      </c>
      <c r="F469" t="inlineStr">
        <is>
          <t>UPPSALA LÄN</t>
        </is>
      </c>
      <c r="G469" t="inlineStr">
        <is>
          <t>HEBY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46235</v>
      </c>
      <c r="F470" t="inlineStr">
        <is>
          <t>UPPSALA LÄN</t>
        </is>
      </c>
      <c r="G470" t="inlineStr">
        <is>
          <t>HEBY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45133</v>
      </c>
      <c r="E471" s="1" t="n">
        <v>46235</v>
      </c>
      <c r="F471" t="inlineStr">
        <is>
          <t>UPPSALA LÄN</t>
        </is>
      </c>
      <c r="G471" t="inlineStr">
        <is>
          <t>HEBY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46235</v>
      </c>
      <c r="F472" t="inlineStr">
        <is>
          <t>UPPSALA LÄN</t>
        </is>
      </c>
      <c r="G472" t="inlineStr">
        <is>
          <t>HEBY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45009-2022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44841</v>
      </c>
      <c r="E473" s="1" t="n">
        <v>46235</v>
      </c>
      <c r="F473" t="inlineStr">
        <is>
          <t>UPPSALA LÄN</t>
        </is>
      </c>
      <c r="G473" t="inlineStr">
        <is>
          <t>HEBY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46235</v>
      </c>
      <c r="F474" t="inlineStr">
        <is>
          <t>UPPSALA LÄN</t>
        </is>
      </c>
      <c r="G474" t="inlineStr">
        <is>
          <t>HEBY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34593-2023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45138</v>
      </c>
      <c r="E475" s="1" t="n">
        <v>46235</v>
      </c>
      <c r="F475" t="inlineStr">
        <is>
          <t>UPPSALA LÄN</t>
        </is>
      </c>
      <c r="G475" t="inlineStr">
        <is>
          <t>HEBY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45740</v>
      </c>
      <c r="E476" s="1" t="n">
        <v>46235</v>
      </c>
      <c r="F476" t="inlineStr">
        <is>
          <t>UPPSALA LÄN</t>
        </is>
      </c>
      <c r="G476" t="inlineStr">
        <is>
          <t>HEBY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46235</v>
      </c>
      <c r="F477" t="inlineStr">
        <is>
          <t>UPPSALA LÄN</t>
        </is>
      </c>
      <c r="G477" t="inlineStr">
        <is>
          <t>HEBY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44694</v>
      </c>
      <c r="E478" s="1" t="n">
        <v>46235</v>
      </c>
      <c r="F478" t="inlineStr">
        <is>
          <t>UPPSALA LÄN</t>
        </is>
      </c>
      <c r="G478" t="inlineStr">
        <is>
          <t>HEBY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54594-2024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45617</v>
      </c>
      <c r="E479" s="1" t="n">
        <v>46235</v>
      </c>
      <c r="F479" t="inlineStr">
        <is>
          <t>UPPSALA LÄN</t>
        </is>
      </c>
      <c r="G479" t="inlineStr">
        <is>
          <t>HEBY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33379-2022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44788</v>
      </c>
      <c r="E480" s="1" t="n">
        <v>46235</v>
      </c>
      <c r="F480" t="inlineStr">
        <is>
          <t>UPPSALA LÄN</t>
        </is>
      </c>
      <c r="G480" t="inlineStr">
        <is>
          <t>HEBY</t>
        </is>
      </c>
      <c r="I480" t="n">
        <v>18.8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16164-2026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46110</v>
      </c>
      <c r="E481" s="1" t="n">
        <v>46235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46235</v>
      </c>
      <c r="F482" t="inlineStr">
        <is>
          <t>UPPSALA LÄN</t>
        </is>
      </c>
      <c r="G482" t="inlineStr">
        <is>
          <t>HEBY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46235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46235</v>
      </c>
      <c r="F484" t="inlineStr">
        <is>
          <t>UPPSALA LÄN</t>
        </is>
      </c>
      <c r="G484" t="inlineStr">
        <is>
          <t>HEBY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16506-2026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46112</v>
      </c>
      <c r="E485" s="1" t="n">
        <v>46235</v>
      </c>
      <c r="F485" t="inlineStr">
        <is>
          <t>UPPSALA LÄN</t>
        </is>
      </c>
      <c r="G485" t="inlineStr">
        <is>
          <t>HEBY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16511-2026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46235</v>
      </c>
      <c r="F486" t="inlineStr">
        <is>
          <t>UPPSALA LÄN</t>
        </is>
      </c>
      <c r="G486" t="inlineStr">
        <is>
          <t>HEBY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46235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46235</v>
      </c>
      <c r="F488" t="inlineStr">
        <is>
          <t>UPPSALA LÄN</t>
        </is>
      </c>
      <c r="G488" t="inlineStr">
        <is>
          <t>HEBY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46235</v>
      </c>
      <c r="F489" t="inlineStr">
        <is>
          <t>UPPSALA LÄN</t>
        </is>
      </c>
      <c r="G489" t="inlineStr">
        <is>
          <t>HEBY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46235</v>
      </c>
      <c r="F490" t="inlineStr">
        <is>
          <t>UPPSALA LÄN</t>
        </is>
      </c>
      <c r="G490" t="inlineStr">
        <is>
          <t>HEBY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46235</v>
      </c>
      <c r="F491" t="inlineStr">
        <is>
          <t>UPPSALA LÄN</t>
        </is>
      </c>
      <c r="G491" t="inlineStr">
        <is>
          <t>HEBY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46235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46235</v>
      </c>
      <c r="F493" t="inlineStr">
        <is>
          <t>UPPSALA LÄN</t>
        </is>
      </c>
      <c r="G493" t="inlineStr">
        <is>
          <t>HEBY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29340-2022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44752</v>
      </c>
      <c r="E494" s="1" t="n">
        <v>46235</v>
      </c>
      <c r="F494" t="inlineStr">
        <is>
          <t>UPPSALA LÄN</t>
        </is>
      </c>
      <c r="G494" t="inlineStr">
        <is>
          <t>HEBY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46235</v>
      </c>
      <c r="F495" t="inlineStr">
        <is>
          <t>UPPSALA LÄN</t>
        </is>
      </c>
      <c r="G495" t="inlineStr">
        <is>
          <t>HEBY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44791</v>
      </c>
      <c r="E496" s="1" t="n">
        <v>46235</v>
      </c>
      <c r="F496" t="inlineStr">
        <is>
          <t>UPPSALA LÄN</t>
        </is>
      </c>
      <c r="G496" t="inlineStr">
        <is>
          <t>HEBY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46235</v>
      </c>
      <c r="F497" t="inlineStr">
        <is>
          <t>UPPSALA LÄN</t>
        </is>
      </c>
      <c r="G497" t="inlineStr">
        <is>
          <t>HEBY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46235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18374-2026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46235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46235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22334-2025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45786</v>
      </c>
      <c r="E501" s="1" t="n">
        <v>46235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46235</v>
      </c>
      <c r="F502" t="inlineStr">
        <is>
          <t>UPPSALA LÄN</t>
        </is>
      </c>
      <c r="G502" t="inlineStr">
        <is>
          <t>HEBY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46235</v>
      </c>
      <c r="F503" t="inlineStr">
        <is>
          <t>UPPSALA LÄN</t>
        </is>
      </c>
      <c r="G503" t="inlineStr">
        <is>
          <t>HEBY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46235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45786</v>
      </c>
      <c r="E505" s="1" t="n">
        <v>46235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45317</v>
      </c>
      <c r="E506" s="1" t="n">
        <v>46235</v>
      </c>
      <c r="F506" t="inlineStr">
        <is>
          <t>UPPSALA LÄN</t>
        </is>
      </c>
      <c r="G506" t="inlineStr">
        <is>
          <t>HEBY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44734</v>
      </c>
      <c r="E507" s="1" t="n">
        <v>46235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46235</v>
      </c>
      <c r="F508" t="inlineStr">
        <is>
          <t>UPPSALA LÄN</t>
        </is>
      </c>
      <c r="G508" t="inlineStr">
        <is>
          <t>HEBY</t>
        </is>
      </c>
      <c r="H508" t="inlineStr">
        <is>
          <t>Kyrkan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46135</v>
      </c>
      <c r="E509" s="1" t="n">
        <v>46235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44753</v>
      </c>
      <c r="E510" s="1" t="n">
        <v>46235</v>
      </c>
      <c r="F510" t="inlineStr">
        <is>
          <t>UPPSALA LÄN</t>
        </is>
      </c>
      <c r="G510" t="inlineStr">
        <is>
          <t>HEBY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45355</v>
      </c>
      <c r="E511" s="1" t="n">
        <v>46235</v>
      </c>
      <c r="F511" t="inlineStr">
        <is>
          <t>UPPSALA LÄN</t>
        </is>
      </c>
      <c r="G511" t="inlineStr">
        <is>
          <t>HEBY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13601-2024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46235</v>
      </c>
      <c r="F512" t="inlineStr">
        <is>
          <t>UPPSALA LÄN</t>
        </is>
      </c>
      <c r="G512" t="inlineStr">
        <is>
          <t>HEBY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44644</v>
      </c>
      <c r="E513" s="1" t="n">
        <v>46235</v>
      </c>
      <c r="F513" t="inlineStr">
        <is>
          <t>UPPSALA LÄN</t>
        </is>
      </c>
      <c r="G513" t="inlineStr">
        <is>
          <t>HEBY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46235</v>
      </c>
      <c r="F514" t="inlineStr">
        <is>
          <t>UPPSALA LÄN</t>
        </is>
      </c>
      <c r="G514" t="inlineStr">
        <is>
          <t>HEBY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40455-2025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45895</v>
      </c>
      <c r="E515" s="1" t="n">
        <v>46235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öst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45293</v>
      </c>
      <c r="E516" s="1" t="n">
        <v>46235</v>
      </c>
      <c r="F516" t="inlineStr">
        <is>
          <t>UPPSALA LÄN</t>
        </is>
      </c>
      <c r="G516" t="inlineStr">
        <is>
          <t>HEBY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46235</v>
      </c>
      <c r="F517" t="inlineStr">
        <is>
          <t>UPPSALA LÄN</t>
        </is>
      </c>
      <c r="G517" t="inlineStr">
        <is>
          <t>HEBY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45786</v>
      </c>
      <c r="E518" s="1" t="n">
        <v>46235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45786</v>
      </c>
      <c r="E519" s="1" t="n">
        <v>46235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32245-2022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44781</v>
      </c>
      <c r="E520" s="1" t="n">
        <v>46235</v>
      </c>
      <c r="F520" t="inlineStr">
        <is>
          <t>UPPSALA LÄN</t>
        </is>
      </c>
      <c r="G520" t="inlineStr">
        <is>
          <t>HEBY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33385-2023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45128</v>
      </c>
      <c r="E521" s="1" t="n">
        <v>46235</v>
      </c>
      <c r="F521" t="inlineStr">
        <is>
          <t>UPPSALA LÄN</t>
        </is>
      </c>
      <c r="G521" t="inlineStr">
        <is>
          <t>HEBY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46235</v>
      </c>
      <c r="F522" t="inlineStr">
        <is>
          <t>UPPSALA LÄN</t>
        </is>
      </c>
      <c r="G522" t="inlineStr">
        <is>
          <t>HEBY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41556-2023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46235</v>
      </c>
      <c r="F523" t="inlineStr">
        <is>
          <t>UPPSALA LÄN</t>
        </is>
      </c>
      <c r="G523" t="inlineStr">
        <is>
          <t>HEBY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25419-2022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44732</v>
      </c>
      <c r="E524" s="1" t="n">
        <v>46235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46235</v>
      </c>
      <c r="F525" t="inlineStr">
        <is>
          <t>UPPSALA LÄN</t>
        </is>
      </c>
      <c r="G525" t="inlineStr">
        <is>
          <t>HEBY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46235</v>
      </c>
      <c r="F526" t="inlineStr">
        <is>
          <t>UPPSALA LÄN</t>
        </is>
      </c>
      <c r="G526" t="inlineStr">
        <is>
          <t>HEBY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45133</v>
      </c>
      <c r="E527" s="1" t="n">
        <v>46235</v>
      </c>
      <c r="F527" t="inlineStr">
        <is>
          <t>UPPSALA LÄN</t>
        </is>
      </c>
      <c r="G527" t="inlineStr">
        <is>
          <t>HEBY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45112</v>
      </c>
      <c r="E528" s="1" t="n">
        <v>46235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12.3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45209</v>
      </c>
      <c r="E529" s="1" t="n">
        <v>46235</v>
      </c>
      <c r="F529" t="inlineStr">
        <is>
          <t>UPPSALA LÄN</t>
        </is>
      </c>
      <c r="G529" t="inlineStr">
        <is>
          <t>HEBY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46235</v>
      </c>
      <c r="F530" t="inlineStr">
        <is>
          <t>UPPSALA LÄN</t>
        </is>
      </c>
      <c r="G530" t="inlineStr">
        <is>
          <t>HEBY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46235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44914</v>
      </c>
      <c r="E532" s="1" t="n">
        <v>46235</v>
      </c>
      <c r="F532" t="inlineStr">
        <is>
          <t>UPPSALA LÄN</t>
        </is>
      </c>
      <c r="G532" t="inlineStr">
        <is>
          <t>HEBY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45797</v>
      </c>
      <c r="E533" s="1" t="n">
        <v>46235</v>
      </c>
      <c r="F533" t="inlineStr">
        <is>
          <t>UPPSALA LÄN</t>
        </is>
      </c>
      <c r="G533" t="inlineStr">
        <is>
          <t>HEBY</t>
        </is>
      </c>
      <c r="H533" t="inlineStr">
        <is>
          <t>Kyrkan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46235</v>
      </c>
      <c r="F534" t="inlineStr">
        <is>
          <t>UPPSALA LÄN</t>
        </is>
      </c>
      <c r="G534" t="inlineStr">
        <is>
          <t>HEBY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25968-2025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45804</v>
      </c>
      <c r="E535" s="1" t="n">
        <v>46235</v>
      </c>
      <c r="F535" t="inlineStr">
        <is>
          <t>UPPSALA LÄN</t>
        </is>
      </c>
      <c r="G535" t="inlineStr">
        <is>
          <t>HEBY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25969-2025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45804</v>
      </c>
      <c r="E536" s="1" t="n">
        <v>46235</v>
      </c>
      <c r="F536" t="inlineStr">
        <is>
          <t>UPPSALA LÄN</t>
        </is>
      </c>
      <c r="G536" t="inlineStr">
        <is>
          <t>HEBY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46235</v>
      </c>
      <c r="F537" t="inlineStr">
        <is>
          <t>UPPSALA LÄN</t>
        </is>
      </c>
      <c r="G537" t="inlineStr">
        <is>
          <t>HEBY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45705</v>
      </c>
      <c r="E538" s="1" t="n">
        <v>46235</v>
      </c>
      <c r="F538" t="inlineStr">
        <is>
          <t>UPPSALA LÄN</t>
        </is>
      </c>
      <c r="G538" t="inlineStr">
        <is>
          <t>HEBY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46235</v>
      </c>
      <c r="F539" t="inlineStr">
        <is>
          <t>UPPSALA LÄN</t>
        </is>
      </c>
      <c r="G539" t="inlineStr">
        <is>
          <t>HEBY</t>
        </is>
      </c>
      <c r="I539" t="n">
        <v>15.8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14884-2024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45398</v>
      </c>
      <c r="E540" s="1" t="n">
        <v>46235</v>
      </c>
      <c r="F540" t="inlineStr">
        <is>
          <t>UPPSALA LÄN</t>
        </is>
      </c>
      <c r="G540" t="inlineStr">
        <is>
          <t>HEBY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46235</v>
      </c>
      <c r="F541" t="inlineStr">
        <is>
          <t>UPPSALA LÄN</t>
        </is>
      </c>
      <c r="G541" t="inlineStr">
        <is>
          <t>HEBY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9758-2023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44984</v>
      </c>
      <c r="E542" s="1" t="n">
        <v>46235</v>
      </c>
      <c r="F542" t="inlineStr">
        <is>
          <t>UPPSALA LÄN</t>
        </is>
      </c>
      <c r="G542" t="inlineStr">
        <is>
          <t>HEBY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45519</v>
      </c>
      <c r="E543" s="1" t="n">
        <v>46235</v>
      </c>
      <c r="F543" t="inlineStr">
        <is>
          <t>UPPSALA LÄN</t>
        </is>
      </c>
      <c r="G543" t="inlineStr">
        <is>
          <t>HEBY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46235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45628</v>
      </c>
      <c r="E545" s="1" t="n">
        <v>46235</v>
      </c>
      <c r="F545" t="inlineStr">
        <is>
          <t>UPPSALA LÄN</t>
        </is>
      </c>
      <c r="G545" t="inlineStr">
        <is>
          <t>HEBY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8199-2025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45708</v>
      </c>
      <c r="E546" s="1" t="n">
        <v>46235</v>
      </c>
      <c r="F546" t="inlineStr">
        <is>
          <t>UPPSALA LÄN</t>
        </is>
      </c>
      <c r="G546" t="inlineStr">
        <is>
          <t>HEBY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49536-2024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46235</v>
      </c>
      <c r="F547" t="inlineStr">
        <is>
          <t>UPPSALA LÄN</t>
        </is>
      </c>
      <c r="G547" t="inlineStr">
        <is>
          <t>HEBY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46235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46235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46235</v>
      </c>
      <c r="F550" t="inlineStr">
        <is>
          <t>UPPSALA LÄN</t>
        </is>
      </c>
      <c r="G550" t="inlineStr">
        <is>
          <t>HEBY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29739-2025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46235</v>
      </c>
      <c r="F551" t="inlineStr">
        <is>
          <t>UPPSALA LÄN</t>
        </is>
      </c>
      <c r="G551" t="inlineStr">
        <is>
          <t>HEBY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45826</v>
      </c>
      <c r="E552" s="1" t="n">
        <v>46235</v>
      </c>
      <c r="F552" t="inlineStr">
        <is>
          <t>UPPSALA LÄN</t>
        </is>
      </c>
      <c r="G552" t="inlineStr">
        <is>
          <t>HEBY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45827</v>
      </c>
      <c r="E553" s="1" t="n">
        <v>46235</v>
      </c>
      <c r="F553" t="inlineStr">
        <is>
          <t>UPPSALA LÄN</t>
        </is>
      </c>
      <c r="G553" t="inlineStr">
        <is>
          <t>HEBY</t>
        </is>
      </c>
      <c r="H553" t="inlineStr">
        <is>
          <t>Övriga Aktiebolag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46235</v>
      </c>
      <c r="F554" t="inlineStr">
        <is>
          <t>UPPSALA LÄN</t>
        </is>
      </c>
      <c r="G554" t="inlineStr">
        <is>
          <t>HEBY</t>
        </is>
      </c>
      <c r="H554" t="inlineStr">
        <is>
          <t>Övriga Aktiebolag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46235</v>
      </c>
      <c r="F555" t="inlineStr">
        <is>
          <t>UPPSALA LÄN</t>
        </is>
      </c>
      <c r="G555" t="inlineStr">
        <is>
          <t>HEBY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19132-2025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46235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46235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43.4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46235</v>
      </c>
      <c r="F558" t="inlineStr">
        <is>
          <t>UPPSALA LÄN</t>
        </is>
      </c>
      <c r="G558" t="inlineStr">
        <is>
          <t>HEBY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46235</v>
      </c>
      <c r="F559" t="inlineStr">
        <is>
          <t>UPPSALA LÄN</t>
        </is>
      </c>
      <c r="G559" t="inlineStr">
        <is>
          <t>HEBY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46235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45847</v>
      </c>
      <c r="E561" s="1" t="n">
        <v>46235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45852</v>
      </c>
      <c r="E562" s="1" t="n">
        <v>46235</v>
      </c>
      <c r="F562" t="inlineStr">
        <is>
          <t>UPPSALA LÄN</t>
        </is>
      </c>
      <c r="G562" t="inlineStr">
        <is>
          <t>HEBY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45852</v>
      </c>
      <c r="E563" s="1" t="n">
        <v>46235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10.3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45777</v>
      </c>
      <c r="E564" s="1" t="n">
        <v>46235</v>
      </c>
      <c r="F564" t="inlineStr">
        <is>
          <t>UPPSALA LÄN</t>
        </is>
      </c>
      <c r="G564" t="inlineStr">
        <is>
          <t>HEBY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1334-2022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44629</v>
      </c>
      <c r="E565" s="1" t="n">
        <v>46235</v>
      </c>
      <c r="F565" t="inlineStr">
        <is>
          <t>UPPSALA LÄN</t>
        </is>
      </c>
      <c r="G565" t="inlineStr">
        <is>
          <t>HEBY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10324-2021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44546</v>
      </c>
      <c r="E566" s="1" t="n">
        <v>46235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517-2022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44588</v>
      </c>
      <c r="E567" s="1" t="n">
        <v>46235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2310-2022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44684</v>
      </c>
      <c r="E568" s="1" t="n">
        <v>46235</v>
      </c>
      <c r="F568" t="inlineStr">
        <is>
          <t>UPPSALA LÄN</t>
        </is>
      </c>
      <c r="G568" t="inlineStr">
        <is>
          <t>HEBY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44629</v>
      </c>
      <c r="E569" s="1" t="n">
        <v>46235</v>
      </c>
      <c r="F569" t="inlineStr">
        <is>
          <t>UPPSALA LÄN</t>
        </is>
      </c>
      <c r="G569" t="inlineStr">
        <is>
          <t>HEBY</t>
        </is>
      </c>
      <c r="I569" t="n">
        <v>25.1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HYPERLINK("https://klasma.github.io/Logging_0331/knärot/S 1330-2022 karta knärot.png", "S 1330-2022")</f>
        <v/>
      </c>
      <c r="AA569">
        <f>HYPERLINK("https://klasma.github.io/Logging_0331/klagomål/S 1330-2022 FSC-klagomål.docx", "S 1330-2022")</f>
        <v/>
      </c>
      <c r="AB569">
        <f>HYPERLINK("https://klasma.github.io/Logging_0331/klagomålsmail/S 1330-2022 FSC-klagomål mail.docx", "S 1330-2022")</f>
        <v/>
      </c>
      <c r="AC569">
        <f>HYPERLINK("https://klasma.github.io/Logging_0331/tillsyn/S 1330-2022 tillsynsbegäran.docx", "S 1330-2022")</f>
        <v/>
      </c>
      <c r="AD569">
        <f>HYPERLINK("https://klasma.github.io/Logging_0331/tillsynsmail/S 1330-2022 tillsynsbegäran mail.docx", "S 1330-2022")</f>
        <v/>
      </c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46235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5859-2021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44438</v>
      </c>
      <c r="E571" s="1" t="n">
        <v>46235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44788</v>
      </c>
      <c r="E572" s="1" t="n">
        <v>46235</v>
      </c>
      <c r="F572" t="inlineStr">
        <is>
          <t>UPPSALA LÄN</t>
        </is>
      </c>
      <c r="G572" t="inlineStr">
        <is>
          <t>HEBY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46235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46235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46235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46235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46235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46235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3301-2025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45987</v>
      </c>
      <c r="E579" s="1" t="n">
        <v>46235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46000</v>
      </c>
      <c r="E580" s="1" t="n">
        <v>46235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598-2026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46085</v>
      </c>
      <c r="E581" s="1" t="n">
        <v>46235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1818-2026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46190</v>
      </c>
      <c r="E582" s="1" t="n">
        <v>46235</v>
      </c>
      <c r="F582" t="inlineStr">
        <is>
          <t>UPPSALA LÄN</t>
        </is>
      </c>
      <c r="G582" t="inlineStr">
        <is>
          <t>HEBY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2026-08-01T01:50:28Z</dcterms:created>
  <dcterms:modified xmlns:dcterms="http://purl.org/dc/terms/" xmlns:xsi="http://www.w3.org/2001/XMLSchema-instance" xsi:type="dcterms:W3CDTF">2026-08-01T01:50:28Z</dcterms:modified>
</cp:coreProperties>
</file>
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46256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t="n">
        <v>4</v>
      </c>
      <c r="V5" s="2" t="inlineStr">
        <is>
          <t>Grönfink
Knärot
Gulsparv
Talltita
Tretåig hackspett
Vedtrappmossa
Bronshjon
Jättesvampmal
Thomsons trägnagare
Järpe
Spillkråka
Grönsiska
Kungsfågel
Slaguggla</t>
        </is>
      </c>
      <c r="W5">
        <f>HYPERLINK("https://klasma.github.io/Logging_0331/artfynd/A 50253-2025 artfynd.xlsx", "A 50253-2025")</f>
        <v/>
      </c>
      <c r="X5">
        <f>HYPERLINK("https://klasma.github.io/Logging_0331/kartor/A 50253-2025 karta.png", "A 50253-2025")</f>
        <v/>
      </c>
      <c r="Y5">
        <f>HYPERLINK("https://klasma.github.io/Logging_0331/kartor_geotiff/A 50253-2025 georefererad karta.tif", "A 50253-2025")</f>
        <v/>
      </c>
      <c r="Z5">
        <f>HYPERLINK("https://klasma.github.io/Logging_0331/knärot/A 50253-2025 karta knärot.png", "A 50253-2025")</f>
        <v/>
      </c>
      <c r="AA5">
        <f>HYPERLINK("https://klasma.github.io/Logging_0331/klagomål/A 50253-2025 FSC-klagomål.docx", "A 50253-2025")</f>
        <v/>
      </c>
      <c r="AB5">
        <f>HYPERLINK("https://klasma.github.io/Logging_0331/klagomålsmail/A 50253-2025 FSC-klagomål mail.docx", "A 50253-2025")</f>
        <v/>
      </c>
      <c r="AC5">
        <f>HYPERLINK("https://klasma.github.io/Logging_0331/tillsyn/A 50253-2025 tillsynsbegäran.docx", "A 50253-2025")</f>
        <v/>
      </c>
      <c r="AD5">
        <f>HYPERLINK("https://klasma.github.io/Logging_0331/tillsynsmail/A 50253-2025 tillsynsbegäran mail.docx", "A 50253-2025")</f>
        <v/>
      </c>
      <c r="AE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46256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t="n">
        <v>18</v>
      </c>
      <c r="V6" s="2" t="inlineStr">
        <is>
          <t>Knärot
Raggbock
Stjärntagging
Tallticka
Grön sköldmossa
Grönpyrola
Vedticka
Spillkråka
Tjäder
Kungsfågel
Orre
Fläcknycklar
Ängsnycklar
Revlummer</t>
        </is>
      </c>
      <c r="W6">
        <f>HYPERLINK("https://klasma.github.io/Logging_0331/artfynd/A 32759-2023 artfynd.xlsx", "A 32759-2023")</f>
        <v/>
      </c>
      <c r="X6">
        <f>HYPERLINK("https://klasma.github.io/Logging_0331/kartor/A 32759-2023 karta.png", "A 32759-2023")</f>
        <v/>
      </c>
      <c r="Y6">
        <f>HYPERLINK("https://klasma.github.io/Logging_0331/kartor_geotiff/A 32759-2023 georefererad karta.tif", "A 32759-2023")</f>
        <v/>
      </c>
      <c r="Z6">
        <f>HYPERLINK("https://klasma.github.io/Logging_0331/knärot/A 32759-2023 karta knärot.png", "A 32759-2023")</f>
        <v/>
      </c>
      <c r="AA6">
        <f>HYPERLINK("https://klasma.github.io/Logging_0331/klagomål/A 32759-2023 FSC-klagomål.docx", "A 32759-2023")</f>
        <v/>
      </c>
      <c r="AB6">
        <f>HYPERLINK("https://klasma.github.io/Logging_0331/klagomålsmail/A 32759-2023 FSC-klagomål mail.docx", "A 32759-2023")</f>
        <v/>
      </c>
      <c r="AC6">
        <f>HYPERLINK("https://klasma.github.io/Logging_0331/tillsyn/A 32759-2023 tillsynsbegäran.docx", "A 32759-2023")</f>
        <v/>
      </c>
      <c r="AD6">
        <f>HYPERLINK("https://klasma.github.io/Logging_0331/tillsynsmail/A 32759-2023 tillsynsbegäran mail.docx", "A 32759-2023")</f>
        <v/>
      </c>
      <c r="AE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46256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46256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46256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46256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20980-2025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46256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20980-2025 artfynd.xlsx", "A 20980-2025")</f>
        <v/>
      </c>
      <c r="X11">
        <f>HYPERLINK("https://klasma.github.io/Logging_0331/kartor/A 20980-2025 karta.png", "A 20980-2025")</f>
        <v/>
      </c>
      <c r="Y11">
        <f>HYPERLINK("https://klasma.github.io/Logging_0331/kartor_geotiff/A 20980-2025 georefererad karta.tif", "A 20980-2025")</f>
        <v/>
      </c>
      <c r="Z11">
        <f>HYPERLINK("https://klasma.github.io/Logging_0331/knärot/A 20980-2025 karta knärot.png", "A 20980-2025")</f>
        <v/>
      </c>
      <c r="AA11">
        <f>HYPERLINK("https://klasma.github.io/Logging_0331/klagomål/A 20980-2025 FSC-klagomål.docx", "A 20980-2025")</f>
        <v/>
      </c>
      <c r="AB11">
        <f>HYPERLINK("https://klasma.github.io/Logging_0331/klagomålsmail/A 20980-2025 FSC-klagomål mail.docx", "A 20980-2025")</f>
        <v/>
      </c>
      <c r="AC11">
        <f>HYPERLINK("https://klasma.github.io/Logging_0331/tillsyn/A 20980-2025 tillsynsbegäran.docx", "A 20980-2025")</f>
        <v/>
      </c>
      <c r="AD11">
        <f>HYPERLINK("https://klasma.github.io/Logging_0331/tillsynsmail/A 20980-2025 tillsynsbegäran mail.docx", "A 20980-2025")</f>
        <v/>
      </c>
      <c r="AE11">
        <f>HYPERLINK("https://klasma.github.io/Logging_0331/fåglar/A 20980-2025 prioriterade fågelarter.docx", "A 20980-2025")</f>
        <v/>
      </c>
    </row>
    <row r="12" ht="15" customHeight="1">
      <c r="A12" t="inlineStr">
        <is>
          <t>A 20993-2025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46256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20993-2025 artfynd.xlsx", "A 20993-2025")</f>
        <v/>
      </c>
      <c r="X12">
        <f>HYPERLINK("https://klasma.github.io/Logging_0331/kartor/A 20993-2025 karta.png", "A 20993-2025")</f>
        <v/>
      </c>
      <c r="Y12">
        <f>HYPERLINK("https://klasma.github.io/Logging_0331/kartor_geotiff/A 20993-2025 georefererad karta.tif", "A 20993-2025")</f>
        <v/>
      </c>
      <c r="Z12">
        <f>HYPERLINK("https://klasma.github.io/Logging_0331/knärot/A 20993-2025 karta knärot.png", "A 20993-2025")</f>
        <v/>
      </c>
      <c r="AA12">
        <f>HYPERLINK("https://klasma.github.io/Logging_0331/klagomål/A 20993-2025 FSC-klagomål.docx", "A 20993-2025")</f>
        <v/>
      </c>
      <c r="AB12">
        <f>HYPERLINK("https://klasma.github.io/Logging_0331/klagomålsmail/A 20993-2025 FSC-klagomål mail.docx", "A 20993-2025")</f>
        <v/>
      </c>
      <c r="AC12">
        <f>HYPERLINK("https://klasma.github.io/Logging_0331/tillsyn/A 20993-2025 tillsynsbegäran.docx", "A 20993-2025")</f>
        <v/>
      </c>
      <c r="AD12">
        <f>HYPERLINK("https://klasma.github.io/Logging_0331/tillsynsmail/A 20993-2025 tillsynsbegäran mail.docx", "A 20993-2025")</f>
        <v/>
      </c>
      <c r="AE12">
        <f>HYPERLINK("https://klasma.github.io/Logging_0331/fåglar/A 20993-2025 prioriterade fågelarter.docx", "A 20993-2025")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46256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t="n">
        <v>8</v>
      </c>
      <c r="V13" s="2" t="inlineStr">
        <is>
          <t>Skrovlig taggsvamp
Motaggsvamp
Talltita
Grönpyrola
Fönsterlav
Skogsstjärna
Tjäder
Tofsmes
Revlummer</t>
        </is>
      </c>
      <c r="W13">
        <f>HYPERLINK("https://klasma.github.io/Logging_0331/artfynd/A 22535-2026 artfynd.xlsx", "A 22535-2026")</f>
        <v/>
      </c>
      <c r="X13">
        <f>HYPERLINK("https://klasma.github.io/Logging_0331/kartor/A 22535-2026 karta.png", "A 22535-2026")</f>
        <v/>
      </c>
      <c r="Y13">
        <f>HYPERLINK("https://klasma.github.io/Logging_0331/kartor_geotiff/A 22535-2026 georefererad karta.tif", "A 22535-2026")</f>
        <v/>
      </c>
      <c r="AA13">
        <f>HYPERLINK("https://klasma.github.io/Logging_0331/klagomål/A 22535-2026 FSC-klagomål.docx", "A 22535-2026")</f>
        <v/>
      </c>
      <c r="AB13">
        <f>HYPERLINK("https://klasma.github.io/Logging_0331/klagomålsmail/A 22535-2026 FSC-klagomål mail.docx", "A 22535-2026")</f>
        <v/>
      </c>
      <c r="AC13">
        <f>HYPERLINK("https://klasma.github.io/Logging_0331/tillsyn/A 22535-2026 tillsynsbegäran.docx", "A 22535-2026")</f>
        <v/>
      </c>
      <c r="AD13">
        <f>HYPERLINK("https://klasma.github.io/Logging_0331/tillsynsmail/A 22535-2026 tillsynsbegäran mail.docx", "A 22535-2026")</f>
        <v/>
      </c>
      <c r="AE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46256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46256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46256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46256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46256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t="n">
        <v>8</v>
      </c>
      <c r="V18" s="2" t="inlineStr">
        <is>
          <t>Mindre bastardsvärmare
Blåsippa
Ekbräken
Kransmossa
Mattlummer
Ormbär</t>
        </is>
      </c>
      <c r="W18">
        <f>HYPERLINK("https://klasma.github.io/Logging_0331/artfynd/A 21712-2026 artfynd.xlsx", "A 21712-2026")</f>
        <v/>
      </c>
      <c r="X18">
        <f>HYPERLINK("https://klasma.github.io/Logging_0331/kartor/A 21712-2026 karta.png", "A 21712-2026")</f>
        <v/>
      </c>
      <c r="Y18">
        <f>HYPERLINK("https://klasma.github.io/Logging_0331/kartor_geotiff/A 21712-2026 georefererad karta.tif", "A 21712-2026")</f>
        <v/>
      </c>
      <c r="AA18">
        <f>HYPERLINK("https://klasma.github.io/Logging_0331/klagomål/A 21712-2026 FSC-klagomål.docx", "A 21712-2026")</f>
        <v/>
      </c>
      <c r="AB18">
        <f>HYPERLINK("https://klasma.github.io/Logging_0331/klagomålsmail/A 21712-2026 FSC-klagomål mail.docx", "A 21712-2026")</f>
        <v/>
      </c>
      <c r="AC18">
        <f>HYPERLINK("https://klasma.github.io/Logging_0331/tillsyn/A 21712-2026 tillsynsbegäran.docx", "A 21712-2026")</f>
        <v/>
      </c>
      <c r="AD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46256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t="n">
        <v>3</v>
      </c>
      <c r="V19" s="2" t="inlineStr">
        <is>
          <t>Rotfingersvamp
Motaggsvamp
Tvåfläckig kvickbagge
Grönpyrola
Plattlummer
Fönsterlav</t>
        </is>
      </c>
      <c r="W19">
        <f>HYPERLINK("https://klasma.github.io/Logging_0331/artfynd/A 21717-2026 artfynd.xlsx", "A 21717-2026")</f>
        <v/>
      </c>
      <c r="X19">
        <f>HYPERLINK("https://klasma.github.io/Logging_0331/kartor/A 21717-2026 karta.png", "A 21717-2026")</f>
        <v/>
      </c>
      <c r="Y19">
        <f>HYPERLINK("https://klasma.github.io/Logging_0331/kartor_geotiff/A 21717-2026 georefererad karta.tif", "A 21717-2026")</f>
        <v/>
      </c>
      <c r="Z19">
        <f>HYPERLINK("https://klasma.github.io/Logging_0331/knärot/A 21717-2026 karta knärot.png", "A 21717-2026")</f>
        <v/>
      </c>
      <c r="AA19">
        <f>HYPERLINK("https://klasma.github.io/Logging_0331/klagomål/A 21717-2026 FSC-klagomål.docx", "A 21717-2026")</f>
        <v/>
      </c>
      <c r="AB19">
        <f>HYPERLINK("https://klasma.github.io/Logging_0331/klagomålsmail/A 21717-2026 FSC-klagomål mail.docx", "A 21717-2026")</f>
        <v/>
      </c>
      <c r="AC19">
        <f>HYPERLINK("https://klasma.github.io/Logging_0331/tillsyn/A 21717-2026 tillsynsbegäran.docx", "A 21717-2026")</f>
        <v/>
      </c>
      <c r="AD19">
        <f>HYPERLINK("https://klasma.github.io/Logging_0331/tillsynsmail/A 21717-2026 tillsynsbegäran mail.docx", "A 21717-2026")</f>
        <v/>
      </c>
    </row>
    <row r="20" ht="15" customHeight="1">
      <c r="A20" t="inlineStr">
        <is>
          <t>A 58369-2025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46256</v>
      </c>
      <c r="F20" t="inlineStr">
        <is>
          <t>UPPSALA LÄN</t>
        </is>
      </c>
      <c r="G20" t="inlineStr">
        <is>
          <t>HEBY</t>
        </is>
      </c>
      <c r="I20" t="n">
        <v>4.6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Myskbock
Noshornsoxe
Större träfjäril
Spillkråka
Vanlig padda</t>
        </is>
      </c>
      <c r="W20">
        <f>HYPERLINK("https://klasma.github.io/Logging_0331/artfynd/A 58369-2025 artfynd.xlsx", "A 58369-2025")</f>
        <v/>
      </c>
      <c r="X20">
        <f>HYPERLINK("https://klasma.github.io/Logging_0331/kartor/A 58369-2025 karta.png", "A 58369-2025")</f>
        <v/>
      </c>
      <c r="Y20">
        <f>HYPERLINK("https://klasma.github.io/Logging_0331/kartor_geotiff/A 58369-2025 georefererad karta.tif", "A 58369-2025")</f>
        <v/>
      </c>
      <c r="AA20">
        <f>HYPERLINK("https://klasma.github.io/Logging_0331/klagomål/A 58369-2025 FSC-klagomål.docx", "A 58369-2025")</f>
        <v/>
      </c>
      <c r="AB20">
        <f>HYPERLINK("https://klasma.github.io/Logging_0331/klagomålsmail/A 58369-2025 FSC-klagomål mail.docx", "A 58369-2025")</f>
        <v/>
      </c>
      <c r="AC20">
        <f>HYPERLINK("https://klasma.github.io/Logging_0331/tillsyn/A 58369-2025 tillsynsbegäran.docx", "A 58369-2025")</f>
        <v/>
      </c>
      <c r="AD20">
        <f>HYPERLINK("https://klasma.github.io/Logging_0331/tillsynsmail/A 58369-2025 tillsynsbegäran mail.docx", "A 58369-2025")</f>
        <v/>
      </c>
      <c r="AE20">
        <f>HYPERLINK("https://klasma.github.io/Logging_0331/fåglar/A 58369-2025 prioriterade fågelarter.docx", "A 58369-2025")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46256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46256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t="n">
        <v>13</v>
      </c>
      <c r="V22" s="2" t="inlineStr">
        <is>
          <t>Knärot
Grönpyrola
Norrlandslav
Vedticka
Fläcknycklar</t>
        </is>
      </c>
      <c r="W22">
        <f>HYPERLINK("https://klasma.github.io/Logging_0331/artfynd/A 31572-2023 artfynd.xlsx", "A 31572-2023")</f>
        <v/>
      </c>
      <c r="X22">
        <f>HYPERLINK("https://klasma.github.io/Logging_0331/kartor/A 31572-2023 karta.png", "A 31572-2023")</f>
        <v/>
      </c>
      <c r="Y22">
        <f>HYPERLINK("https://klasma.github.io/Logging_0331/kartor_geotiff/A 31572-2023 georefererad karta.tif", "A 31572-2023")</f>
        <v/>
      </c>
      <c r="Z22">
        <f>HYPERLINK("https://klasma.github.io/Logging_0331/knärot/A 31572-2023 karta knärot.png", "A 31572-2023")</f>
        <v/>
      </c>
      <c r="AA22">
        <f>HYPERLINK("https://klasma.github.io/Logging_0331/klagomål/A 31572-2023 FSC-klagomål.docx", "A 31572-2023")</f>
        <v/>
      </c>
      <c r="AB22">
        <f>HYPERLINK("https://klasma.github.io/Logging_0331/klagomålsmail/A 31572-2023 FSC-klagomål mail.docx", "A 31572-2023")</f>
        <v/>
      </c>
      <c r="AC22">
        <f>HYPERLINK("https://klasma.github.io/Logging_0331/tillsyn/A 31572-2023 tillsynsbegäran.docx", "A 31572-2023")</f>
        <v/>
      </c>
      <c r="AD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46256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A 34404-2026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46254</v>
      </c>
      <c r="E24" s="1" t="n">
        <v>46256</v>
      </c>
      <c r="F24" t="inlineStr">
        <is>
          <t>UPPSALA LÄN</t>
        </is>
      </c>
      <c r="G24" t="inlineStr">
        <is>
          <t>HEBY</t>
        </is>
      </c>
      <c r="H24" t="inlineStr">
        <is>
          <t>Kyrkan</t>
        </is>
      </c>
      <c r="I24" t="n">
        <v>1.8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Brunklöver
Mattlummer
Spillkråka
Grönsiska
Kungsfågel</t>
        </is>
      </c>
      <c r="W24">
        <f>HYPERLINK("https://klasma.github.io/Logging_0331/artfynd/A 34404-2026 artfynd.xlsx", "A 34404-2026")</f>
        <v/>
      </c>
      <c r="X24">
        <f>HYPERLINK("https://klasma.github.io/Logging_0331/kartor/A 34404-2026 karta.png", "A 34404-2026")</f>
        <v/>
      </c>
      <c r="Y24">
        <f>HYPERLINK("https://klasma.github.io/Logging_0331/kartor_geotiff/A 34404-2026 georefererad karta.tif", "A 34404-2026")</f>
        <v/>
      </c>
      <c r="AA24">
        <f>HYPERLINK("https://klasma.github.io/Logging_0331/klagomål/A 34404-2026 FSC-klagomål.docx", "A 34404-2026")</f>
        <v/>
      </c>
      <c r="AB24">
        <f>HYPERLINK("https://klasma.github.io/Logging_0331/klagomålsmail/A 34404-2026 FSC-klagomål mail.docx", "A 34404-2026")</f>
        <v/>
      </c>
      <c r="AC24">
        <f>HYPERLINK("https://klasma.github.io/Logging_0331/tillsyn/A 34404-2026 tillsynsbegäran.docx", "A 34404-2026")</f>
        <v/>
      </c>
      <c r="AD24">
        <f>HYPERLINK("https://klasma.github.io/Logging_0331/tillsynsmail/A 34404-2026 tillsynsbegäran mail.docx", "A 34404-2026")</f>
        <v/>
      </c>
      <c r="AE24">
        <f>HYPERLINK("https://klasma.github.io/Logging_0331/fåglar/A 34404-2026 prioriterade fågelarter.docx", "A 34404-2026")</f>
        <v/>
      </c>
    </row>
    <row r="25" ht="15" customHeight="1">
      <c r="A25" t="inlineStr">
        <is>
          <t>S 400-2022</t>
        </is>
      </c>
      <c r="B25" t="inlineStr">
        <is>
          <t>samrådsanmälan</t>
        </is>
      </c>
      <c r="C25" t="inlineStr">
        <is>
          <t>Skogsgödsling</t>
        </is>
      </c>
      <c r="D25" s="1" t="n">
        <v>44585</v>
      </c>
      <c r="E25" s="1" t="n">
        <v>46256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115.5</v>
      </c>
      <c r="J25" t="n">
        <v>4</v>
      </c>
      <c r="K25" t="n">
        <v>1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32</v>
      </c>
      <c r="U25" t="n">
        <v>2</v>
      </c>
      <c r="V25" s="2" t="inlineStr">
        <is>
          <t>Mosippa
Knärot
Mellanlummer
Motaggsvamp
Plattlummer</t>
        </is>
      </c>
      <c r="W25">
        <f>HYPERLINK("https://klasma.github.io/Logging_0331/artfynd/S 400-2022 artfynd.xlsx", "S 400-2022")</f>
        <v/>
      </c>
      <c r="X25">
        <f>HYPERLINK("https://klasma.github.io/Logging_0331/kartor/S 400-2022 karta.png", "S 400-2022")</f>
        <v/>
      </c>
      <c r="Y25">
        <f>HYPERLINK("https://klasma.github.io/Logging_0331/kartor_geotiff/S 400-2022 georefererad karta.tif", "S 400-2022")</f>
        <v/>
      </c>
      <c r="Z25">
        <f>HYPERLINK("https://klasma.github.io/Logging_0331/knärot/S 400-2022 karta knärot.png", "S 400-2022")</f>
        <v/>
      </c>
      <c r="AA25">
        <f>HYPERLINK("https://klasma.github.io/Logging_0331/klagomål/S 400-2022 FSC-klagomål.docx", "S 400-2022")</f>
        <v/>
      </c>
      <c r="AB25">
        <f>HYPERLINK("https://klasma.github.io/Logging_0331/klagomålsmail/S 400-2022 FSC-klagomål mail.docx", "S 400-2022")</f>
        <v/>
      </c>
      <c r="AC25">
        <f>HYPERLINK("https://klasma.github.io/Logging_0331/tillsyn/S 400-2022 tillsynsbegäran.docx", "S 400-2022")</f>
        <v/>
      </c>
      <c r="AD25">
        <f>HYPERLINK("https://klasma.github.io/Logging_0331/tillsynsmail/S 400-2022 tillsynsbegäran mail.docx", "S 400-2022")</f>
        <v/>
      </c>
    </row>
    <row r="26" ht="15" customHeight="1">
      <c r="A26" t="inlineStr">
        <is>
          <t>A 1396-2022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44573</v>
      </c>
      <c r="E26" s="1" t="n">
        <v>46256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Orre
Åkergroda
Vanlig groda
Vanlig padda</t>
        </is>
      </c>
      <c r="W26">
        <f>HYPERLINK("https://klasma.github.io/Logging_0331/artfynd/A 1396-2022 artfynd.xlsx", "A 1396-2022")</f>
        <v/>
      </c>
      <c r="X26">
        <f>HYPERLINK("https://klasma.github.io/Logging_0331/kartor/A 1396-2022 karta.png", "A 1396-2022")</f>
        <v/>
      </c>
      <c r="Y26">
        <f>HYPERLINK("https://klasma.github.io/Logging_0331/kartor_geotiff/A 1396-2022 georefererad karta.tif", "A 1396-2022")</f>
        <v/>
      </c>
      <c r="AA26">
        <f>HYPERLINK("https://klasma.github.io/Logging_0331/klagomål/A 1396-2022 FSC-klagomål.docx", "A 1396-2022")</f>
        <v/>
      </c>
      <c r="AB26">
        <f>HYPERLINK("https://klasma.github.io/Logging_0331/klagomålsmail/A 1396-2022 FSC-klagomål mail.docx", "A 1396-2022")</f>
        <v/>
      </c>
      <c r="AC26">
        <f>HYPERLINK("https://klasma.github.io/Logging_0331/tillsyn/A 1396-2022 tillsynsbegäran.docx", "A 1396-2022")</f>
        <v/>
      </c>
      <c r="AD26">
        <f>HYPERLINK("https://klasma.github.io/Logging_0331/tillsynsmail/A 1396-2022 tillsynsbegäran mail.docx", "A 1396-2022")</f>
        <v/>
      </c>
      <c r="AE26">
        <f>HYPERLINK("https://klasma.github.io/Logging_0331/fåglar/A 1396-2022 prioriterade fågelarter.docx", "A 1396-2022")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46256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46256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46256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46256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30090-2024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45485</v>
      </c>
      <c r="E31" s="1" t="n">
        <v>46256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2.1</v>
      </c>
      <c r="J31" t="n">
        <v>0</v>
      </c>
      <c r="K31" t="n">
        <v>3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Aspsplintbock
Aspvedgnagare
Björksplintborre
Jättesvampmal</t>
        </is>
      </c>
      <c r="W31">
        <f>HYPERLINK("https://klasma.github.io/Logging_0331/artfynd/A 30090-2024 artfynd.xlsx", "A 30090-2024")</f>
        <v/>
      </c>
      <c r="X31">
        <f>HYPERLINK("https://klasma.github.io/Logging_0331/kartor/A 30090-2024 karta.png", "A 30090-2024")</f>
        <v/>
      </c>
      <c r="Y31">
        <f>HYPERLINK("https://klasma.github.io/Logging_0331/kartor_geotiff/A 30090-2024 georefererad karta.tif", "A 30090-2024")</f>
        <v/>
      </c>
      <c r="AA31">
        <f>HYPERLINK("https://klasma.github.io/Logging_0331/klagomål/A 30090-2024 FSC-klagomål.docx", "A 30090-2024")</f>
        <v/>
      </c>
      <c r="AB31">
        <f>HYPERLINK("https://klasma.github.io/Logging_0331/klagomålsmail/A 30090-2024 FSC-klagomål mail.docx", "A 30090-2024")</f>
        <v/>
      </c>
      <c r="AC31">
        <f>HYPERLINK("https://klasma.github.io/Logging_0331/tillsyn/A 30090-2024 tillsynsbegäran.docx", "A 30090-2024")</f>
        <v/>
      </c>
      <c r="AD31">
        <f>HYPERLINK("https://klasma.github.io/Logging_0331/tillsynsmail/A 30090-2024 tillsynsbegäran mail.docx", "A 30090-2024")</f>
        <v/>
      </c>
    </row>
    <row r="32" ht="15" customHeight="1">
      <c r="A32" t="inlineStr">
        <is>
          <t>A 32785-2023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46256</v>
      </c>
      <c r="F32" t="inlineStr">
        <is>
          <t>UPPSALA LÄN</t>
        </is>
      </c>
      <c r="G32" t="inlineStr">
        <is>
          <t>HEBY</t>
        </is>
      </c>
      <c r="I32" t="n">
        <v>3.1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Talltita
Spillkråka
Huggorm</t>
        </is>
      </c>
      <c r="W32">
        <f>HYPERLINK("https://klasma.github.io/Logging_0331/artfynd/A 32785-2023 artfynd.xlsx", "A 32785-2023")</f>
        <v/>
      </c>
      <c r="X32">
        <f>HYPERLINK("https://klasma.github.io/Logging_0331/kartor/A 32785-2023 karta.png", "A 32785-2023")</f>
        <v/>
      </c>
      <c r="Y32">
        <f>HYPERLINK("https://klasma.github.io/Logging_0331/kartor_geotiff/A 32785-2023 georefererad karta.tif", "A 32785-2023")</f>
        <v/>
      </c>
      <c r="AA32">
        <f>HYPERLINK("https://klasma.github.io/Logging_0331/klagomål/A 32785-2023 FSC-klagomål.docx", "A 32785-2023")</f>
        <v/>
      </c>
      <c r="AB32">
        <f>HYPERLINK("https://klasma.github.io/Logging_0331/klagomålsmail/A 32785-2023 FSC-klagomål mail.docx", "A 32785-2023")</f>
        <v/>
      </c>
      <c r="AC32">
        <f>HYPERLINK("https://klasma.github.io/Logging_0331/tillsyn/A 32785-2023 tillsynsbegäran.docx", "A 32785-2023")</f>
        <v/>
      </c>
      <c r="AD32">
        <f>HYPERLINK("https://klasma.github.io/Logging_0331/tillsynsmail/A 32785-2023 tillsynsbegäran mail.docx", "A 32785-2023")</f>
        <v/>
      </c>
      <c r="AE32">
        <f>HYPERLINK("https://klasma.github.io/Logging_0331/fåglar/A 32785-2023 prioriterade fågelarter.docx", "A 32785-2023")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46256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46256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46086-2022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46256</v>
      </c>
      <c r="F35" t="inlineStr">
        <is>
          <t>UPPSALA LÄN</t>
        </is>
      </c>
      <c r="G35" t="inlineStr">
        <is>
          <t>HEBY</t>
        </is>
      </c>
      <c r="I35" t="n">
        <v>3.3</v>
      </c>
      <c r="J35" t="n">
        <v>2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3</v>
      </c>
      <c r="T35" t="n">
        <v>8</v>
      </c>
      <c r="U35" t="n">
        <v>1</v>
      </c>
      <c r="V35" s="2" t="inlineStr">
        <is>
          <t>Garnlav
Knärot
Fläcknycklar</t>
        </is>
      </c>
      <c r="W35">
        <f>HYPERLINK("https://klasma.github.io/Logging_0331/artfynd/A 46086-2022 artfynd.xlsx", "A 46086-2022")</f>
        <v/>
      </c>
      <c r="X35">
        <f>HYPERLINK("https://klasma.github.io/Logging_0331/kartor/A 46086-2022 karta.png", "A 46086-2022")</f>
        <v/>
      </c>
      <c r="Y35">
        <f>HYPERLINK("https://klasma.github.io/Logging_0331/kartor_geotiff/A 46086-2022 georefererad karta.tif", "A 46086-2022")</f>
        <v/>
      </c>
      <c r="Z35">
        <f>HYPERLINK("https://klasma.github.io/Logging_0331/knärot/A 46086-2022 karta knärot.png", "A 46086-2022")</f>
        <v/>
      </c>
      <c r="AA35">
        <f>HYPERLINK("https://klasma.github.io/Logging_0331/klagomål/A 46086-2022 FSC-klagomål.docx", "A 46086-2022")</f>
        <v/>
      </c>
      <c r="AB35">
        <f>HYPERLINK("https://klasma.github.io/Logging_0331/klagomålsmail/A 46086-2022 FSC-klagomål mail.docx", "A 46086-2022")</f>
        <v/>
      </c>
      <c r="AC35">
        <f>HYPERLINK("https://klasma.github.io/Logging_0331/tillsyn/A 46086-2022 tillsynsbegäran.docx", "A 46086-2022")</f>
        <v/>
      </c>
      <c r="AD35">
        <f>HYPERLINK("https://klasma.github.io/Logging_0331/tillsynsmail/A 46086-2022 tillsynsbegäran mail.docx", "A 46086-2022")</f>
        <v/>
      </c>
    </row>
    <row r="36" ht="15" customHeight="1">
      <c r="A36" t="inlineStr">
        <is>
          <t>A 67664-2021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46256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Gullpudra
Rynkskinn
Ullticka</t>
        </is>
      </c>
      <c r="W36">
        <f>HYPERLINK("https://klasma.github.io/Logging_0331/artfynd/A 67664-2021 artfynd.xlsx", "A 67664-2021")</f>
        <v/>
      </c>
      <c r="X36">
        <f>HYPERLINK("https://klasma.github.io/Logging_0331/kartor/A 67664-2021 karta.png", "A 67664-2021")</f>
        <v/>
      </c>
      <c r="Y36">
        <f>HYPERLINK("https://klasma.github.io/Logging_0331/kartor_geotiff/A 67664-2021 georefererad karta.tif", "A 67664-2021")</f>
        <v/>
      </c>
      <c r="AA36">
        <f>HYPERLINK("https://klasma.github.io/Logging_0331/klagomål/A 67664-2021 FSC-klagomål.docx", "A 67664-2021")</f>
        <v/>
      </c>
      <c r="AB36">
        <f>HYPERLINK("https://klasma.github.io/Logging_0331/klagomålsmail/A 67664-2021 FSC-klagomål mail.docx", "A 67664-2021")</f>
        <v/>
      </c>
      <c r="AC36">
        <f>HYPERLINK("https://klasma.github.io/Logging_0331/tillsyn/A 67664-2021 tillsynsbegäran.docx", "A 67664-2021")</f>
        <v/>
      </c>
      <c r="AD36">
        <f>HYPERLINK("https://klasma.github.io/Logging_0331/tillsynsmail/A 67664-2021 tillsynsbegäran mail.docx", "A 67664-2021")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46256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46256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46256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46256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A 23609-2026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46256</v>
      </c>
      <c r="F41" t="inlineStr">
        <is>
          <t>UPPSALA LÄN</t>
        </is>
      </c>
      <c r="G41" t="inlineStr">
        <is>
          <t>HEBY</t>
        </is>
      </c>
      <c r="I41" t="n">
        <v>12.7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Rynkskinn
Grönpyrola
Mattlummer</t>
        </is>
      </c>
      <c r="W41">
        <f>HYPERLINK("https://klasma.github.io/Logging_0331/artfynd/A 23609-2026 artfynd.xlsx", "A 23609-2026")</f>
        <v/>
      </c>
      <c r="X41">
        <f>HYPERLINK("https://klasma.github.io/Logging_0331/kartor/A 23609-2026 karta.png", "A 23609-2026")</f>
        <v/>
      </c>
      <c r="Y41">
        <f>HYPERLINK("https://klasma.github.io/Logging_0331/kartor_geotiff/A 23609-2026 georefererad karta.tif", "A 23609-2026")</f>
        <v/>
      </c>
      <c r="AA41">
        <f>HYPERLINK("https://klasma.github.io/Logging_0331/klagomål/A 23609-2026 FSC-klagomål.docx", "A 23609-2026")</f>
        <v/>
      </c>
      <c r="AB41">
        <f>HYPERLINK("https://klasma.github.io/Logging_0331/klagomålsmail/A 23609-2026 FSC-klagomål mail.docx", "A 23609-2026")</f>
        <v/>
      </c>
      <c r="AC41">
        <f>HYPERLINK("https://klasma.github.io/Logging_0331/tillsyn/A 23609-2026 tillsynsbegäran.docx", "A 23609-2026")</f>
        <v/>
      </c>
      <c r="AD41">
        <f>HYPERLINK("https://klasma.github.io/Logging_0331/tillsynsmail/A 23609-2026 tillsynsbegäran mail.docx", "A 23609-2026")</f>
        <v/>
      </c>
    </row>
    <row r="42" ht="15" customHeight="1">
      <c r="A42" t="inlineStr">
        <is>
          <t>S 2798-2024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45485</v>
      </c>
      <c r="E42" s="1" t="n">
        <v>46256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7.1</v>
      </c>
      <c r="J42" t="n">
        <v>0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5</v>
      </c>
      <c r="U42" t="n">
        <v>0</v>
      </c>
      <c r="V42" s="2" t="inlineStr">
        <is>
          <t>Aspsplintbock
Grönhjon
Noshornsoxe</t>
        </is>
      </c>
      <c r="W42">
        <f>HYPERLINK("https://klasma.github.io/Logging_0331/artfynd/S 2798-2024 artfynd.xlsx", "S 2798-2024")</f>
        <v/>
      </c>
      <c r="X42">
        <f>HYPERLINK("https://klasma.github.io/Logging_0331/kartor/S 2798-2024 karta.png", "S 2798-2024")</f>
        <v/>
      </c>
      <c r="Y42">
        <f>HYPERLINK("https://klasma.github.io/Logging_0331/kartor_geotiff/S 2798-2024 georefererad karta.tif", "S 2798-2024")</f>
        <v/>
      </c>
      <c r="AA42">
        <f>HYPERLINK("https://klasma.github.io/Logging_0331/klagomål/S 2798-2024 FSC-klagomål.docx", "S 2798-2024")</f>
        <v/>
      </c>
      <c r="AB42">
        <f>HYPERLINK("https://klasma.github.io/Logging_0331/klagomålsmail/S 2798-2024 FSC-klagomål mail.docx", "S 2798-2024")</f>
        <v/>
      </c>
      <c r="AC42">
        <f>HYPERLINK("https://klasma.github.io/Logging_0331/tillsyn/S 2798-2024 tillsynsbegäran.docx", "S 2798-2024")</f>
        <v/>
      </c>
      <c r="AD42">
        <f>HYPERLINK("https://klasma.github.io/Logging_0331/tillsynsmail/S 2798-2024 tillsynsbegäran mail.docx", "S 2798-2024")</f>
        <v/>
      </c>
    </row>
    <row r="43" ht="15" customHeight="1">
      <c r="A43" t="inlineStr">
        <is>
          <t>S 3073-2025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45964</v>
      </c>
      <c r="E43" s="1" t="n">
        <v>46256</v>
      </c>
      <c r="F43" t="inlineStr">
        <is>
          <t>UPPSALA LÄN</t>
        </is>
      </c>
      <c r="G43" t="inlineStr">
        <is>
          <t>HEBY</t>
        </is>
      </c>
      <c r="I43" t="n">
        <v>0.2</v>
      </c>
      <c r="J43" t="n">
        <v>0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Aspfjädermossa
Skinnlav
Tibast</t>
        </is>
      </c>
      <c r="W43">
        <f>HYPERLINK("https://klasma.github.io/Logging_0331/artfynd/S 3073-2025 artfynd.xlsx", "S 3073-2025")</f>
        <v/>
      </c>
      <c r="X43">
        <f>HYPERLINK("https://klasma.github.io/Logging_0331/kartor/S 3073-2025 karta.png", "S 3073-2025")</f>
        <v/>
      </c>
      <c r="Y43">
        <f>HYPERLINK("https://klasma.github.io/Logging_0331/kartor_geotiff/S 3073-2025 georefererad karta.tif", "S 3073-2025")</f>
        <v/>
      </c>
      <c r="AA43">
        <f>HYPERLINK("https://klasma.github.io/Logging_0331/klagomål/S 3073-2025 FSC-klagomål.docx", "S 3073-2025")</f>
        <v/>
      </c>
      <c r="AB43">
        <f>HYPERLINK("https://klasma.github.io/Logging_0331/klagomålsmail/S 3073-2025 FSC-klagomål mail.docx", "S 3073-2025")</f>
        <v/>
      </c>
      <c r="AC43">
        <f>HYPERLINK("https://klasma.github.io/Logging_0331/tillsyn/S 3073-2025 tillsynsbegäran.docx", "S 3073-2025")</f>
        <v/>
      </c>
      <c r="AD43">
        <f>HYPERLINK("https://klasma.github.io/Logging_0331/tillsynsmail/S 3073-2025 tillsynsbegäran mail.docx", "S 3073-2025")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46256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46256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46256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2554-2024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45313</v>
      </c>
      <c r="E47" s="1" t="n">
        <v>46256</v>
      </c>
      <c r="F47" t="inlineStr">
        <is>
          <t>UPPSALA LÄN</t>
        </is>
      </c>
      <c r="G47" t="inlineStr">
        <is>
          <t>HEBY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3</v>
      </c>
      <c r="U47" t="n">
        <v>1</v>
      </c>
      <c r="V47" s="2" t="inlineStr">
        <is>
          <t>Knärot
Motaggsvamp</t>
        </is>
      </c>
      <c r="W47">
        <f>HYPERLINK("https://klasma.github.io/Logging_0331/artfynd/A 2554-2024 artfynd.xlsx", "A 2554-2024")</f>
        <v/>
      </c>
      <c r="X47">
        <f>HYPERLINK("https://klasma.github.io/Logging_0331/kartor/A 2554-2024 karta.png", "A 2554-2024")</f>
        <v/>
      </c>
      <c r="Y47">
        <f>HYPERLINK("https://klasma.github.io/Logging_0331/kartor_geotiff/A 2554-2024 georefererad karta.tif", "A 2554-2024")</f>
        <v/>
      </c>
      <c r="Z47">
        <f>HYPERLINK("https://klasma.github.io/Logging_0331/knärot/A 2554-2024 karta knärot.png", "A 2554-2024")</f>
        <v/>
      </c>
      <c r="AA47">
        <f>HYPERLINK("https://klasma.github.io/Logging_0331/klagomål/A 2554-2024 FSC-klagomål.docx", "A 2554-2024")</f>
        <v/>
      </c>
      <c r="AB47">
        <f>HYPERLINK("https://klasma.github.io/Logging_0331/klagomålsmail/A 2554-2024 FSC-klagomål mail.docx", "A 2554-2024")</f>
        <v/>
      </c>
      <c r="AC47">
        <f>HYPERLINK("https://klasma.github.io/Logging_0331/tillsyn/A 2554-2024 tillsynsbegäran.docx", "A 2554-2024")</f>
        <v/>
      </c>
      <c r="AD47">
        <f>HYPERLINK("https://klasma.github.io/Logging_0331/tillsynsmail/A 2554-2024 tillsynsbegäran mail.docx", "A 2554-2024")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46256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46256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46256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20509-2026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46256</v>
      </c>
      <c r="F51" t="inlineStr">
        <is>
          <t>UPPSALA LÄN</t>
        </is>
      </c>
      <c r="G51" t="inlineStr">
        <is>
          <t>HEBY</t>
        </is>
      </c>
      <c r="H51" t="inlineStr">
        <is>
          <t>Övriga Aktiebolag</t>
        </is>
      </c>
      <c r="I51" t="n">
        <v>1.8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Motaggsvamp
Plattlummer</t>
        </is>
      </c>
      <c r="W51">
        <f>HYPERLINK("https://klasma.github.io/Logging_0331/artfynd/A 20509-2026 artfynd.xlsx", "A 20509-2026")</f>
        <v/>
      </c>
      <c r="X51">
        <f>HYPERLINK("https://klasma.github.io/Logging_0331/kartor/A 20509-2026 karta.png", "A 20509-2026")</f>
        <v/>
      </c>
      <c r="Y51">
        <f>HYPERLINK("https://klasma.github.io/Logging_0331/kartor_geotiff/A 20509-2026 georefererad karta.tif", "A 20509-2026")</f>
        <v/>
      </c>
      <c r="AA51">
        <f>HYPERLINK("https://klasma.github.io/Logging_0331/klagomål/A 20509-2026 FSC-klagomål.docx", "A 20509-2026")</f>
        <v/>
      </c>
      <c r="AB51">
        <f>HYPERLINK("https://klasma.github.io/Logging_0331/klagomålsmail/A 20509-2026 FSC-klagomål mail.docx", "A 20509-2026")</f>
        <v/>
      </c>
      <c r="AC51">
        <f>HYPERLINK("https://klasma.github.io/Logging_0331/tillsyn/A 20509-2026 tillsynsbegäran.docx", "A 20509-2026")</f>
        <v/>
      </c>
      <c r="AD51">
        <f>HYPERLINK("https://klasma.github.io/Logging_0331/tillsynsmail/A 20509-2026 tillsynsbegäran mail.docx", "A 20509-2026")</f>
        <v/>
      </c>
    </row>
    <row r="52" ht="15" customHeight="1">
      <c r="A52" t="inlineStr">
        <is>
          <t>A 17972-2024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46256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9.699999999999999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Spädstarr
Repestarr</t>
        </is>
      </c>
      <c r="W52">
        <f>HYPERLINK("https://klasma.github.io/Logging_0331/artfynd/A 17972-2024 artfynd.xlsx", "A 17972-2024")</f>
        <v/>
      </c>
      <c r="X52">
        <f>HYPERLINK("https://klasma.github.io/Logging_0331/kartor/A 17972-2024 karta.png", "A 17972-2024")</f>
        <v/>
      </c>
      <c r="Y52">
        <f>HYPERLINK("https://klasma.github.io/Logging_0331/kartor_geotiff/A 17972-2024 georefererad karta.tif", "A 17972-2024")</f>
        <v/>
      </c>
      <c r="AA52">
        <f>HYPERLINK("https://klasma.github.io/Logging_0331/klagomål/A 17972-2024 FSC-klagomål.docx", "A 17972-2024")</f>
        <v/>
      </c>
      <c r="AB52">
        <f>HYPERLINK("https://klasma.github.io/Logging_0331/klagomålsmail/A 17972-2024 FSC-klagomål mail.docx", "A 17972-2024")</f>
        <v/>
      </c>
      <c r="AC52">
        <f>HYPERLINK("https://klasma.github.io/Logging_0331/tillsyn/A 17972-2024 tillsynsbegäran.docx", "A 17972-2024")</f>
        <v/>
      </c>
      <c r="AD52">
        <f>HYPERLINK("https://klasma.github.io/Logging_0331/tillsynsmail/A 17972-2024 tillsynsbegäran mail.docx", "A 17972-2024")</f>
        <v/>
      </c>
    </row>
    <row r="53" ht="15" customHeight="1">
      <c r="A53" t="inlineStr">
        <is>
          <t>S 2234-2024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45460</v>
      </c>
      <c r="E53" s="1" t="n">
        <v>46256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0.4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Aspvedgnagare
Björksplintborre</t>
        </is>
      </c>
      <c r="W53">
        <f>HYPERLINK("https://klasma.github.io/Logging_0331/artfynd/S 2234-2024 artfynd.xlsx", "S 2234-2024")</f>
        <v/>
      </c>
      <c r="X53">
        <f>HYPERLINK("https://klasma.github.io/Logging_0331/kartor/S 2234-2024 karta.png", "S 2234-2024")</f>
        <v/>
      </c>
      <c r="Y53">
        <f>HYPERLINK("https://klasma.github.io/Logging_0331/kartor_geotiff/S 2234-2024 georefererad karta.tif", "S 2234-2024")</f>
        <v/>
      </c>
      <c r="AA53">
        <f>HYPERLINK("https://klasma.github.io/Logging_0331/klagomål/S 2234-2024 FSC-klagomål.docx", "S 2234-2024")</f>
        <v/>
      </c>
      <c r="AB53">
        <f>HYPERLINK("https://klasma.github.io/Logging_0331/klagomålsmail/S 2234-2024 FSC-klagomål mail.docx", "S 2234-2024")</f>
        <v/>
      </c>
      <c r="AC53">
        <f>HYPERLINK("https://klasma.github.io/Logging_0331/tillsyn/S 2234-2024 tillsynsbegäran.docx", "S 2234-2024")</f>
        <v/>
      </c>
      <c r="AD53">
        <f>HYPERLINK("https://klasma.github.io/Logging_0331/tillsynsmail/S 2234-2024 tillsynsbegäran mail.docx", "S 2234-2024")</f>
        <v/>
      </c>
    </row>
    <row r="54" ht="15" customHeight="1">
      <c r="A54" t="inlineStr">
        <is>
          <t>S 846-2024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45373</v>
      </c>
      <c r="E54" s="1" t="n">
        <v>46256</v>
      </c>
      <c r="F54" t="inlineStr">
        <is>
          <t>UPPSALA LÄN</t>
        </is>
      </c>
      <c r="G54" t="inlineStr">
        <is>
          <t>HEBY</t>
        </is>
      </c>
      <c r="H54" t="inlineStr">
        <is>
          <t>Bergvik skog väst AB</t>
        </is>
      </c>
      <c r="I54" t="n">
        <v>13.1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Lammticka
Motaggsvamp</t>
        </is>
      </c>
      <c r="W54">
        <f>HYPERLINK("https://klasma.github.io/Logging_0331/artfynd/S 846-2024 artfynd.xlsx", "S 846-2024")</f>
        <v/>
      </c>
      <c r="X54">
        <f>HYPERLINK("https://klasma.github.io/Logging_0331/kartor/S 846-2024 karta.png", "S 846-2024")</f>
        <v/>
      </c>
      <c r="Y54">
        <f>HYPERLINK("https://klasma.github.io/Logging_0331/kartor_geotiff/S 846-2024 georefererad karta.tif", "S 846-2024")</f>
        <v/>
      </c>
      <c r="AA54">
        <f>HYPERLINK("https://klasma.github.io/Logging_0331/klagomål/S 846-2024 FSC-klagomål.docx", "S 846-2024")</f>
        <v/>
      </c>
      <c r="AB54">
        <f>HYPERLINK("https://klasma.github.io/Logging_0331/klagomålsmail/S 846-2024 FSC-klagomål mail.docx", "S 846-2024")</f>
        <v/>
      </c>
      <c r="AC54">
        <f>HYPERLINK("https://klasma.github.io/Logging_0331/tillsyn/S 846-2024 tillsynsbegäran.docx", "S 846-2024")</f>
        <v/>
      </c>
      <c r="AD54">
        <f>HYPERLINK("https://klasma.github.io/Logging_0331/tillsynsmail/S 846-2024 tillsynsbegäran mail.docx", "S 846-2024")</f>
        <v/>
      </c>
    </row>
    <row r="55" ht="15" customHeight="1">
      <c r="A55" t="inlineStr">
        <is>
          <t>A 46094-2022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46256</v>
      </c>
      <c r="F55" t="inlineStr">
        <is>
          <t>UPPSALA LÄN</t>
        </is>
      </c>
      <c r="G55" t="inlineStr">
        <is>
          <t>HEBY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HYPERLINK("https://klasma.github.io/Logging_0331/artfynd/A 46094-2022 artfynd.xlsx", "A 46094-2022")</f>
        <v/>
      </c>
      <c r="X55">
        <f>HYPERLINK("https://klasma.github.io/Logging_0331/kartor/A 46094-2022 karta.png", "A 46094-2022")</f>
        <v/>
      </c>
      <c r="Y55">
        <f>HYPERLINK("https://klasma.github.io/Logging_0331/kartor_geotiff/A 46094-2022 georefererad karta.tif", "A 46094-2022")</f>
        <v/>
      </c>
      <c r="AA55">
        <f>HYPERLINK("https://klasma.github.io/Logging_0331/klagomål/A 46094-2022 FSC-klagomål.docx", "A 46094-2022")</f>
        <v/>
      </c>
      <c r="AB55">
        <f>HYPERLINK("https://klasma.github.io/Logging_0331/klagomålsmail/A 46094-2022 FSC-klagomål mail.docx", "A 46094-2022")</f>
        <v/>
      </c>
      <c r="AC55">
        <f>HYPERLINK("https://klasma.github.io/Logging_0331/tillsyn/A 46094-2022 tillsynsbegäran.docx", "A 46094-2022")</f>
        <v/>
      </c>
      <c r="AD55">
        <f>HYPERLINK("https://klasma.github.io/Logging_0331/tillsynsmail/A 46094-2022 tillsynsbegäran mail.docx", "A 46094-2022")</f>
        <v/>
      </c>
    </row>
    <row r="56" ht="15" customHeight="1">
      <c r="A56" t="inlineStr">
        <is>
          <t>A 63826-2021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46256</v>
      </c>
      <c r="F56" t="inlineStr">
        <is>
          <t>UPPSALA LÄN</t>
        </is>
      </c>
      <c r="G56" t="inlineStr">
        <is>
          <t>HEBY</t>
        </is>
      </c>
      <c r="I56" t="n">
        <v>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Väddnätfjäril</t>
        </is>
      </c>
      <c r="W56">
        <f>HYPERLINK("https://klasma.github.io/Logging_0331/artfynd/A 63826-2021 artfynd.xlsx", "A 63826-2021")</f>
        <v/>
      </c>
      <c r="X56">
        <f>HYPERLINK("https://klasma.github.io/Logging_0331/kartor/A 63826-2021 karta.png", "A 63826-2021")</f>
        <v/>
      </c>
      <c r="Y56">
        <f>HYPERLINK("https://klasma.github.io/Logging_0331/kartor_geotiff/A 63826-2021 georefererad karta.tif", "A 63826-2021")</f>
        <v/>
      </c>
      <c r="AA56">
        <f>HYPERLINK("https://klasma.github.io/Logging_0331/klagomål/A 63826-2021 FSC-klagomål.docx", "A 63826-2021")</f>
        <v/>
      </c>
      <c r="AB56">
        <f>HYPERLINK("https://klasma.github.io/Logging_0331/klagomålsmail/A 63826-2021 FSC-klagomål mail.docx", "A 63826-2021")</f>
        <v/>
      </c>
      <c r="AC56">
        <f>HYPERLINK("https://klasma.github.io/Logging_0331/tillsyn/A 63826-2021 tillsynsbegäran.docx", "A 63826-2021")</f>
        <v/>
      </c>
      <c r="AD56">
        <f>HYPERLINK("https://klasma.github.io/Logging_0331/tillsynsmail/A 63826-2021 tillsynsbegäran mail.docx", "A 63826-2021")</f>
        <v/>
      </c>
    </row>
    <row r="57" ht="15" customHeight="1">
      <c r="A57" t="inlineStr">
        <is>
          <t>A 41382-2022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46256</v>
      </c>
      <c r="F57" t="inlineStr">
        <is>
          <t>UPPSALA LÄN</t>
        </is>
      </c>
      <c r="G57" t="inlineStr">
        <is>
          <t>HEBY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HYPERLINK("https://klasma.github.io/Logging_0331/artfynd/A 41382-2022 artfynd.xlsx", "A 41382-2022")</f>
        <v/>
      </c>
      <c r="X57">
        <f>HYPERLINK("https://klasma.github.io/Logging_0331/kartor/A 41382-2022 karta.png", "A 41382-2022")</f>
        <v/>
      </c>
      <c r="Y57">
        <f>HYPERLINK("https://klasma.github.io/Logging_0331/kartor_geotiff/A 41382-2022 georefererad karta.tif", "A 41382-2022")</f>
        <v/>
      </c>
      <c r="AA57">
        <f>HYPERLINK("https://klasma.github.io/Logging_0331/klagomål/A 41382-2022 FSC-klagomål.docx", "A 41382-2022")</f>
        <v/>
      </c>
      <c r="AB57">
        <f>HYPERLINK("https://klasma.github.io/Logging_0331/klagomålsmail/A 41382-2022 FSC-klagomål mail.docx", "A 41382-2022")</f>
        <v/>
      </c>
      <c r="AC57">
        <f>HYPERLINK("https://klasma.github.io/Logging_0331/tillsyn/A 41382-2022 tillsynsbegäran.docx", "A 41382-2022")</f>
        <v/>
      </c>
      <c r="AD57">
        <f>HYPERLINK("https://klasma.github.io/Logging_0331/tillsynsmail/A 41382-2022 tillsynsbegäran mail.docx", "A 41382-2022")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46256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46256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46256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46256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46256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Mindre bastardsvärmare</t>
        </is>
      </c>
      <c r="W62">
        <f>HYPERLINK("https://klasma.github.io/Logging_0331/artfynd/A 17697-2024 artfynd.xlsx", "A 17697-2024")</f>
        <v/>
      </c>
      <c r="X62">
        <f>HYPERLINK("https://klasma.github.io/Logging_0331/kartor/A 17697-2024 karta.png", "A 17697-2024")</f>
        <v/>
      </c>
      <c r="Y62">
        <f>HYPERLINK("https://klasma.github.io/Logging_0331/kartor_geotiff/A 17697-2024 georefererad karta.tif", "A 17697-2024")</f>
        <v/>
      </c>
      <c r="AA62">
        <f>HYPERLINK("https://klasma.github.io/Logging_0331/klagomål/A 17697-2024 FSC-klagomål.docx", "A 17697-2024")</f>
        <v/>
      </c>
      <c r="AB62">
        <f>HYPERLINK("https://klasma.github.io/Logging_0331/klagomålsmail/A 17697-2024 FSC-klagomål mail.docx", "A 17697-2024")</f>
        <v/>
      </c>
      <c r="AC62">
        <f>HYPERLINK("https://klasma.github.io/Logging_0331/tillsyn/A 17697-2024 tillsynsbegäran.docx", "A 17697-2024")</f>
        <v/>
      </c>
      <c r="AD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46256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19555-2025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45770</v>
      </c>
      <c r="E64" s="1" t="n">
        <v>46256</v>
      </c>
      <c r="F64" t="inlineStr">
        <is>
          <t>UPPSALA LÄN</t>
        </is>
      </c>
      <c r="G64" t="inlineStr">
        <is>
          <t>HEBY</t>
        </is>
      </c>
      <c r="I64" t="n">
        <v>2.3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Sparvuggla</t>
        </is>
      </c>
      <c r="W64">
        <f>HYPERLINK("https://klasma.github.io/Logging_0331/artfynd/A 19555-2025 artfynd.xlsx", "A 19555-2025")</f>
        <v/>
      </c>
      <c r="X64">
        <f>HYPERLINK("https://klasma.github.io/Logging_0331/kartor/A 19555-2025 karta.png", "A 19555-2025")</f>
        <v/>
      </c>
      <c r="Y64">
        <f>HYPERLINK("https://klasma.github.io/Logging_0331/kartor_geotiff/A 19555-2025 georefererad karta.tif", "A 19555-2025")</f>
        <v/>
      </c>
      <c r="AA64">
        <f>HYPERLINK("https://klasma.github.io/Logging_0331/klagomål/A 19555-2025 FSC-klagomål.docx", "A 19555-2025")</f>
        <v/>
      </c>
      <c r="AB64">
        <f>HYPERLINK("https://klasma.github.io/Logging_0331/klagomålsmail/A 19555-2025 FSC-klagomål mail.docx", "A 19555-2025")</f>
        <v/>
      </c>
      <c r="AC64">
        <f>HYPERLINK("https://klasma.github.io/Logging_0331/tillsyn/A 19555-2025 tillsynsbegäran.docx", "A 19555-2025")</f>
        <v/>
      </c>
      <c r="AD64">
        <f>HYPERLINK("https://klasma.github.io/Logging_0331/tillsynsmail/A 19555-2025 tillsynsbegäran mail.docx", "A 19555-2025")</f>
        <v/>
      </c>
      <c r="AE64">
        <f>HYPERLINK("https://klasma.github.io/Logging_0331/fåglar/A 19555-2025 prioriterade fågelarter.docx", "A 19555-2025")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46256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38417-2025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46256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8.300000000000001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HYPERLINK("https://klasma.github.io/Logging_0331/artfynd/A 38417-2025 artfynd.xlsx", "A 38417-2025")</f>
        <v/>
      </c>
      <c r="X66">
        <f>HYPERLINK("https://klasma.github.io/Logging_0331/kartor/A 38417-2025 karta.png", "A 38417-2025")</f>
        <v/>
      </c>
      <c r="Y66">
        <f>HYPERLINK("https://klasma.github.io/Logging_0331/kartor_geotiff/A 38417-2025 georefererad karta.tif", "A 38417-2025")</f>
        <v/>
      </c>
      <c r="Z66">
        <f>HYPERLINK("https://klasma.github.io/Logging_0331/knärot/A 38417-2025 karta knärot.png", "A 38417-2025")</f>
        <v/>
      </c>
      <c r="AA66">
        <f>HYPERLINK("https://klasma.github.io/Logging_0331/klagomål/A 38417-2025 FSC-klagomål.docx", "A 38417-2025")</f>
        <v/>
      </c>
      <c r="AB66">
        <f>HYPERLINK("https://klasma.github.io/Logging_0331/klagomålsmail/A 38417-2025 FSC-klagomål mail.docx", "A 38417-2025")</f>
        <v/>
      </c>
      <c r="AC66">
        <f>HYPERLINK("https://klasma.github.io/Logging_0331/tillsyn/A 38417-2025 tillsynsbegäran.docx", "A 38417-2025")</f>
        <v/>
      </c>
      <c r="AD66">
        <f>HYPERLINK("https://klasma.github.io/Logging_0331/tillsynsmail/A 38417-2025 tillsynsbegäran mail.docx", "A 38417-2025")</f>
        <v/>
      </c>
    </row>
    <row r="67" ht="15" customHeight="1">
      <c r="A67" t="inlineStr">
        <is>
          <t>A 61598-2021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46256</v>
      </c>
      <c r="F67" t="inlineStr">
        <is>
          <t>UPPSALA LÄN</t>
        </is>
      </c>
      <c r="G67" t="inlineStr">
        <is>
          <t>HEBY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Trana</t>
        </is>
      </c>
      <c r="W67">
        <f>HYPERLINK("https://klasma.github.io/Logging_0331/artfynd/A 61598-2021 artfynd.xlsx", "A 61598-2021")</f>
        <v/>
      </c>
      <c r="X67">
        <f>HYPERLINK("https://klasma.github.io/Logging_0331/kartor/A 61598-2021 karta.png", "A 61598-2021")</f>
        <v/>
      </c>
      <c r="Y67">
        <f>HYPERLINK("https://klasma.github.io/Logging_0331/kartor_geotiff/A 61598-2021 georefererad karta.tif", "A 61598-2021")</f>
        <v/>
      </c>
      <c r="AA67">
        <f>HYPERLINK("https://klasma.github.io/Logging_0331/klagomål/A 61598-2021 FSC-klagomål.docx", "A 61598-2021")</f>
        <v/>
      </c>
      <c r="AB67">
        <f>HYPERLINK("https://klasma.github.io/Logging_0331/klagomålsmail/A 61598-2021 FSC-klagomål mail.docx", "A 61598-2021")</f>
        <v/>
      </c>
      <c r="AC67">
        <f>HYPERLINK("https://klasma.github.io/Logging_0331/tillsyn/A 61598-2021 tillsynsbegäran.docx", "A 61598-2021")</f>
        <v/>
      </c>
      <c r="AD67">
        <f>HYPERLINK("https://klasma.github.io/Logging_0331/tillsynsmail/A 61598-2021 tillsynsbegäran mail.docx", "A 61598-2021")</f>
        <v/>
      </c>
      <c r="AE67">
        <f>HYPERLINK("https://klasma.github.io/Logging_0331/fåglar/A 61598-2021 prioriterade fågelarter.docx", "A 61598-2021")</f>
        <v/>
      </c>
    </row>
    <row r="68" ht="15" customHeight="1">
      <c r="A68" t="inlineStr">
        <is>
          <t>A 27871-2023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46256</v>
      </c>
      <c r="F68" t="inlineStr">
        <is>
          <t>UPPSALA LÄN</t>
        </is>
      </c>
      <c r="G68" t="inlineStr">
        <is>
          <t>HEBY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Tallticka</t>
        </is>
      </c>
      <c r="W68">
        <f>HYPERLINK("https://klasma.github.io/Logging_0331/artfynd/A 27871-2023 artfynd.xlsx", "A 27871-2023")</f>
        <v/>
      </c>
      <c r="X68">
        <f>HYPERLINK("https://klasma.github.io/Logging_0331/kartor/A 27871-2023 karta.png", "A 27871-2023")</f>
        <v/>
      </c>
      <c r="Y68">
        <f>HYPERLINK("https://klasma.github.io/Logging_0331/kartor_geotiff/A 27871-2023 georefererad karta.tif", "A 27871-2023")</f>
        <v/>
      </c>
      <c r="AA68">
        <f>HYPERLINK("https://klasma.github.io/Logging_0331/klagomål/A 27871-2023 FSC-klagomål.docx", "A 27871-2023")</f>
        <v/>
      </c>
      <c r="AB68">
        <f>HYPERLINK("https://klasma.github.io/Logging_0331/klagomålsmail/A 27871-2023 FSC-klagomål mail.docx", "A 27871-2023")</f>
        <v/>
      </c>
      <c r="AC68">
        <f>HYPERLINK("https://klasma.github.io/Logging_0331/tillsyn/A 27871-2023 tillsynsbegäran.docx", "A 27871-2023")</f>
        <v/>
      </c>
      <c r="AD68">
        <f>HYPERLINK("https://klasma.github.io/Logging_0331/tillsynsmail/A 27871-2023 tillsynsbegäran mail.docx", "A 27871-2023")</f>
        <v/>
      </c>
    </row>
    <row r="69" ht="15" customHeight="1">
      <c r="A69" t="inlineStr">
        <is>
          <t>A 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46256</v>
      </c>
      <c r="F69" t="inlineStr">
        <is>
          <t>UPPSALA LÄN</t>
        </is>
      </c>
      <c r="G69" t="inlineStr">
        <is>
          <t>HEBY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11</v>
      </c>
      <c r="U69" t="n">
        <v>0</v>
      </c>
      <c r="V69" s="2" t="inlineStr">
        <is>
          <t>Motaggsvamp</t>
        </is>
      </c>
      <c r="W69">
        <f>HYPERLINK("https://klasma.github.io/Logging_0331/artfynd/A 8624-2024 artfynd.xlsx", "A 8624-2024")</f>
        <v/>
      </c>
      <c r="X69">
        <f>HYPERLINK("https://klasma.github.io/Logging_0331/kartor/A 8624-2024 karta.png", "A 8624-2024")</f>
        <v/>
      </c>
      <c r="Y69">
        <f>HYPERLINK("https://klasma.github.io/Logging_0331/kartor_geotiff/A 8624-2024 georefererad karta.tif", "A 8624-2024")</f>
        <v/>
      </c>
      <c r="AA69">
        <f>HYPERLINK("https://klasma.github.io/Logging_0331/klagomål/A 8624-2024 FSC-klagomål.docx", "A 8624-2024")</f>
        <v/>
      </c>
      <c r="AB69">
        <f>HYPERLINK("https://klasma.github.io/Logging_0331/klagomålsmail/A 8624-2024 FSC-klagomål mail.docx", "A 8624-2024")</f>
        <v/>
      </c>
      <c r="AC69">
        <f>HYPERLINK("https://klasma.github.io/Logging_0331/tillsyn/A 8624-2024 tillsynsbegäran.docx", "A 8624-2024")</f>
        <v/>
      </c>
      <c r="AD69">
        <f>HYPERLINK("https://klasma.github.io/Logging_0331/tillsynsmail/A 8624-2024 tillsynsbegäran mail.docx", "A 8624-2024")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46256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46256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46256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46256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46256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46256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46256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46256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46256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46256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46256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Granbarkgnagare</t>
        </is>
      </c>
      <c r="W80">
        <f>HYPERLINK("https://klasma.github.io/Logging_0331/artfynd/A 49707-2023 artfynd.xlsx", "A 49707-2023")</f>
        <v/>
      </c>
      <c r="X80">
        <f>HYPERLINK("https://klasma.github.io/Logging_0331/kartor/A 49707-2023 karta.png", "A 49707-2023")</f>
        <v/>
      </c>
      <c r="Y80">
        <f>HYPERLINK("https://klasma.github.io/Logging_0331/kartor_geotiff/A 49707-2023 georefererad karta.tif", "A 49707-2023")</f>
        <v/>
      </c>
      <c r="AA80">
        <f>HYPERLINK("https://klasma.github.io/Logging_0331/klagomål/A 49707-2023 FSC-klagomål.docx", "A 49707-2023")</f>
        <v/>
      </c>
      <c r="AB80">
        <f>HYPERLINK("https://klasma.github.io/Logging_0331/klagomålsmail/A 49707-2023 FSC-klagomål mail.docx", "A 49707-2023")</f>
        <v/>
      </c>
      <c r="AC80">
        <f>HYPERLINK("https://klasma.github.io/Logging_0331/tillsyn/A 49707-2023 tillsynsbegäran.docx", "A 49707-2023")</f>
        <v/>
      </c>
      <c r="AD80">
        <f>HYPERLINK("https://klasma.github.io/Logging_0331/tillsynsmail/A 49707-2023 tillsynsbegäran mail.docx", "A 49707-2023")</f>
        <v/>
      </c>
    </row>
    <row r="81" ht="15" customHeight="1">
      <c r="A81" t="inlineStr">
        <is>
          <t>A 3374-2024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45317</v>
      </c>
      <c r="E81" s="1" t="n">
        <v>46256</v>
      </c>
      <c r="F81" t="inlineStr">
        <is>
          <t>UPPSALA LÄN</t>
        </is>
      </c>
      <c r="G81" t="inlineStr">
        <is>
          <t>HEBY</t>
        </is>
      </c>
      <c r="I81" t="n">
        <v>8.4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Berggräsfjäril</t>
        </is>
      </c>
      <c r="W81">
        <f>HYPERLINK("https://klasma.github.io/Logging_0331/artfynd/A 3374-2024 artfynd.xlsx", "A 3374-2024")</f>
        <v/>
      </c>
      <c r="X81">
        <f>HYPERLINK("https://klasma.github.io/Logging_0331/kartor/A 3374-2024 karta.png", "A 3374-2024")</f>
        <v/>
      </c>
      <c r="Y81">
        <f>HYPERLINK("https://klasma.github.io/Logging_0331/kartor_geotiff/A 3374-2024 georefererad karta.tif", "A 3374-2024")</f>
        <v/>
      </c>
      <c r="AA81">
        <f>HYPERLINK("https://klasma.github.io/Logging_0331/klagomål/A 3374-2024 FSC-klagomål.docx", "A 3374-2024")</f>
        <v/>
      </c>
      <c r="AB81">
        <f>HYPERLINK("https://klasma.github.io/Logging_0331/klagomålsmail/A 3374-2024 FSC-klagomål mail.docx", "A 3374-2024")</f>
        <v/>
      </c>
      <c r="AC81">
        <f>HYPERLINK("https://klasma.github.io/Logging_0331/tillsyn/A 3374-2024 tillsynsbegäran.docx", "A 3374-2024")</f>
        <v/>
      </c>
      <c r="AD81">
        <f>HYPERLINK("https://klasma.github.io/Logging_0331/tillsynsmail/A 3374-2024 tillsynsbegäran mail.docx", "A 3374-2024")</f>
        <v/>
      </c>
    </row>
    <row r="82" ht="15" customHeight="1">
      <c r="A82" t="inlineStr">
        <is>
          <t>A 11011-2025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46256</v>
      </c>
      <c r="F82" t="inlineStr">
        <is>
          <t>UPPSALA LÄN</t>
        </is>
      </c>
      <c r="G82" t="inlineStr">
        <is>
          <t>HEBY</t>
        </is>
      </c>
      <c r="H82" t="inlineStr">
        <is>
          <t>Kyrkan</t>
        </is>
      </c>
      <c r="I82" t="n">
        <v>2.6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HYPERLINK("https://klasma.github.io/Logging_0331/artfynd/A 11011-2025 artfynd.xlsx", "A 11011-2025")</f>
        <v/>
      </c>
      <c r="X82">
        <f>HYPERLINK("https://klasma.github.io/Logging_0331/kartor/A 11011-2025 karta.png", "A 11011-2025")</f>
        <v/>
      </c>
      <c r="Y82">
        <f>HYPERLINK("https://klasma.github.io/Logging_0331/kartor_geotiff/A 11011-2025 georefererad karta.tif", "A 11011-2025")</f>
        <v/>
      </c>
      <c r="AA82">
        <f>HYPERLINK("https://klasma.github.io/Logging_0331/klagomål/A 11011-2025 FSC-klagomål.docx", "A 11011-2025")</f>
        <v/>
      </c>
      <c r="AB82">
        <f>HYPERLINK("https://klasma.github.io/Logging_0331/klagomålsmail/A 11011-2025 FSC-klagomål mail.docx", "A 11011-2025")</f>
        <v/>
      </c>
      <c r="AC82">
        <f>HYPERLINK("https://klasma.github.io/Logging_0331/tillsyn/A 11011-2025 tillsynsbegäran.docx", "A 11011-2025")</f>
        <v/>
      </c>
      <c r="AD82">
        <f>HYPERLINK("https://klasma.github.io/Logging_0331/tillsynsmail/A 11011-2025 tillsynsbegäran mail.docx", "A 11011-2025")</f>
        <v/>
      </c>
    </row>
    <row r="83" ht="15" customHeight="1">
      <c r="A83" t="inlineStr">
        <is>
          <t>A 63940-2023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45278</v>
      </c>
      <c r="E83" s="1" t="n">
        <v>46256</v>
      </c>
      <c r="F83" t="inlineStr">
        <is>
          <t>UPPSALA LÄN</t>
        </is>
      </c>
      <c r="G83" t="inlineStr">
        <is>
          <t>HEBY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HYPERLINK("https://klasma.github.io/Logging_0331/artfynd/A 63940-2023 artfynd.xlsx", "A 63940-2023")</f>
        <v/>
      </c>
      <c r="X83">
        <f>HYPERLINK("https://klasma.github.io/Logging_0331/kartor/A 63940-2023 karta.png", "A 63940-2023")</f>
        <v/>
      </c>
      <c r="Y83">
        <f>HYPERLINK("https://klasma.github.io/Logging_0331/kartor_geotiff/A 63940-2023 georefererad karta.tif", "A 63940-2023")</f>
        <v/>
      </c>
      <c r="AA83">
        <f>HYPERLINK("https://klasma.github.io/Logging_0331/klagomål/A 63940-2023 FSC-klagomål.docx", "A 63940-2023")</f>
        <v/>
      </c>
      <c r="AB83">
        <f>HYPERLINK("https://klasma.github.io/Logging_0331/klagomålsmail/A 63940-2023 FSC-klagomål mail.docx", "A 63940-2023")</f>
        <v/>
      </c>
      <c r="AC83">
        <f>HYPERLINK("https://klasma.github.io/Logging_0331/tillsyn/A 63940-2023 tillsynsbegäran.docx", "A 63940-2023")</f>
        <v/>
      </c>
      <c r="AD83">
        <f>HYPERLINK("https://klasma.github.io/Logging_0331/tillsynsmail/A 63940-2023 tillsynsbegäran mail.docx", "A 63940-2023")</f>
        <v/>
      </c>
    </row>
    <row r="84" ht="15" customHeight="1">
      <c r="A84" t="inlineStr">
        <is>
          <t>A 20530-2026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46140</v>
      </c>
      <c r="E84" s="1" t="n">
        <v>46256</v>
      </c>
      <c r="F84" t="inlineStr">
        <is>
          <t>UPPSALA LÄN</t>
        </is>
      </c>
      <c r="G84" t="inlineStr">
        <is>
          <t>HEBY</t>
        </is>
      </c>
      <c r="I84" t="n">
        <v>5.3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Björksplintborre</t>
        </is>
      </c>
      <c r="W84">
        <f>HYPERLINK("https://klasma.github.io/Logging_0331/artfynd/A 20530-2026 artfynd.xlsx", "A 20530-2026")</f>
        <v/>
      </c>
      <c r="X84">
        <f>HYPERLINK("https://klasma.github.io/Logging_0331/kartor/A 20530-2026 karta.png", "A 20530-2026")</f>
        <v/>
      </c>
      <c r="Y84">
        <f>HYPERLINK("https://klasma.github.io/Logging_0331/kartor_geotiff/A 20530-2026 georefererad karta.tif", "A 20530-2026")</f>
        <v/>
      </c>
      <c r="AA84">
        <f>HYPERLINK("https://klasma.github.io/Logging_0331/klagomål/A 20530-2026 FSC-klagomål.docx", "A 20530-2026")</f>
        <v/>
      </c>
      <c r="AB84">
        <f>HYPERLINK("https://klasma.github.io/Logging_0331/klagomålsmail/A 20530-2026 FSC-klagomål mail.docx", "A 20530-2026")</f>
        <v/>
      </c>
      <c r="AC84">
        <f>HYPERLINK("https://klasma.github.io/Logging_0331/tillsyn/A 20530-2026 tillsynsbegäran.docx", "A 20530-2026")</f>
        <v/>
      </c>
      <c r="AD84">
        <f>HYPERLINK("https://klasma.github.io/Logging_0331/tillsynsmail/A 20530-2026 tillsynsbegäran mail.docx", "A 20530-2026")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46256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46256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46256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46256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46256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46256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46256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46256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46256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46256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46256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46256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46256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46256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30182-2022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46256</v>
      </c>
      <c r="F99" t="inlineStr">
        <is>
          <t>UPPSALA LÄN</t>
        </is>
      </c>
      <c r="G99" t="inlineStr">
        <is>
          <t>HEBY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46256</v>
      </c>
      <c r="F100" t="inlineStr">
        <is>
          <t>UPPSALA LÄN</t>
        </is>
      </c>
      <c r="G100" t="inlineStr">
        <is>
          <t>HEBY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46256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46256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46256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46256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46256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46256</v>
      </c>
      <c r="F106" t="inlineStr">
        <is>
          <t>UPPSALA LÄN</t>
        </is>
      </c>
      <c r="G106" t="inlineStr">
        <is>
          <t>HEBY</t>
        </is>
      </c>
      <c r="H106" t="inlineStr">
        <is>
          <t>Övriga Aktiebolag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46256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46256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46256</v>
      </c>
      <c r="F109" t="inlineStr">
        <is>
          <t>UPPSALA LÄN</t>
        </is>
      </c>
      <c r="G109" t="inlineStr">
        <is>
          <t>HEBY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46256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46256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46256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46256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46256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44844</v>
      </c>
      <c r="E115" s="1" t="n">
        <v>46256</v>
      </c>
      <c r="F115" t="inlineStr">
        <is>
          <t>UPPSALA LÄN</t>
        </is>
      </c>
      <c r="G115" t="inlineStr">
        <is>
          <t>HEBY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46256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46256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46256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46256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46256</v>
      </c>
      <c r="F120" t="inlineStr">
        <is>
          <t>UPPSALA LÄN</t>
        </is>
      </c>
      <c r="G120" t="inlineStr">
        <is>
          <t>HEBY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46256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66519-2021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44519</v>
      </c>
      <c r="E122" s="1" t="n">
        <v>46256</v>
      </c>
      <c r="F122" t="inlineStr">
        <is>
          <t>UPPSALA LÄN</t>
        </is>
      </c>
      <c r="G122" t="inlineStr">
        <is>
          <t>HEBY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46256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46651-2022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44850</v>
      </c>
      <c r="E124" s="1" t="n">
        <v>46256</v>
      </c>
      <c r="F124" t="inlineStr">
        <is>
          <t>UPPSALA LÄN</t>
        </is>
      </c>
      <c r="G124" t="inlineStr">
        <is>
          <t>HEBY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46256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59599-2021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46256</v>
      </c>
      <c r="F126" t="inlineStr">
        <is>
          <t>UPPSALA LÄN</t>
        </is>
      </c>
      <c r="G126" t="inlineStr">
        <is>
          <t>HEBY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46256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66818-2021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46256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46256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46256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46256</v>
      </c>
      <c r="F131" t="inlineStr">
        <is>
          <t>UPPSALA LÄN</t>
        </is>
      </c>
      <c r="G131" t="inlineStr">
        <is>
          <t>HEBY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46256</v>
      </c>
      <c r="F132" t="inlineStr">
        <is>
          <t>UPPSALA LÄN</t>
        </is>
      </c>
      <c r="G132" t="inlineStr">
        <is>
          <t>HEBY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46256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46256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46256</v>
      </c>
      <c r="F135" t="inlineStr">
        <is>
          <t>UPPSALA LÄN</t>
        </is>
      </c>
      <c r="G135" t="inlineStr">
        <is>
          <t>HEBY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45519</v>
      </c>
      <c r="E136" s="1" t="n">
        <v>46256</v>
      </c>
      <c r="F136" t="inlineStr">
        <is>
          <t>UPPSALA LÄN</t>
        </is>
      </c>
      <c r="G136" t="inlineStr">
        <is>
          <t>HEBY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33381-2024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45519</v>
      </c>
      <c r="E137" s="1" t="n">
        <v>46256</v>
      </c>
      <c r="F137" t="inlineStr">
        <is>
          <t>UPPSALA LÄN</t>
        </is>
      </c>
      <c r="G137" t="inlineStr">
        <is>
          <t>HEBY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47072-2024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46256</v>
      </c>
      <c r="F138" t="inlineStr">
        <is>
          <t>UPPSALA LÄN</t>
        </is>
      </c>
      <c r="G138" t="inlineStr">
        <is>
          <t>HEBY</t>
        </is>
      </c>
      <c r="H138" t="inlineStr">
        <is>
          <t>Kyrkan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44701</v>
      </c>
      <c r="E139" s="1" t="n">
        <v>46256</v>
      </c>
      <c r="F139" t="inlineStr">
        <is>
          <t>UPPSALA LÄN</t>
        </is>
      </c>
      <c r="G139" t="inlineStr">
        <is>
          <t>HEBY</t>
        </is>
      </c>
      <c r="H139" t="inlineStr">
        <is>
          <t>Bergvik skog väst AB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45705</v>
      </c>
      <c r="E140" s="1" t="n">
        <v>46256</v>
      </c>
      <c r="F140" t="inlineStr">
        <is>
          <t>UPPSALA LÄN</t>
        </is>
      </c>
      <c r="G140" t="inlineStr">
        <is>
          <t>HEBY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18336-2022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44685</v>
      </c>
      <c r="E141" s="1" t="n">
        <v>46256</v>
      </c>
      <c r="F141" t="inlineStr">
        <is>
          <t>UPPSALA LÄN</t>
        </is>
      </c>
      <c r="G141" t="inlineStr">
        <is>
          <t>HEBY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46256</v>
      </c>
      <c r="F142" t="inlineStr">
        <is>
          <t>UPPSALA LÄN</t>
        </is>
      </c>
      <c r="G142" t="inlineStr">
        <is>
          <t>HEBY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46256</v>
      </c>
      <c r="F143" t="inlineStr">
        <is>
          <t>UPPSALA LÄN</t>
        </is>
      </c>
      <c r="G143" t="inlineStr">
        <is>
          <t>HEBY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44769</v>
      </c>
      <c r="E144" s="1" t="n">
        <v>46256</v>
      </c>
      <c r="F144" t="inlineStr">
        <is>
          <t>UPPSALA LÄN</t>
        </is>
      </c>
      <c r="G144" t="inlineStr">
        <is>
          <t>HEBY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46256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46256</v>
      </c>
      <c r="F146" t="inlineStr">
        <is>
          <t>UPPSALA LÄN</t>
        </is>
      </c>
      <c r="G146" t="inlineStr">
        <is>
          <t>HEBY</t>
        </is>
      </c>
      <c r="I146" t="n">
        <v>15.8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46256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46256</v>
      </c>
      <c r="F148" t="inlineStr">
        <is>
          <t>UPPSALA LÄN</t>
        </is>
      </c>
      <c r="G148" t="inlineStr">
        <is>
          <t>HEBY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33680-2023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46256</v>
      </c>
      <c r="F149" t="inlineStr">
        <is>
          <t>UPPSALA LÄN</t>
        </is>
      </c>
      <c r="G149" t="inlineStr">
        <is>
          <t>HEBY</t>
        </is>
      </c>
      <c r="H149" t="inlineStr">
        <is>
          <t>Bergvik skog väst AB</t>
        </is>
      </c>
      <c r="I149" t="n">
        <v>66.90000000000001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33703-2023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45132</v>
      </c>
      <c r="E150" s="1" t="n">
        <v>46256</v>
      </c>
      <c r="F150" t="inlineStr">
        <is>
          <t>UPPSALA LÄN</t>
        </is>
      </c>
      <c r="G150" t="inlineStr">
        <is>
          <t>HEBY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46256</v>
      </c>
      <c r="F151" t="inlineStr">
        <is>
          <t>UPPSALA LÄN</t>
        </is>
      </c>
      <c r="G151" t="inlineStr">
        <is>
          <t>HEBY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14008-2022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44650</v>
      </c>
      <c r="E152" s="1" t="n">
        <v>46256</v>
      </c>
      <c r="F152" t="inlineStr">
        <is>
          <t>UPPSALA LÄN</t>
        </is>
      </c>
      <c r="G152" t="inlineStr">
        <is>
          <t>HEBY</t>
        </is>
      </c>
      <c r="H152" t="inlineStr">
        <is>
          <t>Bergvik skog öst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45628</v>
      </c>
      <c r="E153" s="1" t="n">
        <v>46256</v>
      </c>
      <c r="F153" t="inlineStr">
        <is>
          <t>UPPSALA LÄN</t>
        </is>
      </c>
      <c r="G153" t="inlineStr">
        <is>
          <t>HEBY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44655</v>
      </c>
      <c r="E154" s="1" t="n">
        <v>46256</v>
      </c>
      <c r="F154" t="inlineStr">
        <is>
          <t>UPPSALA LÄN</t>
        </is>
      </c>
      <c r="G154" t="inlineStr">
        <is>
          <t>HEBY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46256</v>
      </c>
      <c r="F155" t="inlineStr">
        <is>
          <t>UPPSALA LÄN</t>
        </is>
      </c>
      <c r="G155" t="inlineStr">
        <is>
          <t>HEBY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44722</v>
      </c>
      <c r="E156" s="1" t="n">
        <v>46256</v>
      </c>
      <c r="F156" t="inlineStr">
        <is>
          <t>UPPSALA LÄN</t>
        </is>
      </c>
      <c r="G156" t="inlineStr">
        <is>
          <t>HEBY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46256</v>
      </c>
      <c r="F157" t="inlineStr">
        <is>
          <t>UPPSALA LÄN</t>
        </is>
      </c>
      <c r="G157" t="inlineStr">
        <is>
          <t>HEBY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45596</v>
      </c>
      <c r="E158" s="1" t="n">
        <v>46256</v>
      </c>
      <c r="F158" t="inlineStr">
        <is>
          <t>UPPSALA LÄN</t>
        </is>
      </c>
      <c r="G158" t="inlineStr">
        <is>
          <t>HEBY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46256</v>
      </c>
      <c r="F159" t="inlineStr">
        <is>
          <t>UPPSALA LÄN</t>
        </is>
      </c>
      <c r="G159" t="inlineStr">
        <is>
          <t>HEBY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45519</v>
      </c>
      <c r="E160" s="1" t="n">
        <v>46256</v>
      </c>
      <c r="F160" t="inlineStr">
        <is>
          <t>UPPSALA LÄN</t>
        </is>
      </c>
      <c r="G160" t="inlineStr">
        <is>
          <t>HEBY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69597-2021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44532</v>
      </c>
      <c r="E161" s="1" t="n">
        <v>46256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46256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46256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1462-2022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44573</v>
      </c>
      <c r="E164" s="1" t="n">
        <v>46256</v>
      </c>
      <c r="F164" t="inlineStr">
        <is>
          <t>UPPSALA LÄN</t>
        </is>
      </c>
      <c r="G164" t="inlineStr">
        <is>
          <t>HEBY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29391-2022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46256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46256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46256</v>
      </c>
      <c r="F167" t="inlineStr">
        <is>
          <t>UPPSALA LÄN</t>
        </is>
      </c>
      <c r="G167" t="inlineStr">
        <is>
          <t>HEBY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45674</v>
      </c>
      <c r="E168" s="1" t="n">
        <v>46256</v>
      </c>
      <c r="F168" t="inlineStr">
        <is>
          <t>UPPSALA LÄN</t>
        </is>
      </c>
      <c r="G168" t="inlineStr">
        <is>
          <t>HEBY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46256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45818</v>
      </c>
      <c r="E170" s="1" t="n">
        <v>46256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70158-2021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46256</v>
      </c>
      <c r="F171" t="inlineStr">
        <is>
          <t>UPPSALA LÄN</t>
        </is>
      </c>
      <c r="G171" t="inlineStr">
        <is>
          <t>HEBY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45098</v>
      </c>
      <c r="E172" s="1" t="n">
        <v>46256</v>
      </c>
      <c r="F172" t="inlineStr">
        <is>
          <t>UPPSALA LÄN</t>
        </is>
      </c>
      <c r="G172" t="inlineStr">
        <is>
          <t>HEBY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45818</v>
      </c>
      <c r="E173" s="1" t="n">
        <v>46256</v>
      </c>
      <c r="F173" t="inlineStr">
        <is>
          <t>UPPSALA LÄN</t>
        </is>
      </c>
      <c r="G173" t="inlineStr">
        <is>
          <t>HEBY</t>
        </is>
      </c>
      <c r="H173" t="inlineStr">
        <is>
          <t>Kyrkan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45009-2022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46256</v>
      </c>
      <c r="F174" t="inlineStr">
        <is>
          <t>UPPSALA LÄN</t>
        </is>
      </c>
      <c r="G174" t="inlineStr">
        <is>
          <t>HEBY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46256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44754</v>
      </c>
      <c r="E176" s="1" t="n">
        <v>46256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46256</v>
      </c>
      <c r="F177" t="inlineStr">
        <is>
          <t>UPPSALA LÄN</t>
        </is>
      </c>
      <c r="G177" t="inlineStr">
        <is>
          <t>HEBY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73622-2021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44552</v>
      </c>
      <c r="E178" s="1" t="n">
        <v>46256</v>
      </c>
      <c r="F178" t="inlineStr">
        <is>
          <t>UPPSALA LÄN</t>
        </is>
      </c>
      <c r="G178" t="inlineStr">
        <is>
          <t>HEBY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46256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8182-2022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46256</v>
      </c>
      <c r="F180" t="inlineStr">
        <is>
          <t>UPPSALA LÄN</t>
        </is>
      </c>
      <c r="G180" t="inlineStr">
        <is>
          <t>HEBY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46256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14.3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46256</v>
      </c>
      <c r="F182" t="inlineStr">
        <is>
          <t>UPPSALA LÄN</t>
        </is>
      </c>
      <c r="G182" t="inlineStr">
        <is>
          <t>HEBY</t>
        </is>
      </c>
      <c r="I182" t="n">
        <v>14.8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46256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20882-2022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44701</v>
      </c>
      <c r="E184" s="1" t="n">
        <v>46256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45898</v>
      </c>
      <c r="E185" s="1" t="n">
        <v>46256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46256</v>
      </c>
      <c r="F186" t="inlineStr">
        <is>
          <t>UPPSALA LÄN</t>
        </is>
      </c>
      <c r="G186" t="inlineStr">
        <is>
          <t>HEBY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46256</v>
      </c>
      <c r="F187" t="inlineStr">
        <is>
          <t>UPPSALA LÄN</t>
        </is>
      </c>
      <c r="G187" t="inlineStr">
        <is>
          <t>HEBY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45308</v>
      </c>
      <c r="E188" s="1" t="n">
        <v>46256</v>
      </c>
      <c r="F188" t="inlineStr">
        <is>
          <t>UPPSALA LÄN</t>
        </is>
      </c>
      <c r="G188" t="inlineStr">
        <is>
          <t>HEBY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44833</v>
      </c>
      <c r="E189" s="1" t="n">
        <v>46256</v>
      </c>
      <c r="F189" t="inlineStr">
        <is>
          <t>UPPSALA LÄN</t>
        </is>
      </c>
      <c r="G189" t="inlineStr">
        <is>
          <t>HEBY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46256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46256</v>
      </c>
      <c r="F191" t="inlineStr">
        <is>
          <t>UPPSALA LÄN</t>
        </is>
      </c>
      <c r="G191" t="inlineStr">
        <is>
          <t>HEBY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46256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963-2022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44568</v>
      </c>
      <c r="E193" s="1" t="n">
        <v>46256</v>
      </c>
      <c r="F193" t="inlineStr">
        <is>
          <t>UPPSALA LÄN</t>
        </is>
      </c>
      <c r="G193" t="inlineStr">
        <is>
          <t>HEBY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46256</v>
      </c>
      <c r="F194" t="inlineStr">
        <is>
          <t>UPPSALA LÄN</t>
        </is>
      </c>
      <c r="G194" t="inlineStr">
        <is>
          <t>HEBY</t>
        </is>
      </c>
      <c r="H194" t="inlineStr">
        <is>
          <t>Övriga Aktiebolag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46256</v>
      </c>
      <c r="F195" t="inlineStr">
        <is>
          <t>UPPSALA LÄN</t>
        </is>
      </c>
      <c r="G195" t="inlineStr">
        <is>
          <t>HEBY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45827</v>
      </c>
      <c r="E196" s="1" t="n">
        <v>46256</v>
      </c>
      <c r="F196" t="inlineStr">
        <is>
          <t>UPPSALA LÄN</t>
        </is>
      </c>
      <c r="G196" t="inlineStr">
        <is>
          <t>HEBY</t>
        </is>
      </c>
      <c r="H196" t="inlineStr">
        <is>
          <t>Övriga Aktiebolag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46256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46256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46256</v>
      </c>
      <c r="F199" t="inlineStr">
        <is>
          <t>UPPSALA LÄN</t>
        </is>
      </c>
      <c r="G199" t="inlineStr">
        <is>
          <t>HEBY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46256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43.4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46256</v>
      </c>
      <c r="F201" t="inlineStr">
        <is>
          <t>UPPSALA LÄN</t>
        </is>
      </c>
      <c r="G201" t="inlineStr">
        <is>
          <t>HEBY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46256</v>
      </c>
      <c r="F202" t="inlineStr">
        <is>
          <t>UPPSALA LÄN</t>
        </is>
      </c>
      <c r="G202" t="inlineStr">
        <is>
          <t>HEBY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50163-2024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45599</v>
      </c>
      <c r="E203" s="1" t="n">
        <v>46256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46256</v>
      </c>
      <c r="F204" t="inlineStr">
        <is>
          <t>UPPSALA LÄN</t>
        </is>
      </c>
      <c r="G204" t="inlineStr">
        <is>
          <t>HEBY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46256</v>
      </c>
      <c r="F205" t="inlineStr">
        <is>
          <t>UPPSALA LÄN</t>
        </is>
      </c>
      <c r="G205" t="inlineStr">
        <is>
          <t>HEBY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46256</v>
      </c>
      <c r="F206" t="inlineStr">
        <is>
          <t>UPPSALA LÄN</t>
        </is>
      </c>
      <c r="G206" t="inlineStr">
        <is>
          <t>HEBY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46256</v>
      </c>
      <c r="F207" t="inlineStr">
        <is>
          <t>UPPSALA LÄN</t>
        </is>
      </c>
      <c r="G207" t="inlineStr">
        <is>
          <t>HEBY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46256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46256</v>
      </c>
      <c r="F209" t="inlineStr">
        <is>
          <t>UPPSALA LÄN</t>
        </is>
      </c>
      <c r="G209" t="inlineStr">
        <is>
          <t>HEBY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45092</v>
      </c>
      <c r="E210" s="1" t="n">
        <v>46256</v>
      </c>
      <c r="F210" t="inlineStr">
        <is>
          <t>UPPSALA LÄN</t>
        </is>
      </c>
      <c r="G210" t="inlineStr">
        <is>
          <t>HEBY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46256</v>
      </c>
      <c r="F211" t="inlineStr">
        <is>
          <t>UPPSALA LÄN</t>
        </is>
      </c>
      <c r="G211" t="inlineStr">
        <is>
          <t>HEBY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46256</v>
      </c>
      <c r="F212" t="inlineStr">
        <is>
          <t>UPPSALA LÄN</t>
        </is>
      </c>
      <c r="G212" t="inlineStr">
        <is>
          <t>HEBY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44849</v>
      </c>
      <c r="E213" s="1" t="n">
        <v>46256</v>
      </c>
      <c r="F213" t="inlineStr">
        <is>
          <t>UPPSALA LÄN</t>
        </is>
      </c>
      <c r="G213" t="inlineStr">
        <is>
          <t>HEBY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46256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45364</v>
      </c>
      <c r="E215" s="1" t="n">
        <v>46256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46256</v>
      </c>
      <c r="F216" t="inlineStr">
        <is>
          <t>UPPSALA LÄN</t>
        </is>
      </c>
      <c r="G216" t="inlineStr">
        <is>
          <t>HEBY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46256</v>
      </c>
      <c r="F217" t="inlineStr">
        <is>
          <t>UPPSALA LÄN</t>
        </is>
      </c>
      <c r="G217" t="inlineStr">
        <is>
          <t>HEBY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46256</v>
      </c>
      <c r="F218" t="inlineStr">
        <is>
          <t>UPPSALA LÄN</t>
        </is>
      </c>
      <c r="G218" t="inlineStr">
        <is>
          <t>HEBY</t>
        </is>
      </c>
      <c r="H218" t="inlineStr">
        <is>
          <t>Övriga Aktiebolag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44480</v>
      </c>
      <c r="E219" s="1" t="n">
        <v>46256</v>
      </c>
      <c r="F219" t="inlineStr">
        <is>
          <t>UPPSALA LÄN</t>
        </is>
      </c>
      <c r="G219" t="inlineStr">
        <is>
          <t>HEBY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46256</v>
      </c>
      <c r="F220" t="inlineStr">
        <is>
          <t>UPPSALA LÄN</t>
        </is>
      </c>
      <c r="G220" t="inlineStr">
        <is>
          <t>HEBY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46256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46256</v>
      </c>
      <c r="F222" t="inlineStr">
        <is>
          <t>UPPSALA LÄN</t>
        </is>
      </c>
      <c r="G222" t="inlineStr">
        <is>
          <t>HEBY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44694</v>
      </c>
      <c r="E223" s="1" t="n">
        <v>46256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46256</v>
      </c>
      <c r="F224" t="inlineStr">
        <is>
          <t>UPPSALA LÄN</t>
        </is>
      </c>
      <c r="G224" t="inlineStr">
        <is>
          <t>HEBY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46256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46256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46256</v>
      </c>
      <c r="F227" t="inlineStr">
        <is>
          <t>UPPSALA LÄN</t>
        </is>
      </c>
      <c r="G227" t="inlineStr">
        <is>
          <t>HEBY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44844</v>
      </c>
      <c r="E228" s="1" t="n">
        <v>46256</v>
      </c>
      <c r="F228" t="inlineStr">
        <is>
          <t>UPPSALA LÄN</t>
        </is>
      </c>
      <c r="G228" t="inlineStr">
        <is>
          <t>HEBY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60788-2022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44914</v>
      </c>
      <c r="E229" s="1" t="n">
        <v>46256</v>
      </c>
      <c r="F229" t="inlineStr">
        <is>
          <t>UPPSALA LÄN</t>
        </is>
      </c>
      <c r="G229" t="inlineStr">
        <is>
          <t>HEBY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70976-2021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44538</v>
      </c>
      <c r="E230" s="1" t="n">
        <v>46256</v>
      </c>
      <c r="F230" t="inlineStr">
        <is>
          <t>UPPSALA LÄN</t>
        </is>
      </c>
      <c r="G230" t="inlineStr">
        <is>
          <t>HEBY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17407-2023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46256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16083-2025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46256</v>
      </c>
      <c r="F232" t="inlineStr">
        <is>
          <t>UPPSALA LÄN</t>
        </is>
      </c>
      <c r="G232" t="inlineStr">
        <is>
          <t>HEBY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45351</v>
      </c>
      <c r="E233" s="1" t="n">
        <v>46256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46256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46256</v>
      </c>
      <c r="F235" t="inlineStr">
        <is>
          <t>UPPSALA LÄN</t>
        </is>
      </c>
      <c r="G235" t="inlineStr">
        <is>
          <t>HEBY</t>
        </is>
      </c>
      <c r="H235" t="inlineStr">
        <is>
          <t>Allmännings- och besparingsskogar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46256</v>
      </c>
      <c r="F236" t="inlineStr">
        <is>
          <t>UPPSALA LÄN</t>
        </is>
      </c>
      <c r="G236" t="inlineStr">
        <is>
          <t>HEBY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45114</v>
      </c>
      <c r="E237" s="1" t="n">
        <v>46256</v>
      </c>
      <c r="F237" t="inlineStr">
        <is>
          <t>UPPSALA LÄN</t>
        </is>
      </c>
      <c r="G237" t="inlineStr">
        <is>
          <t>HEBY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46256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44694</v>
      </c>
      <c r="E239" s="1" t="n">
        <v>46256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46256</v>
      </c>
      <c r="F240" t="inlineStr">
        <is>
          <t>UPPSALA LÄN</t>
        </is>
      </c>
      <c r="G240" t="inlineStr">
        <is>
          <t>HEBY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46256</v>
      </c>
      <c r="F241" t="inlineStr">
        <is>
          <t>UPPSALA LÄN</t>
        </is>
      </c>
      <c r="G241" t="inlineStr">
        <is>
          <t>HEBY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46256</v>
      </c>
      <c r="F242" t="inlineStr">
        <is>
          <t>UPPSALA LÄN</t>
        </is>
      </c>
      <c r="G242" t="inlineStr">
        <is>
          <t>HEBY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46256</v>
      </c>
      <c r="F243" t="inlineStr">
        <is>
          <t>UPPSALA LÄN</t>
        </is>
      </c>
      <c r="G243" t="inlineStr">
        <is>
          <t>HEBY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46256</v>
      </c>
      <c r="F244" t="inlineStr">
        <is>
          <t>UPPSALA LÄN</t>
        </is>
      </c>
      <c r="G244" t="inlineStr">
        <is>
          <t>HEBY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45838</v>
      </c>
      <c r="E245" s="1" t="n">
        <v>46256</v>
      </c>
      <c r="F245" t="inlineStr">
        <is>
          <t>UPPSALA LÄN</t>
        </is>
      </c>
      <c r="G245" t="inlineStr">
        <is>
          <t>HEBY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72180-2021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46256</v>
      </c>
      <c r="F246" t="inlineStr">
        <is>
          <t>UPPSALA LÄN</t>
        </is>
      </c>
      <c r="G246" t="inlineStr">
        <is>
          <t>HEBY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45175</v>
      </c>
      <c r="E247" s="1" t="n">
        <v>46256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46256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33379-2022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44788</v>
      </c>
      <c r="E249" s="1" t="n">
        <v>46256</v>
      </c>
      <c r="F249" t="inlineStr">
        <is>
          <t>UPPSALA LÄN</t>
        </is>
      </c>
      <c r="G249" t="inlineStr">
        <is>
          <t>HEBY</t>
        </is>
      </c>
      <c r="I249" t="n">
        <v>18.8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14262-2025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45740</v>
      </c>
      <c r="E250" s="1" t="n">
        <v>46256</v>
      </c>
      <c r="F250" t="inlineStr">
        <is>
          <t>UPPSALA LÄN</t>
        </is>
      </c>
      <c r="G250" t="inlineStr">
        <is>
          <t>HEBY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46256</v>
      </c>
      <c r="F251" t="inlineStr">
        <is>
          <t>UPPSALA LÄN</t>
        </is>
      </c>
      <c r="G251" t="inlineStr">
        <is>
          <t>HEBY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44810</v>
      </c>
      <c r="E252" s="1" t="n">
        <v>46256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46256</v>
      </c>
      <c r="F253" t="inlineStr">
        <is>
          <t>UPPSALA LÄN</t>
        </is>
      </c>
      <c r="G253" t="inlineStr">
        <is>
          <t>HEBY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46256</v>
      </c>
      <c r="F254" t="inlineStr">
        <is>
          <t>UPPSALA LÄN</t>
        </is>
      </c>
      <c r="G254" t="inlineStr">
        <is>
          <t>HEBY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46256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18144-2022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44684</v>
      </c>
      <c r="E256" s="1" t="n">
        <v>46256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46256</v>
      </c>
      <c r="F257" t="inlineStr">
        <is>
          <t>UPPSALA LÄN</t>
        </is>
      </c>
      <c r="G257" t="inlineStr">
        <is>
          <t>HEBY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44684</v>
      </c>
      <c r="E258" s="1" t="n">
        <v>46256</v>
      </c>
      <c r="F258" t="inlineStr">
        <is>
          <t>UPPSALA LÄN</t>
        </is>
      </c>
      <c r="G258" t="inlineStr">
        <is>
          <t>HEBY</t>
        </is>
      </c>
      <c r="H258" t="inlineStr">
        <is>
          <t>Bergvik skog väst AB</t>
        </is>
      </c>
      <c r="I258" t="n">
        <v>41.8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45218</v>
      </c>
      <c r="E259" s="1" t="n">
        <v>46256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58332-2023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45250</v>
      </c>
      <c r="E260" s="1" t="n">
        <v>46256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69377-2021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46256</v>
      </c>
      <c r="F261" t="inlineStr">
        <is>
          <t>UPPSALA LÄN</t>
        </is>
      </c>
      <c r="G261" t="inlineStr">
        <is>
          <t>HEBY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46256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64364-2021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44511</v>
      </c>
      <c r="E263" s="1" t="n">
        <v>46256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46256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39536-2024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46256</v>
      </c>
      <c r="F265" t="inlineStr">
        <is>
          <t>UPPSALA LÄN</t>
        </is>
      </c>
      <c r="G265" t="inlineStr">
        <is>
          <t>HEBY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46256</v>
      </c>
      <c r="F266" t="inlineStr">
        <is>
          <t>UPPSALA LÄN</t>
        </is>
      </c>
      <c r="G266" t="inlineStr">
        <is>
          <t>HEBY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45029</v>
      </c>
      <c r="E267" s="1" t="n">
        <v>46256</v>
      </c>
      <c r="F267" t="inlineStr">
        <is>
          <t>UPPSALA LÄN</t>
        </is>
      </c>
      <c r="G267" t="inlineStr">
        <is>
          <t>HEBY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52955-2022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44875</v>
      </c>
      <c r="E268" s="1" t="n">
        <v>46256</v>
      </c>
      <c r="F268" t="inlineStr">
        <is>
          <t>UPPSALA LÄN</t>
        </is>
      </c>
      <c r="G268" t="inlineStr">
        <is>
          <t>HEBY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66873-2021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44522</v>
      </c>
      <c r="E269" s="1" t="n">
        <v>46256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45406</v>
      </c>
      <c r="E270" s="1" t="n">
        <v>46256</v>
      </c>
      <c r="F270" t="inlineStr">
        <is>
          <t>UPPSALA LÄN</t>
        </is>
      </c>
      <c r="G270" t="inlineStr">
        <is>
          <t>HEBY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56302-2021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44477</v>
      </c>
      <c r="E271" s="1" t="n">
        <v>46256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45599</v>
      </c>
      <c r="E272" s="1" t="n">
        <v>46256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45111</v>
      </c>
      <c r="E273" s="1" t="n">
        <v>46256</v>
      </c>
      <c r="F273" t="inlineStr">
        <is>
          <t>UPPSALA LÄN</t>
        </is>
      </c>
      <c r="G273" t="inlineStr">
        <is>
          <t>HEBY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45967</v>
      </c>
      <c r="E274" s="1" t="n">
        <v>46256</v>
      </c>
      <c r="F274" t="inlineStr">
        <is>
          <t>UPPSALA LÄN</t>
        </is>
      </c>
      <c r="G274" t="inlineStr">
        <is>
          <t>HEBY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50859-2022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44862</v>
      </c>
      <c r="E275" s="1" t="n">
        <v>46256</v>
      </c>
      <c r="F275" t="inlineStr">
        <is>
          <t>UPPSALA LÄN</t>
        </is>
      </c>
      <c r="G275" t="inlineStr">
        <is>
          <t>HEBY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46256</v>
      </c>
      <c r="F276" t="inlineStr">
        <is>
          <t>UPPSALA LÄN</t>
        </is>
      </c>
      <c r="G276" t="inlineStr">
        <is>
          <t>HEBY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45825</v>
      </c>
      <c r="E277" s="1" t="n">
        <v>46256</v>
      </c>
      <c r="F277" t="inlineStr">
        <is>
          <t>UPPSALA LÄN</t>
        </is>
      </c>
      <c r="G277" t="inlineStr">
        <is>
          <t>HEBY</t>
        </is>
      </c>
      <c r="H277" t="inlineStr">
        <is>
          <t>Bergvik skog väst AB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46256</v>
      </c>
      <c r="F278" t="inlineStr">
        <is>
          <t>UPPSALA LÄN</t>
        </is>
      </c>
      <c r="G278" t="inlineStr">
        <is>
          <t>HEBY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44568</v>
      </c>
      <c r="E279" s="1" t="n">
        <v>46256</v>
      </c>
      <c r="F279" t="inlineStr">
        <is>
          <t>UPPSALA LÄN</t>
        </is>
      </c>
      <c r="G279" t="inlineStr">
        <is>
          <t>HEBY</t>
        </is>
      </c>
      <c r="I279" t="n">
        <v>10.6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55488-2025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45971</v>
      </c>
      <c r="E280" s="1" t="n">
        <v>46256</v>
      </c>
      <c r="F280" t="inlineStr">
        <is>
          <t>UPPSALA LÄN</t>
        </is>
      </c>
      <c r="G280" t="inlineStr">
        <is>
          <t>HEBY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55496-2025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45971</v>
      </c>
      <c r="E281" s="1" t="n">
        <v>46256</v>
      </c>
      <c r="F281" t="inlineStr">
        <is>
          <t>UPPSALA LÄN</t>
        </is>
      </c>
      <c r="G281" t="inlineStr">
        <is>
          <t>HEBY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46256</v>
      </c>
      <c r="F282" t="inlineStr">
        <is>
          <t>UPPSALA LÄN</t>
        </is>
      </c>
      <c r="G282" t="inlineStr">
        <is>
          <t>HEBY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60722-2022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44913</v>
      </c>
      <c r="E283" s="1" t="n">
        <v>46256</v>
      </c>
      <c r="F283" t="inlineStr">
        <is>
          <t>UPPSALA LÄN</t>
        </is>
      </c>
      <c r="G283" t="inlineStr">
        <is>
          <t>HEBY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46256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45845</v>
      </c>
      <c r="E285" s="1" t="n">
        <v>46256</v>
      </c>
      <c r="F285" t="inlineStr">
        <is>
          <t>UPPSALA LÄN</t>
        </is>
      </c>
      <c r="G285" t="inlineStr">
        <is>
          <t>HEBY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46256</v>
      </c>
      <c r="F286" t="inlineStr">
        <is>
          <t>UPPSALA LÄN</t>
        </is>
      </c>
      <c r="G286" t="inlineStr">
        <is>
          <t>HEBY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45439</v>
      </c>
      <c r="E287" s="1" t="n">
        <v>46256</v>
      </c>
      <c r="F287" t="inlineStr">
        <is>
          <t>UPPSALA LÄN</t>
        </is>
      </c>
      <c r="G287" t="inlineStr">
        <is>
          <t>HEBY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46256</v>
      </c>
      <c r="F288" t="inlineStr">
        <is>
          <t>UPPSALA LÄN</t>
        </is>
      </c>
      <c r="G288" t="inlineStr">
        <is>
          <t>HEBY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13243-2022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44644</v>
      </c>
      <c r="E289" s="1" t="n">
        <v>46256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46256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45980</v>
      </c>
      <c r="E291" s="1" t="n">
        <v>46256</v>
      </c>
      <c r="F291" t="inlineStr">
        <is>
          <t>UPPSALA LÄN</t>
        </is>
      </c>
      <c r="G291" t="inlineStr">
        <is>
          <t>HEBY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57403-2025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45980</v>
      </c>
      <c r="E292" s="1" t="n">
        <v>46256</v>
      </c>
      <c r="F292" t="inlineStr">
        <is>
          <t>UPPSALA LÄN</t>
        </is>
      </c>
      <c r="G292" t="inlineStr">
        <is>
          <t>HEBY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44942</v>
      </c>
      <c r="E293" s="1" t="n">
        <v>46256</v>
      </c>
      <c r="F293" t="inlineStr">
        <is>
          <t>UPPSALA LÄN</t>
        </is>
      </c>
      <c r="G293" t="inlineStr">
        <is>
          <t>HEBY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45547</v>
      </c>
      <c r="E294" s="1" t="n">
        <v>46256</v>
      </c>
      <c r="F294" t="inlineStr">
        <is>
          <t>UPPSALA LÄN</t>
        </is>
      </c>
      <c r="G294" t="inlineStr">
        <is>
          <t>HEBY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46256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14585-2023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45013</v>
      </c>
      <c r="E296" s="1" t="n">
        <v>46256</v>
      </c>
      <c r="F296" t="inlineStr">
        <is>
          <t>UPPSALA LÄN</t>
        </is>
      </c>
      <c r="G296" t="inlineStr">
        <is>
          <t>HEBY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46256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45092</v>
      </c>
      <c r="E298" s="1" t="n">
        <v>46256</v>
      </c>
      <c r="F298" t="inlineStr">
        <is>
          <t>UPPSALA LÄN</t>
        </is>
      </c>
      <c r="G298" t="inlineStr">
        <is>
          <t>HEBY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44984</v>
      </c>
      <c r="E299" s="1" t="n">
        <v>46256</v>
      </c>
      <c r="F299" t="inlineStr">
        <is>
          <t>UPPSALA LÄN</t>
        </is>
      </c>
      <c r="G299" t="inlineStr">
        <is>
          <t>HEBY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46256</v>
      </c>
      <c r="F300" t="inlineStr">
        <is>
          <t>UPPSALA LÄN</t>
        </is>
      </c>
      <c r="G300" t="inlineStr">
        <is>
          <t>HEBY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45895</v>
      </c>
      <c r="E301" s="1" t="n">
        <v>46256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51733-2025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45951</v>
      </c>
      <c r="E302" s="1" t="n">
        <v>46256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15326-2022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44659</v>
      </c>
      <c r="E303" s="1" t="n">
        <v>46256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19683-2022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44694</v>
      </c>
      <c r="E304" s="1" t="n">
        <v>46256</v>
      </c>
      <c r="F304" t="inlineStr">
        <is>
          <t>UPPSALA LÄN</t>
        </is>
      </c>
      <c r="G304" t="inlineStr">
        <is>
          <t>HEBY</t>
        </is>
      </c>
      <c r="I304" t="n">
        <v>22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46256</v>
      </c>
      <c r="F305" t="inlineStr">
        <is>
          <t>UPPSALA LÄN</t>
        </is>
      </c>
      <c r="G305" t="inlineStr">
        <is>
          <t>HEBY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44886</v>
      </c>
      <c r="E306" s="1" t="n">
        <v>46256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46256</v>
      </c>
      <c r="F307" t="inlineStr">
        <is>
          <t>UPPSALA LÄN</t>
        </is>
      </c>
      <c r="G307" t="inlineStr">
        <is>
          <t>HEBY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46256</v>
      </c>
      <c r="F308" t="inlineStr">
        <is>
          <t>UPPSALA LÄN</t>
        </is>
      </c>
      <c r="G308" t="inlineStr">
        <is>
          <t>HEBY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46256</v>
      </c>
      <c r="F309" t="inlineStr">
        <is>
          <t>UPPSALA LÄN</t>
        </is>
      </c>
      <c r="G309" t="inlineStr">
        <is>
          <t>HEBY</t>
        </is>
      </c>
      <c r="H309" t="inlineStr">
        <is>
          <t>Övriga Aktiebolag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46256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45639</v>
      </c>
      <c r="E311" s="1" t="n">
        <v>46256</v>
      </c>
      <c r="F311" t="inlineStr">
        <is>
          <t>UPPSALA LÄN</t>
        </is>
      </c>
      <c r="G311" t="inlineStr">
        <is>
          <t>HEBY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45337</v>
      </c>
      <c r="E312" s="1" t="n">
        <v>46256</v>
      </c>
      <c r="F312" t="inlineStr">
        <is>
          <t>UPPSALA LÄN</t>
        </is>
      </c>
      <c r="G312" t="inlineStr">
        <is>
          <t>HEBY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45058</v>
      </c>
      <c r="E313" s="1" t="n">
        <v>46256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väst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46256</v>
      </c>
      <c r="F314" t="inlineStr">
        <is>
          <t>UPPSALA LÄN</t>
        </is>
      </c>
      <c r="G314" t="inlineStr">
        <is>
          <t>HEBY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48029-2024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46256</v>
      </c>
      <c r="F315" t="inlineStr">
        <is>
          <t>UPPSALA LÄN</t>
        </is>
      </c>
      <c r="G315" t="inlineStr">
        <is>
          <t>HEBY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43179-2021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44431</v>
      </c>
      <c r="E316" s="1" t="n">
        <v>46256</v>
      </c>
      <c r="F316" t="inlineStr">
        <is>
          <t>UPPSALA LÄN</t>
        </is>
      </c>
      <c r="G316" t="inlineStr">
        <is>
          <t>HEBY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46256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46256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46256</v>
      </c>
      <c r="F319" t="inlineStr">
        <is>
          <t>UPPSALA LÄN</t>
        </is>
      </c>
      <c r="G319" t="inlineStr">
        <is>
          <t>HEBY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46256</v>
      </c>
      <c r="F320" t="inlineStr">
        <is>
          <t>UPPSALA LÄN</t>
        </is>
      </c>
      <c r="G320" t="inlineStr">
        <is>
          <t>HEBY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46256</v>
      </c>
      <c r="F321" t="inlineStr">
        <is>
          <t>UPPSALA LÄN</t>
        </is>
      </c>
      <c r="G321" t="inlineStr">
        <is>
          <t>HEBY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46256</v>
      </c>
      <c r="F322" t="inlineStr">
        <is>
          <t>UPPSALA LÄN</t>
        </is>
      </c>
      <c r="G322" t="inlineStr">
        <is>
          <t>HEBY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34140-2023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45135</v>
      </c>
      <c r="E323" s="1" t="n">
        <v>46256</v>
      </c>
      <c r="F323" t="inlineStr">
        <is>
          <t>UPPSALA LÄN</t>
        </is>
      </c>
      <c r="G323" t="inlineStr">
        <is>
          <t>HEBY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62042-2025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46005</v>
      </c>
      <c r="E324" s="1" t="n">
        <v>46256</v>
      </c>
      <c r="F324" t="inlineStr">
        <is>
          <t>UPPSALA LÄN</t>
        </is>
      </c>
      <c r="G324" t="inlineStr">
        <is>
          <t>HEBY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46256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45502</v>
      </c>
      <c r="E326" s="1" t="n">
        <v>46256</v>
      </c>
      <c r="F326" t="inlineStr">
        <is>
          <t>UPPSALA LÄN</t>
        </is>
      </c>
      <c r="G326" t="inlineStr">
        <is>
          <t>HEBY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45006</v>
      </c>
      <c r="E327" s="1" t="n">
        <v>46256</v>
      </c>
      <c r="F327" t="inlineStr">
        <is>
          <t>UPPSALA LÄN</t>
        </is>
      </c>
      <c r="G327" t="inlineStr">
        <is>
          <t>HEBY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45364</v>
      </c>
      <c r="E328" s="1" t="n">
        <v>46256</v>
      </c>
      <c r="F328" t="inlineStr">
        <is>
          <t>UPPSALA LÄN</t>
        </is>
      </c>
      <c r="G328" t="inlineStr">
        <is>
          <t>HEBY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8181-2022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44609</v>
      </c>
      <c r="E329" s="1" t="n">
        <v>46256</v>
      </c>
      <c r="F329" t="inlineStr">
        <is>
          <t>UPPSALA LÄN</t>
        </is>
      </c>
      <c r="G329" t="inlineStr">
        <is>
          <t>HEBY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45567</v>
      </c>
      <c r="E330" s="1" t="n">
        <v>46256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43957-2021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44434</v>
      </c>
      <c r="E331" s="1" t="n">
        <v>46256</v>
      </c>
      <c r="F331" t="inlineStr">
        <is>
          <t>UPPSALA LÄN</t>
        </is>
      </c>
      <c r="G331" t="inlineStr">
        <is>
          <t>HEBY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64899-2021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44512</v>
      </c>
      <c r="E332" s="1" t="n">
        <v>46256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öst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62132-2022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44914</v>
      </c>
      <c r="E333" s="1" t="n">
        <v>46256</v>
      </c>
      <c r="F333" t="inlineStr">
        <is>
          <t>UPPSALA LÄN</t>
        </is>
      </c>
      <c r="G333" t="inlineStr">
        <is>
          <t>HEBY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51091-2023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45218</v>
      </c>
      <c r="E334" s="1" t="n">
        <v>46256</v>
      </c>
      <c r="F334" t="inlineStr">
        <is>
          <t>UPPSALA LÄN</t>
        </is>
      </c>
      <c r="G334" t="inlineStr">
        <is>
          <t>HEBY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44903</v>
      </c>
      <c r="E335" s="1" t="n">
        <v>46256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46256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44781</v>
      </c>
      <c r="E337" s="1" t="n">
        <v>46256</v>
      </c>
      <c r="F337" t="inlineStr">
        <is>
          <t>UPPSALA LÄN</t>
        </is>
      </c>
      <c r="G337" t="inlineStr">
        <is>
          <t>HEBY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35865-2022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44802</v>
      </c>
      <c r="E338" s="1" t="n">
        <v>46256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35868-2022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44802</v>
      </c>
      <c r="E339" s="1" t="n">
        <v>46256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46256</v>
      </c>
      <c r="F340" t="inlineStr">
        <is>
          <t>UPPSALA LÄN</t>
        </is>
      </c>
      <c r="G340" t="inlineStr">
        <is>
          <t>HEBY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46256</v>
      </c>
      <c r="F341" t="inlineStr">
        <is>
          <t>UPPSALA LÄN</t>
        </is>
      </c>
      <c r="G341" t="inlineStr">
        <is>
          <t>HEBY</t>
        </is>
      </c>
      <c r="H341" t="inlineStr">
        <is>
          <t>Allmännings- och besparingsskogar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44734</v>
      </c>
      <c r="E342" s="1" t="n">
        <v>46256</v>
      </c>
      <c r="F342" t="inlineStr">
        <is>
          <t>UPPSALA LÄN</t>
        </is>
      </c>
      <c r="G342" t="inlineStr">
        <is>
          <t>HEBY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66055-2021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44517</v>
      </c>
      <c r="E343" s="1" t="n">
        <v>46256</v>
      </c>
      <c r="F343" t="inlineStr">
        <is>
          <t>UPPSALA LÄN</t>
        </is>
      </c>
      <c r="G343" t="inlineStr">
        <is>
          <t>HEBY</t>
        </is>
      </c>
      <c r="H343" t="inlineStr">
        <is>
          <t>Bergvik skog öst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10414-2022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44623</v>
      </c>
      <c r="E344" s="1" t="n">
        <v>46256</v>
      </c>
      <c r="F344" t="inlineStr">
        <is>
          <t>UPPSALA LÄN</t>
        </is>
      </c>
      <c r="G344" t="inlineStr">
        <is>
          <t>HEBY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46256</v>
      </c>
      <c r="F345" t="inlineStr">
        <is>
          <t>UPPSALA LÄN</t>
        </is>
      </c>
      <c r="G345" t="inlineStr">
        <is>
          <t>HEBY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74215-2021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44558</v>
      </c>
      <c r="E346" s="1" t="n">
        <v>46256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46256</v>
      </c>
      <c r="F347" t="inlineStr">
        <is>
          <t>UPPSALA LÄN</t>
        </is>
      </c>
      <c r="G347" t="inlineStr">
        <is>
          <t>HEBY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46256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34146-2022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44791</v>
      </c>
      <c r="E349" s="1" t="n">
        <v>46256</v>
      </c>
      <c r="F349" t="inlineStr">
        <is>
          <t>UPPSALA LÄN</t>
        </is>
      </c>
      <c r="G349" t="inlineStr">
        <is>
          <t>HEBY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46256</v>
      </c>
      <c r="F350" t="inlineStr">
        <is>
          <t>UPPSALA LÄN</t>
        </is>
      </c>
      <c r="G350" t="inlineStr">
        <is>
          <t>HEBY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45339</v>
      </c>
      <c r="E351" s="1" t="n">
        <v>46256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45331</v>
      </c>
      <c r="E352" s="1" t="n">
        <v>46256</v>
      </c>
      <c r="F352" t="inlineStr">
        <is>
          <t>UPPSALA LÄN</t>
        </is>
      </c>
      <c r="G352" t="inlineStr">
        <is>
          <t>HEBY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46256</v>
      </c>
      <c r="F353" t="inlineStr">
        <is>
          <t>UPPSALA LÄN</t>
        </is>
      </c>
      <c r="G353" t="inlineStr">
        <is>
          <t>HEBY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46256</v>
      </c>
      <c r="F354" t="inlineStr">
        <is>
          <t>UPPSALA LÄN</t>
        </is>
      </c>
      <c r="G354" t="inlineStr">
        <is>
          <t>HEBY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54594-2024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45617</v>
      </c>
      <c r="E355" s="1" t="n">
        <v>46256</v>
      </c>
      <c r="F355" t="inlineStr">
        <is>
          <t>UPPSALA LÄN</t>
        </is>
      </c>
      <c r="G355" t="inlineStr">
        <is>
          <t>HEBY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46256</v>
      </c>
      <c r="F356" t="inlineStr">
        <is>
          <t>UPPSALA LÄN</t>
        </is>
      </c>
      <c r="G356" t="inlineStr">
        <is>
          <t>HEBY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46256</v>
      </c>
      <c r="F357" t="inlineStr">
        <is>
          <t>UPPSALA LÄN</t>
        </is>
      </c>
      <c r="G357" t="inlineStr">
        <is>
          <t>HEBY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23490-2026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46256</v>
      </c>
      <c r="F358" t="inlineStr">
        <is>
          <t>UPPSALA LÄN</t>
        </is>
      </c>
      <c r="G358" t="inlineStr">
        <is>
          <t>HEBY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46256</v>
      </c>
      <c r="F359" t="inlineStr">
        <is>
          <t>UPPSALA LÄN</t>
        </is>
      </c>
      <c r="G359" t="inlineStr">
        <is>
          <t>HEBY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46256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35.2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46256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46256</v>
      </c>
      <c r="F362" t="inlineStr">
        <is>
          <t>UPPSALA LÄN</t>
        </is>
      </c>
      <c r="G362" t="inlineStr">
        <is>
          <t>HEBY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44974</v>
      </c>
      <c r="E363" s="1" t="n">
        <v>46256</v>
      </c>
      <c r="F363" t="inlineStr">
        <is>
          <t>UPPSALA LÄN</t>
        </is>
      </c>
      <c r="G363" t="inlineStr">
        <is>
          <t>HEBY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30891-2023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46256</v>
      </c>
      <c r="F364" t="inlineStr">
        <is>
          <t>UPPSALA LÄN</t>
        </is>
      </c>
      <c r="G364" t="inlineStr">
        <is>
          <t>HEBY</t>
        </is>
      </c>
      <c r="H364" t="inlineStr">
        <is>
          <t>Övriga Aktiebolag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33705-2023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45132</v>
      </c>
      <c r="E365" s="1" t="n">
        <v>46256</v>
      </c>
      <c r="F365" t="inlineStr">
        <is>
          <t>UPPSALA LÄN</t>
        </is>
      </c>
      <c r="G365" t="inlineStr">
        <is>
          <t>HEBY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33706-2023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45132</v>
      </c>
      <c r="E366" s="1" t="n">
        <v>46256</v>
      </c>
      <c r="F366" t="inlineStr">
        <is>
          <t>UPPSALA LÄN</t>
        </is>
      </c>
      <c r="G366" t="inlineStr">
        <is>
          <t>HEBY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46256</v>
      </c>
      <c r="F367" t="inlineStr">
        <is>
          <t>UPPSALA LÄN</t>
        </is>
      </c>
      <c r="G367" t="inlineStr">
        <is>
          <t>HEBY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46256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46256</v>
      </c>
      <c r="F369" t="inlineStr">
        <is>
          <t>UPPSALA LÄN</t>
        </is>
      </c>
      <c r="G369" t="inlineStr">
        <is>
          <t>HEBY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46169</v>
      </c>
      <c r="E370" s="1" t="n">
        <v>46256</v>
      </c>
      <c r="F370" t="inlineStr">
        <is>
          <t>UPPSALA LÄN</t>
        </is>
      </c>
      <c r="G370" t="inlineStr">
        <is>
          <t>HEBY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46256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46256</v>
      </c>
      <c r="F372" t="inlineStr">
        <is>
          <t>UPPSALA LÄN</t>
        </is>
      </c>
      <c r="G372" t="inlineStr">
        <is>
          <t>HEBY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45967</v>
      </c>
      <c r="E373" s="1" t="n">
        <v>46256</v>
      </c>
      <c r="F373" t="inlineStr">
        <is>
          <t>UPPSALA LÄN</t>
        </is>
      </c>
      <c r="G373" t="inlineStr">
        <is>
          <t>HEBY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24212-2026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46256</v>
      </c>
      <c r="F374" t="inlineStr">
        <is>
          <t>UPPSALA LÄN</t>
        </is>
      </c>
      <c r="G374" t="inlineStr">
        <is>
          <t>HEBY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46256</v>
      </c>
      <c r="F375" t="inlineStr">
        <is>
          <t>UPPSALA LÄN</t>
        </is>
      </c>
      <c r="G375" t="inlineStr">
        <is>
          <t>HEBY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46084</v>
      </c>
      <c r="E376" s="1" t="n">
        <v>46256</v>
      </c>
      <c r="F376" t="inlineStr">
        <is>
          <t>UPPSALA LÄN</t>
        </is>
      </c>
      <c r="G376" t="inlineStr">
        <is>
          <t>HEBY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46256</v>
      </c>
      <c r="F377" t="inlineStr">
        <is>
          <t>UPPSALA LÄN</t>
        </is>
      </c>
      <c r="G377" t="inlineStr">
        <is>
          <t>HEBY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46256</v>
      </c>
      <c r="F378" t="inlineStr">
        <is>
          <t>UPPSALA LÄN</t>
        </is>
      </c>
      <c r="G378" t="inlineStr">
        <is>
          <t>HEBY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42859-2024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46256</v>
      </c>
      <c r="F379" t="inlineStr">
        <is>
          <t>UPPSALA LÄN</t>
        </is>
      </c>
      <c r="G379" t="inlineStr">
        <is>
          <t>HEBY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24963-2026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46174</v>
      </c>
      <c r="E380" s="1" t="n">
        <v>46256</v>
      </c>
      <c r="F380" t="inlineStr">
        <is>
          <t>UPPSALA LÄN</t>
        </is>
      </c>
      <c r="G380" t="inlineStr">
        <is>
          <t>HEBY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46256</v>
      </c>
      <c r="F381" t="inlineStr">
        <is>
          <t>UPPSALA LÄN</t>
        </is>
      </c>
      <c r="G381" t="inlineStr">
        <is>
          <t>HEBY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6622-2026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46056</v>
      </c>
      <c r="E382" s="1" t="n">
        <v>46256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46256</v>
      </c>
      <c r="F383" t="inlineStr">
        <is>
          <t>UPPSALA LÄN</t>
        </is>
      </c>
      <c r="G383" t="inlineStr">
        <is>
          <t>HEBY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46256</v>
      </c>
      <c r="F384" t="inlineStr">
        <is>
          <t>UPPSALA LÄN</t>
        </is>
      </c>
      <c r="G384" t="inlineStr">
        <is>
          <t>HEBY</t>
        </is>
      </c>
      <c r="H384" t="inlineStr">
        <is>
          <t>Kommuner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46256</v>
      </c>
      <c r="F385" t="inlineStr">
        <is>
          <t>UPPSALA LÄN</t>
        </is>
      </c>
      <c r="G385" t="inlineStr">
        <is>
          <t>HEBY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45030</v>
      </c>
      <c r="E386" s="1" t="n">
        <v>46256</v>
      </c>
      <c r="F386" t="inlineStr">
        <is>
          <t>UPPSALA LÄN</t>
        </is>
      </c>
      <c r="G386" t="inlineStr">
        <is>
          <t>HEBY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46256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46256</v>
      </c>
      <c r="F388" t="inlineStr">
        <is>
          <t>UPPSALA LÄN</t>
        </is>
      </c>
      <c r="G388" t="inlineStr">
        <is>
          <t>HEBY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13603-2023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45006</v>
      </c>
      <c r="E389" s="1" t="n">
        <v>46256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46256</v>
      </c>
      <c r="F390" t="inlineStr">
        <is>
          <t>UPPSALA LÄN</t>
        </is>
      </c>
      <c r="G390" t="inlineStr">
        <is>
          <t>HEBY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31586-2023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46256</v>
      </c>
      <c r="F391" t="inlineStr">
        <is>
          <t>UPPSALA LÄN</t>
        </is>
      </c>
      <c r="G391" t="inlineStr">
        <is>
          <t>HEBY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46256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46256</v>
      </c>
      <c r="F393" t="inlineStr">
        <is>
          <t>UPPSALA LÄN</t>
        </is>
      </c>
      <c r="G393" t="inlineStr">
        <is>
          <t>HEBY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46256</v>
      </c>
      <c r="F394" t="inlineStr">
        <is>
          <t>UPPSALA LÄN</t>
        </is>
      </c>
      <c r="G394" t="inlineStr">
        <is>
          <t>HEBY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46256</v>
      </c>
      <c r="F395" t="inlineStr">
        <is>
          <t>UPPSALA LÄN</t>
        </is>
      </c>
      <c r="G395" t="inlineStr">
        <is>
          <t>HEBY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7986-2026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46063</v>
      </c>
      <c r="E396" s="1" t="n">
        <v>46256</v>
      </c>
      <c r="F396" t="inlineStr">
        <is>
          <t>UPPSALA LÄN</t>
        </is>
      </c>
      <c r="G396" t="inlineStr">
        <is>
          <t>HEBY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8003-2026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46256</v>
      </c>
      <c r="F397" t="inlineStr">
        <is>
          <t>UPPSALA LÄN</t>
        </is>
      </c>
      <c r="G397" t="inlineStr">
        <is>
          <t>HEBY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34593-2023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45138</v>
      </c>
      <c r="E398" s="1" t="n">
        <v>46256</v>
      </c>
      <c r="F398" t="inlineStr">
        <is>
          <t>UPPSALA LÄN</t>
        </is>
      </c>
      <c r="G398" t="inlineStr">
        <is>
          <t>HEBY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46256</v>
      </c>
      <c r="F399" t="inlineStr">
        <is>
          <t>UPPSALA LÄN</t>
        </is>
      </c>
      <c r="G399" t="inlineStr">
        <is>
          <t>HEBY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46256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46256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46256</v>
      </c>
      <c r="F402" t="inlineStr">
        <is>
          <t>UPPSALA LÄN</t>
        </is>
      </c>
      <c r="G402" t="inlineStr">
        <is>
          <t>HEBY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9877-2026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46073</v>
      </c>
      <c r="E403" s="1" t="n">
        <v>46256</v>
      </c>
      <c r="F403" t="inlineStr">
        <is>
          <t>UPPSALA LÄN</t>
        </is>
      </c>
      <c r="G403" t="inlineStr">
        <is>
          <t>HEBY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46256</v>
      </c>
      <c r="F404" t="inlineStr">
        <is>
          <t>UPPSALA LÄN</t>
        </is>
      </c>
      <c r="G404" t="inlineStr">
        <is>
          <t>HEBY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46256</v>
      </c>
      <c r="F405" t="inlineStr">
        <is>
          <t>UPPSALA LÄN</t>
        </is>
      </c>
      <c r="G405" t="inlineStr">
        <is>
          <t>HEBY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46256</v>
      </c>
      <c r="F406" t="inlineStr">
        <is>
          <t>UPPSALA LÄN</t>
        </is>
      </c>
      <c r="G406" t="inlineStr">
        <is>
          <t>HEBY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44464-2021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44435</v>
      </c>
      <c r="E407" s="1" t="n">
        <v>46256</v>
      </c>
      <c r="F407" t="inlineStr">
        <is>
          <t>UPPSALA LÄN</t>
        </is>
      </c>
      <c r="G407" t="inlineStr">
        <is>
          <t>HEBY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46256</v>
      </c>
      <c r="F408" t="inlineStr">
        <is>
          <t>UPPSALA LÄN</t>
        </is>
      </c>
      <c r="G408" t="inlineStr">
        <is>
          <t>HEBY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45373</v>
      </c>
      <c r="E409" s="1" t="n">
        <v>46256</v>
      </c>
      <c r="F409" t="inlineStr">
        <is>
          <t>UPPSALA LÄN</t>
        </is>
      </c>
      <c r="G409" t="inlineStr">
        <is>
          <t>HEBY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46256</v>
      </c>
      <c r="F410" t="inlineStr">
        <is>
          <t>UPPSALA LÄN</t>
        </is>
      </c>
      <c r="G410" t="inlineStr">
        <is>
          <t>HEBY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46223</v>
      </c>
      <c r="E411" s="1" t="n">
        <v>46256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väst AB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31604-2026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46224</v>
      </c>
      <c r="E412" s="1" t="n">
        <v>46256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6.9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45103</v>
      </c>
      <c r="E413" s="1" t="n">
        <v>46256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46256</v>
      </c>
      <c r="F414" t="inlineStr">
        <is>
          <t>UPPSALA LÄN</t>
        </is>
      </c>
      <c r="G414" t="inlineStr">
        <is>
          <t>HEBY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46223</v>
      </c>
      <c r="E415" s="1" t="n">
        <v>46256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45376</v>
      </c>
      <c r="E416" s="1" t="n">
        <v>46256</v>
      </c>
      <c r="F416" t="inlineStr">
        <is>
          <t>UPPSALA LÄN</t>
        </is>
      </c>
      <c r="G416" t="inlineStr">
        <is>
          <t>HEBY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24558-2023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45083</v>
      </c>
      <c r="E417" s="1" t="n">
        <v>46256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44944</v>
      </c>
      <c r="E418" s="1" t="n">
        <v>46256</v>
      </c>
      <c r="F418" t="inlineStr">
        <is>
          <t>UPPSALA LÄN</t>
        </is>
      </c>
      <c r="G418" t="inlineStr">
        <is>
          <t>HEBY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31888-2026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46231</v>
      </c>
      <c r="E419" s="1" t="n">
        <v>46256</v>
      </c>
      <c r="F419" t="inlineStr">
        <is>
          <t>UPPSALA LÄN</t>
        </is>
      </c>
      <c r="G419" t="inlineStr">
        <is>
          <t>HEBY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45379</v>
      </c>
      <c r="E420" s="1" t="n">
        <v>46256</v>
      </c>
      <c r="F420" t="inlineStr">
        <is>
          <t>UPPSALA LÄN</t>
        </is>
      </c>
      <c r="G420" t="inlineStr">
        <is>
          <t>HEBY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46094</v>
      </c>
      <c r="E421" s="1" t="n">
        <v>46256</v>
      </c>
      <c r="F421" t="inlineStr">
        <is>
          <t>UPPSALA LÄN</t>
        </is>
      </c>
      <c r="G421" t="inlineStr">
        <is>
          <t>HEBY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46231</v>
      </c>
      <c r="E422" s="1" t="n">
        <v>46256</v>
      </c>
      <c r="F422" t="inlineStr">
        <is>
          <t>UPPSALA LÄN</t>
        </is>
      </c>
      <c r="G422" t="inlineStr">
        <is>
          <t>HEBY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44574</v>
      </c>
      <c r="E423" s="1" t="n">
        <v>46256</v>
      </c>
      <c r="F423" t="inlineStr">
        <is>
          <t>UPPSALA LÄN</t>
        </is>
      </c>
      <c r="G423" t="inlineStr">
        <is>
          <t>HEBY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46256</v>
      </c>
      <c r="F424" t="inlineStr">
        <is>
          <t>UPPSALA LÄN</t>
        </is>
      </c>
      <c r="G424" t="inlineStr">
        <is>
          <t>HEBY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46256</v>
      </c>
      <c r="F425" t="inlineStr">
        <is>
          <t>UPPSALA LÄN</t>
        </is>
      </c>
      <c r="G425" t="inlineStr">
        <is>
          <t>HEBY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46256</v>
      </c>
      <c r="F426" t="inlineStr">
        <is>
          <t>UPPSALA LÄN</t>
        </is>
      </c>
      <c r="G426" t="inlineStr">
        <is>
          <t>HEBY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46256</v>
      </c>
      <c r="F427" t="inlineStr">
        <is>
          <t>UPPSALA LÄN</t>
        </is>
      </c>
      <c r="G427" t="inlineStr">
        <is>
          <t>HEBY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44586</v>
      </c>
      <c r="E428" s="1" t="n">
        <v>46256</v>
      </c>
      <c r="F428" t="inlineStr">
        <is>
          <t>UPPSALA LÄN</t>
        </is>
      </c>
      <c r="G428" t="inlineStr">
        <is>
          <t>HEBY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46256</v>
      </c>
      <c r="F429" t="inlineStr">
        <is>
          <t>UPPSALA LÄN</t>
        </is>
      </c>
      <c r="G429" t="inlineStr">
        <is>
          <t>HEBY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44491</v>
      </c>
      <c r="E430" s="1" t="n">
        <v>46256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60461-2022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46256</v>
      </c>
      <c r="F431" t="inlineStr">
        <is>
          <t>UPPSALA LÄN</t>
        </is>
      </c>
      <c r="G431" t="inlineStr">
        <is>
          <t>HEBY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45317</v>
      </c>
      <c r="E432" s="1" t="n">
        <v>46256</v>
      </c>
      <c r="F432" t="inlineStr">
        <is>
          <t>UPPSALA LÄN</t>
        </is>
      </c>
      <c r="G432" t="inlineStr">
        <is>
          <t>HEBY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46256</v>
      </c>
      <c r="F433" t="inlineStr">
        <is>
          <t>UPPSALA LÄN</t>
        </is>
      </c>
      <c r="G433" t="inlineStr">
        <is>
          <t>HEBY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27879-2023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45098</v>
      </c>
      <c r="E434" s="1" t="n">
        <v>46256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46237</v>
      </c>
      <c r="E435" s="1" t="n">
        <v>46256</v>
      </c>
      <c r="F435" t="inlineStr">
        <is>
          <t>UPPSALA LÄN</t>
        </is>
      </c>
      <c r="G435" t="inlineStr">
        <is>
          <t>HEBY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14765-2026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46101</v>
      </c>
      <c r="E436" s="1" t="n">
        <v>46256</v>
      </c>
      <c r="F436" t="inlineStr">
        <is>
          <t>UPPSALA LÄN</t>
        </is>
      </c>
      <c r="G436" t="inlineStr">
        <is>
          <t>HEBY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32290-2026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46237</v>
      </c>
      <c r="E437" s="1" t="n">
        <v>46256</v>
      </c>
      <c r="F437" t="inlineStr">
        <is>
          <t>UPPSALA LÄN</t>
        </is>
      </c>
      <c r="G437" t="inlineStr">
        <is>
          <t>HEBY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56884-2022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44888</v>
      </c>
      <c r="E438" s="1" t="n">
        <v>46256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46256</v>
      </c>
      <c r="F439" t="inlineStr">
        <is>
          <t>UPPSALA LÄN</t>
        </is>
      </c>
      <c r="G439" t="inlineStr">
        <is>
          <t>HEBY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32417-2026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46256</v>
      </c>
      <c r="F440" t="inlineStr">
        <is>
          <t>UPPSALA LÄN</t>
        </is>
      </c>
      <c r="G440" t="inlineStr">
        <is>
          <t>HEBY</t>
        </is>
      </c>
      <c r="H440" t="inlineStr">
        <is>
          <t>Kyrkan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45294</v>
      </c>
      <c r="E441" s="1" t="n">
        <v>46256</v>
      </c>
      <c r="F441" t="inlineStr">
        <is>
          <t>UPPSALA LÄN</t>
        </is>
      </c>
      <c r="G441" t="inlineStr">
        <is>
          <t>HEBY</t>
        </is>
      </c>
      <c r="H441" t="inlineStr">
        <is>
          <t>Kommuner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46110</v>
      </c>
      <c r="E442" s="1" t="n">
        <v>46256</v>
      </c>
      <c r="F442" t="inlineStr">
        <is>
          <t>UPPSALA LÄN</t>
        </is>
      </c>
      <c r="G442" t="inlineStr">
        <is>
          <t>HEBY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46256</v>
      </c>
      <c r="F443" t="inlineStr">
        <is>
          <t>UPPSALA LÄN</t>
        </is>
      </c>
      <c r="G443" t="inlineStr">
        <is>
          <t>HEBY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16513-2026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46112</v>
      </c>
      <c r="E444" s="1" t="n">
        <v>46256</v>
      </c>
      <c r="F444" t="inlineStr">
        <is>
          <t>UPPSALA LÄN</t>
        </is>
      </c>
      <c r="G444" t="inlineStr">
        <is>
          <t>HEBY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46256</v>
      </c>
      <c r="F445" t="inlineStr">
        <is>
          <t>UPPSALA LÄN</t>
        </is>
      </c>
      <c r="G445" t="inlineStr">
        <is>
          <t>HEBY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16506-2026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46112</v>
      </c>
      <c r="E446" s="1" t="n">
        <v>46256</v>
      </c>
      <c r="F446" t="inlineStr">
        <is>
          <t>UPPSALA LÄN</t>
        </is>
      </c>
      <c r="G446" t="inlineStr">
        <is>
          <t>HEBY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16511-2026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46112</v>
      </c>
      <c r="E447" s="1" t="n">
        <v>46256</v>
      </c>
      <c r="F447" t="inlineStr">
        <is>
          <t>UPPSALA LÄN</t>
        </is>
      </c>
      <c r="G447" t="inlineStr">
        <is>
          <t>HEBY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17078-2026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46114</v>
      </c>
      <c r="E448" s="1" t="n">
        <v>46256</v>
      </c>
      <c r="F448" t="inlineStr">
        <is>
          <t>UPPSALA LÄN</t>
        </is>
      </c>
      <c r="G448" t="inlineStr">
        <is>
          <t>HEBY</t>
        </is>
      </c>
      <c r="I448" t="n">
        <v>5.9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46256</v>
      </c>
      <c r="F449" t="inlineStr">
        <is>
          <t>UPPSALA LÄN</t>
        </is>
      </c>
      <c r="G449" t="inlineStr">
        <is>
          <t>HEBY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46256</v>
      </c>
      <c r="F450" t="inlineStr">
        <is>
          <t>UPPSALA LÄN</t>
        </is>
      </c>
      <c r="G450" t="inlineStr">
        <is>
          <t>HEBY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46119</v>
      </c>
      <c r="E451" s="1" t="n">
        <v>46256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45532</v>
      </c>
      <c r="E452" s="1" t="n">
        <v>46256</v>
      </c>
      <c r="F452" t="inlineStr">
        <is>
          <t>UPPSALA LÄN</t>
        </is>
      </c>
      <c r="G452" t="inlineStr">
        <is>
          <t>HEBY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29518-2026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46256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39157-2023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46256</v>
      </c>
      <c r="F454" t="inlineStr">
        <is>
          <t>UPPSALA LÄN</t>
        </is>
      </c>
      <c r="G454" t="inlineStr">
        <is>
          <t>HEBY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9766-2023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46256</v>
      </c>
      <c r="F455" t="inlineStr">
        <is>
          <t>UPPSALA LÄN</t>
        </is>
      </c>
      <c r="G455" t="inlineStr">
        <is>
          <t>HEBY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46256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46.8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44943</v>
      </c>
      <c r="E457" s="1" t="n">
        <v>46256</v>
      </c>
      <c r="F457" t="inlineStr">
        <is>
          <t>UPPSALA LÄN</t>
        </is>
      </c>
      <c r="G457" t="inlineStr">
        <is>
          <t>HEBY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44943</v>
      </c>
      <c r="E458" s="1" t="n">
        <v>46256</v>
      </c>
      <c r="F458" t="inlineStr">
        <is>
          <t>UPPSALA LÄN</t>
        </is>
      </c>
      <c r="G458" t="inlineStr">
        <is>
          <t>HEBY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44944</v>
      </c>
      <c r="E459" s="1" t="n">
        <v>46256</v>
      </c>
      <c r="F459" t="inlineStr">
        <is>
          <t>UPPSALA LÄN</t>
        </is>
      </c>
      <c r="G459" t="inlineStr">
        <is>
          <t>HEBY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59207-2023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45252</v>
      </c>
      <c r="E460" s="1" t="n">
        <v>46256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46126</v>
      </c>
      <c r="E461" s="1" t="n">
        <v>46256</v>
      </c>
      <c r="F461" t="inlineStr">
        <is>
          <t>UPPSALA LÄN</t>
        </is>
      </c>
      <c r="G461" t="inlineStr">
        <is>
          <t>HEBY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18374-2026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46256</v>
      </c>
      <c r="F462" t="inlineStr">
        <is>
          <t>UPPSALA LÄN</t>
        </is>
      </c>
      <c r="G462" t="inlineStr">
        <is>
          <t>HEBY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46256</v>
      </c>
      <c r="F463" t="inlineStr">
        <is>
          <t>UPPSALA LÄN</t>
        </is>
      </c>
      <c r="G463" t="inlineStr">
        <is>
          <t>HEBY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46237</v>
      </c>
      <c r="E464" s="1" t="n">
        <v>46256</v>
      </c>
      <c r="F464" t="inlineStr">
        <is>
          <t>UPPSALA LÄN</t>
        </is>
      </c>
      <c r="G464" t="inlineStr">
        <is>
          <t>HEBY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46256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46863-2025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45929</v>
      </c>
      <c r="E466" s="1" t="n">
        <v>46256</v>
      </c>
      <c r="F466" t="inlineStr">
        <is>
          <t>UPPSALA LÄN</t>
        </is>
      </c>
      <c r="G466" t="inlineStr">
        <is>
          <t>HEBY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46256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60295-2021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44495</v>
      </c>
      <c r="E468" s="1" t="n">
        <v>46256</v>
      </c>
      <c r="F468" t="inlineStr">
        <is>
          <t>UPPSALA LÄN</t>
        </is>
      </c>
      <c r="G468" t="inlineStr">
        <is>
          <t>HEBY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62145-2022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44914</v>
      </c>
      <c r="E469" s="1" t="n">
        <v>46256</v>
      </c>
      <c r="F469" t="inlineStr">
        <is>
          <t>UPPSALA LÄN</t>
        </is>
      </c>
      <c r="G469" t="inlineStr">
        <is>
          <t>HEBY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44974</v>
      </c>
      <c r="E470" s="1" t="n">
        <v>46256</v>
      </c>
      <c r="F470" t="inlineStr">
        <is>
          <t>UPPSALA LÄN</t>
        </is>
      </c>
      <c r="G470" t="inlineStr">
        <is>
          <t>HEBY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46135</v>
      </c>
      <c r="E471" s="1" t="n">
        <v>46256</v>
      </c>
      <c r="F471" t="inlineStr">
        <is>
          <t>UPPSALA LÄN</t>
        </is>
      </c>
      <c r="G471" t="inlineStr">
        <is>
          <t>HEBY</t>
        </is>
      </c>
      <c r="H471" t="inlineStr">
        <is>
          <t>Kyrkan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40924-2023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45173</v>
      </c>
      <c r="E472" s="1" t="n">
        <v>46256</v>
      </c>
      <c r="F472" t="inlineStr">
        <is>
          <t>UPPSALA LÄN</t>
        </is>
      </c>
      <c r="G472" t="inlineStr">
        <is>
          <t>HEBY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40926-2023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45173</v>
      </c>
      <c r="E473" s="1" t="n">
        <v>46256</v>
      </c>
      <c r="F473" t="inlineStr">
        <is>
          <t>UPPSALA LÄN</t>
        </is>
      </c>
      <c r="G473" t="inlineStr">
        <is>
          <t>HEBY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46256</v>
      </c>
      <c r="F474" t="inlineStr">
        <is>
          <t>UPPSALA LÄN</t>
        </is>
      </c>
      <c r="G474" t="inlineStr">
        <is>
          <t>HEBY</t>
        </is>
      </c>
      <c r="H474" t="inlineStr">
        <is>
          <t>Bergvik skog väst AB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4487-2023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44956</v>
      </c>
      <c r="E475" s="1" t="n">
        <v>46256</v>
      </c>
      <c r="F475" t="inlineStr">
        <is>
          <t>UPPSALA LÄN</t>
        </is>
      </c>
      <c r="G475" t="inlineStr">
        <is>
          <t>HEBY</t>
        </is>
      </c>
      <c r="H475" t="inlineStr">
        <is>
          <t>Kyrkan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46256</v>
      </c>
      <c r="F476" t="inlineStr">
        <is>
          <t>UPPSALA LÄN</t>
        </is>
      </c>
      <c r="G476" t="inlineStr">
        <is>
          <t>HEBY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45344</v>
      </c>
      <c r="E477" s="1" t="n">
        <v>46256</v>
      </c>
      <c r="F477" t="inlineStr">
        <is>
          <t>UPPSALA LÄN</t>
        </is>
      </c>
      <c r="G477" t="inlineStr">
        <is>
          <t>HEBY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42216-2025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45904</v>
      </c>
      <c r="E478" s="1" t="n">
        <v>46256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öst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46220</v>
      </c>
      <c r="E479" s="1" t="n">
        <v>46256</v>
      </c>
      <c r="F479" t="inlineStr">
        <is>
          <t>UPPSALA LÄN</t>
        </is>
      </c>
      <c r="G479" t="inlineStr">
        <is>
          <t>HEBY</t>
        </is>
      </c>
      <c r="H479" t="inlineStr">
        <is>
          <t>Bergvik skog väst AB</t>
        </is>
      </c>
      <c r="I479" t="n">
        <v>55.9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29340-2022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44752</v>
      </c>
      <c r="E480" s="1" t="n">
        <v>46256</v>
      </c>
      <c r="F480" t="inlineStr">
        <is>
          <t>UPPSALA LÄN</t>
        </is>
      </c>
      <c r="G480" t="inlineStr">
        <is>
          <t>HEBY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46256</v>
      </c>
      <c r="F481" t="inlineStr">
        <is>
          <t>UPPSALA LÄN</t>
        </is>
      </c>
      <c r="G481" t="inlineStr">
        <is>
          <t>HEBY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45008</v>
      </c>
      <c r="E482" s="1" t="n">
        <v>46256</v>
      </c>
      <c r="F482" t="inlineStr">
        <is>
          <t>UPPSALA LÄN</t>
        </is>
      </c>
      <c r="G482" t="inlineStr">
        <is>
          <t>HEBY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46256</v>
      </c>
      <c r="F483" t="inlineStr">
        <is>
          <t>UPPSALA LÄN</t>
        </is>
      </c>
      <c r="G483" t="inlineStr">
        <is>
          <t>HEBY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46256</v>
      </c>
      <c r="F484" t="inlineStr">
        <is>
          <t>UPPSALA LÄN</t>
        </is>
      </c>
      <c r="G484" t="inlineStr">
        <is>
          <t>HEBY</t>
        </is>
      </c>
      <c r="H484" t="inlineStr">
        <is>
          <t>Övriga Aktiebolag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6866-2022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44602</v>
      </c>
      <c r="E485" s="1" t="n">
        <v>46256</v>
      </c>
      <c r="F485" t="inlineStr">
        <is>
          <t>UPPSALA LÄN</t>
        </is>
      </c>
      <c r="G485" t="inlineStr">
        <is>
          <t>HEBY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19718-2023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45050</v>
      </c>
      <c r="E486" s="1" t="n">
        <v>46256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47861-2025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45932</v>
      </c>
      <c r="E487" s="1" t="n">
        <v>46256</v>
      </c>
      <c r="F487" t="inlineStr">
        <is>
          <t>UPPSALA LÄN</t>
        </is>
      </c>
      <c r="G487" t="inlineStr">
        <is>
          <t>HEBY</t>
        </is>
      </c>
      <c r="H487" t="inlineStr">
        <is>
          <t>Allmännings- och besparingsskogar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44911</v>
      </c>
      <c r="E488" s="1" t="n">
        <v>46256</v>
      </c>
      <c r="F488" t="inlineStr">
        <is>
          <t>UPPSALA LÄN</t>
        </is>
      </c>
      <c r="G488" t="inlineStr">
        <is>
          <t>HEBY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3371-2024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45317</v>
      </c>
      <c r="E489" s="1" t="n">
        <v>46256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29816-2026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46205</v>
      </c>
      <c r="E490" s="1" t="n">
        <v>46256</v>
      </c>
      <c r="F490" t="inlineStr">
        <is>
          <t>UPPSALA LÄN</t>
        </is>
      </c>
      <c r="G490" t="inlineStr">
        <is>
          <t>HEBY</t>
        </is>
      </c>
      <c r="H490" t="inlineStr">
        <is>
          <t>Kyrkan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46256</v>
      </c>
      <c r="F491" t="inlineStr">
        <is>
          <t>UPPSALA LÄN</t>
        </is>
      </c>
      <c r="G491" t="inlineStr">
        <is>
          <t>HEBY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14916-2025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45743</v>
      </c>
      <c r="E492" s="1" t="n">
        <v>46256</v>
      </c>
      <c r="F492" t="inlineStr">
        <is>
          <t>UPPSALA LÄN</t>
        </is>
      </c>
      <c r="G492" t="inlineStr">
        <is>
          <t>HEBY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45891</v>
      </c>
      <c r="E493" s="1" t="n">
        <v>46256</v>
      </c>
      <c r="F493" t="inlineStr">
        <is>
          <t>UPPSALA LÄN</t>
        </is>
      </c>
      <c r="G493" t="inlineStr">
        <is>
          <t>HEBY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45664</v>
      </c>
      <c r="E494" s="1" t="n">
        <v>46256</v>
      </c>
      <c r="F494" t="inlineStr">
        <is>
          <t>UPPSALA LÄN</t>
        </is>
      </c>
      <c r="G494" t="inlineStr">
        <is>
          <t>HEBY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29826-2026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46256</v>
      </c>
      <c r="F495" t="inlineStr">
        <is>
          <t>UPPSALA LÄN</t>
        </is>
      </c>
      <c r="G495" t="inlineStr">
        <is>
          <t>HEBY</t>
        </is>
      </c>
      <c r="H495" t="inlineStr">
        <is>
          <t>Kyrkan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46256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45422</v>
      </c>
      <c r="E497" s="1" t="n">
        <v>46256</v>
      </c>
      <c r="F497" t="inlineStr">
        <is>
          <t>UPPSALA LÄN</t>
        </is>
      </c>
      <c r="G497" t="inlineStr">
        <is>
          <t>HEBY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45099</v>
      </c>
      <c r="E498" s="1" t="n">
        <v>46256</v>
      </c>
      <c r="F498" t="inlineStr">
        <is>
          <t>UPPSALA LÄN</t>
        </is>
      </c>
      <c r="G498" t="inlineStr">
        <is>
          <t>HEBY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50954-2025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45946</v>
      </c>
      <c r="E499" s="1" t="n">
        <v>46256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45231</v>
      </c>
      <c r="E500" s="1" t="n">
        <v>46256</v>
      </c>
      <c r="F500" t="inlineStr">
        <is>
          <t>UPPSALA LÄN</t>
        </is>
      </c>
      <c r="G500" t="inlineStr">
        <is>
          <t>HEBY</t>
        </is>
      </c>
      <c r="I500" t="n">
        <v>10.3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47890-2025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46256</v>
      </c>
      <c r="F501" t="inlineStr">
        <is>
          <t>UPPSALA LÄN</t>
        </is>
      </c>
      <c r="G501" t="inlineStr">
        <is>
          <t>HEBY</t>
        </is>
      </c>
      <c r="H501" t="inlineStr">
        <is>
          <t>Allmännings- och besparingsskogar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45511</v>
      </c>
      <c r="E502" s="1" t="n">
        <v>46256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46256</v>
      </c>
      <c r="F503" t="inlineStr">
        <is>
          <t>UPPSALA LÄN</t>
        </is>
      </c>
      <c r="G503" t="inlineStr">
        <is>
          <t>HEBY</t>
        </is>
      </c>
      <c r="H503" t="inlineStr">
        <is>
          <t>Allmännings- och besparingsskogar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45058</v>
      </c>
      <c r="E504" s="1" t="n">
        <v>46256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46252</v>
      </c>
      <c r="E505" s="1" t="n">
        <v>46256</v>
      </c>
      <c r="F505" t="inlineStr">
        <is>
          <t>UPPSALA LÄN</t>
        </is>
      </c>
      <c r="G505" t="inlineStr">
        <is>
          <t>HEBY</t>
        </is>
      </c>
      <c r="H505" t="inlineStr">
        <is>
          <t>Kyrkan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45818</v>
      </c>
      <c r="E506" s="1" t="n">
        <v>46256</v>
      </c>
      <c r="F506" t="inlineStr">
        <is>
          <t>UPPSALA LÄN</t>
        </is>
      </c>
      <c r="G506" t="inlineStr">
        <is>
          <t>HEBY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45946</v>
      </c>
      <c r="E507" s="1" t="n">
        <v>46256</v>
      </c>
      <c r="F507" t="inlineStr">
        <is>
          <t>UPPSALA LÄN</t>
        </is>
      </c>
      <c r="G507" t="inlineStr">
        <is>
          <t>HEBY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44993</v>
      </c>
      <c r="E508" s="1" t="n">
        <v>46256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16847-2024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45411</v>
      </c>
      <c r="E509" s="1" t="n">
        <v>46256</v>
      </c>
      <c r="F509" t="inlineStr">
        <is>
          <t>UPPSALA LÄN</t>
        </is>
      </c>
      <c r="G509" t="inlineStr">
        <is>
          <t>HEBY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45884</v>
      </c>
      <c r="E510" s="1" t="n">
        <v>46256</v>
      </c>
      <c r="F510" t="inlineStr">
        <is>
          <t>UPPSALA LÄN</t>
        </is>
      </c>
      <c r="G510" t="inlineStr">
        <is>
          <t>HEBY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34416-2026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46256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44093-2024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45572</v>
      </c>
      <c r="E512" s="1" t="n">
        <v>46256</v>
      </c>
      <c r="F512" t="inlineStr">
        <is>
          <t>UPPSALA LÄN</t>
        </is>
      </c>
      <c r="G512" t="inlineStr">
        <is>
          <t>HEBY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46256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34578-2026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46256</v>
      </c>
      <c r="F514" t="inlineStr">
        <is>
          <t>UPPSALA LÄN</t>
        </is>
      </c>
      <c r="G514" t="inlineStr">
        <is>
          <t>HEBY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34579-2026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46256</v>
      </c>
      <c r="F515" t="inlineStr">
        <is>
          <t>UPPSALA LÄN</t>
        </is>
      </c>
      <c r="G515" t="inlineStr">
        <is>
          <t>HEBY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44823</v>
      </c>
      <c r="E516" s="1" t="n">
        <v>46256</v>
      </c>
      <c r="F516" t="inlineStr">
        <is>
          <t>UPPSALA LÄN</t>
        </is>
      </c>
      <c r="G516" t="inlineStr">
        <is>
          <t>HEBY</t>
        </is>
      </c>
      <c r="H516" t="inlineStr">
        <is>
          <t>Övriga Aktiebolag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46256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46256</v>
      </c>
      <c r="F518" t="inlineStr">
        <is>
          <t>UPPSALA LÄN</t>
        </is>
      </c>
      <c r="G518" t="inlineStr">
        <is>
          <t>HEBY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29387-2022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44753</v>
      </c>
      <c r="E519" s="1" t="n">
        <v>46256</v>
      </c>
      <c r="F519" t="inlineStr">
        <is>
          <t>UPPSALA LÄN</t>
        </is>
      </c>
      <c r="G519" t="inlineStr">
        <is>
          <t>HEBY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32347-2026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46238</v>
      </c>
      <c r="E520" s="1" t="n">
        <v>46256</v>
      </c>
      <c r="F520" t="inlineStr">
        <is>
          <t>UPPSALA LÄN</t>
        </is>
      </c>
      <c r="G520" t="inlineStr">
        <is>
          <t>HEBY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46256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31903-2023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45118</v>
      </c>
      <c r="E522" s="1" t="n">
        <v>46256</v>
      </c>
      <c r="F522" t="inlineStr">
        <is>
          <t>UPPSALA LÄN</t>
        </is>
      </c>
      <c r="G522" t="inlineStr">
        <is>
          <t>HEBY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46255</v>
      </c>
      <c r="E523" s="1" t="n">
        <v>46256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46256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34610-2026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46256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34381-2026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46256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46256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45895</v>
      </c>
      <c r="E528" s="1" t="n">
        <v>46256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46408-2024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46256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4213-2023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46256</v>
      </c>
      <c r="F530" t="inlineStr">
        <is>
          <t>UPPSALA LÄN</t>
        </is>
      </c>
      <c r="G530" t="inlineStr">
        <is>
          <t>HEBY</t>
        </is>
      </c>
      <c r="I530" t="n">
        <v>11.2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20488-2026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46256</v>
      </c>
      <c r="F531" t="inlineStr">
        <is>
          <t>UPPSALA LÄN</t>
        </is>
      </c>
      <c r="G531" t="inlineStr">
        <is>
          <t>HEBY</t>
        </is>
      </c>
      <c r="H531" t="inlineStr">
        <is>
          <t>Kyrkan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46256</v>
      </c>
      <c r="F532" t="inlineStr">
        <is>
          <t>UPPSALA LÄN</t>
        </is>
      </c>
      <c r="G532" t="inlineStr">
        <is>
          <t>HEBY</t>
        </is>
      </c>
      <c r="H532" t="inlineStr">
        <is>
          <t>Övriga Aktiebolag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46256</v>
      </c>
      <c r="F533" t="inlineStr">
        <is>
          <t>UPPSALA LÄN</t>
        </is>
      </c>
      <c r="G533" t="inlineStr">
        <is>
          <t>HEBY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46256</v>
      </c>
      <c r="F534" t="inlineStr">
        <is>
          <t>UPPSALA LÄN</t>
        </is>
      </c>
      <c r="G534" t="inlineStr">
        <is>
          <t>HEBY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46256</v>
      </c>
      <c r="F535" t="inlineStr">
        <is>
          <t>UPPSALA LÄN</t>
        </is>
      </c>
      <c r="G535" t="inlineStr">
        <is>
          <t>HEBY</t>
        </is>
      </c>
      <c r="H535" t="inlineStr">
        <is>
          <t>Övriga Aktiebolag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20440-2026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46256</v>
      </c>
      <c r="F536" t="inlineStr">
        <is>
          <t>UPPSALA LÄN</t>
        </is>
      </c>
      <c r="G536" t="inlineStr">
        <is>
          <t>HEBY</t>
        </is>
      </c>
      <c r="H536" t="inlineStr">
        <is>
          <t>Övriga Aktiebolag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61453-2022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46256</v>
      </c>
      <c r="F537" t="inlineStr">
        <is>
          <t>UPPSALA LÄN</t>
        </is>
      </c>
      <c r="G537" t="inlineStr">
        <is>
          <t>HEBY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29396-2022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44753</v>
      </c>
      <c r="E538" s="1" t="n">
        <v>46256</v>
      </c>
      <c r="F538" t="inlineStr">
        <is>
          <t>UPPSALA LÄN</t>
        </is>
      </c>
      <c r="G538" t="inlineStr">
        <is>
          <t>HEBY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8660-2022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44613</v>
      </c>
      <c r="E539" s="1" t="n">
        <v>46256</v>
      </c>
      <c r="F539" t="inlineStr">
        <is>
          <t>UPPSALA LÄN</t>
        </is>
      </c>
      <c r="G539" t="inlineStr">
        <is>
          <t>HEBY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45805</v>
      </c>
      <c r="E540" s="1" t="n">
        <v>46256</v>
      </c>
      <c r="F540" t="inlineStr">
        <is>
          <t>UPPSALA LÄN</t>
        </is>
      </c>
      <c r="G540" t="inlineStr">
        <is>
          <t>HEBY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46256</v>
      </c>
      <c r="F541" t="inlineStr">
        <is>
          <t>UPPSALA LÄN</t>
        </is>
      </c>
      <c r="G541" t="inlineStr">
        <is>
          <t>HEBY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23065-2023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45075</v>
      </c>
      <c r="E542" s="1" t="n">
        <v>46256</v>
      </c>
      <c r="F542" t="inlineStr">
        <is>
          <t>UPPSALA LÄN</t>
        </is>
      </c>
      <c r="G542" t="inlineStr">
        <is>
          <t>HEBY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44873</v>
      </c>
      <c r="E543" s="1" t="n">
        <v>46256</v>
      </c>
      <c r="F543" t="inlineStr">
        <is>
          <t>UPPSALA LÄN</t>
        </is>
      </c>
      <c r="G543" t="inlineStr">
        <is>
          <t>HEBY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41546-2023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45175</v>
      </c>
      <c r="E544" s="1" t="n">
        <v>46256</v>
      </c>
      <c r="F544" t="inlineStr">
        <is>
          <t>UPPSALA LÄN</t>
        </is>
      </c>
      <c r="G544" t="inlineStr">
        <is>
          <t>HEBY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45713</v>
      </c>
      <c r="E545" s="1" t="n">
        <v>46256</v>
      </c>
      <c r="F545" t="inlineStr">
        <is>
          <t>UPPSALA LÄN</t>
        </is>
      </c>
      <c r="G545" t="inlineStr">
        <is>
          <t>HEBY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46256</v>
      </c>
      <c r="F546" t="inlineStr">
        <is>
          <t>UPPSALA LÄN</t>
        </is>
      </c>
      <c r="G546" t="inlineStr">
        <is>
          <t>HEBY</t>
        </is>
      </c>
      <c r="H546" t="inlineStr">
        <is>
          <t>Övriga Aktiebolag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9497-2023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44981</v>
      </c>
      <c r="E547" s="1" t="n">
        <v>46256</v>
      </c>
      <c r="F547" t="inlineStr">
        <is>
          <t>UPPSALA LÄN</t>
        </is>
      </c>
      <c r="G547" t="inlineStr">
        <is>
          <t>HEBY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31564-2023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45117</v>
      </c>
      <c r="E548" s="1" t="n">
        <v>46256</v>
      </c>
      <c r="F548" t="inlineStr">
        <is>
          <t>UPPSALA LÄN</t>
        </is>
      </c>
      <c r="G548" t="inlineStr">
        <is>
          <t>HEBY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45117</v>
      </c>
      <c r="E549" s="1" t="n">
        <v>46256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31567-2023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45117</v>
      </c>
      <c r="E550" s="1" t="n">
        <v>46256</v>
      </c>
      <c r="F550" t="inlineStr">
        <is>
          <t>UPPSALA LÄN</t>
        </is>
      </c>
      <c r="G550" t="inlineStr">
        <is>
          <t>HEBY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45964-2021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44441</v>
      </c>
      <c r="E551" s="1" t="n">
        <v>46256</v>
      </c>
      <c r="F551" t="inlineStr">
        <is>
          <t>UPPSALA LÄN</t>
        </is>
      </c>
      <c r="G551" t="inlineStr">
        <is>
          <t>HEBY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21729-2026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46149</v>
      </c>
      <c r="E552" s="1" t="n">
        <v>46256</v>
      </c>
      <c r="F552" t="inlineStr">
        <is>
          <t>UPPSALA LÄN</t>
        </is>
      </c>
      <c r="G552" t="inlineStr">
        <is>
          <t>HEBY</t>
        </is>
      </c>
      <c r="H552" t="inlineStr">
        <is>
          <t>Allmännings- och besparingsskogar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45250</v>
      </c>
      <c r="E553" s="1" t="n">
        <v>46256</v>
      </c>
      <c r="F553" t="inlineStr">
        <is>
          <t>UPPSALA LÄN</t>
        </is>
      </c>
      <c r="G553" t="inlineStr">
        <is>
          <t>HEBY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45805</v>
      </c>
      <c r="E554" s="1" t="n">
        <v>46256</v>
      </c>
      <c r="F554" t="inlineStr">
        <is>
          <t>UPPSALA LÄN</t>
        </is>
      </c>
      <c r="G554" t="inlineStr">
        <is>
          <t>HEBY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62650-2022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44925</v>
      </c>
      <c r="E555" s="1" t="n">
        <v>46256</v>
      </c>
      <c r="F555" t="inlineStr">
        <is>
          <t>UPPSALA LÄN</t>
        </is>
      </c>
      <c r="G555" t="inlineStr">
        <is>
          <t>HEBY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46256</v>
      </c>
      <c r="F556" t="inlineStr">
        <is>
          <t>UPPSALA LÄN</t>
        </is>
      </c>
      <c r="G556" t="inlineStr">
        <is>
          <t>HEBY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46256</v>
      </c>
      <c r="F557" t="inlineStr">
        <is>
          <t>UPPSALA LÄN</t>
        </is>
      </c>
      <c r="G557" t="inlineStr">
        <is>
          <t>HEBY</t>
        </is>
      </c>
      <c r="I557" t="n">
        <v>4.1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46256</v>
      </c>
      <c r="F558" t="inlineStr">
        <is>
          <t>UPPSALA LÄN</t>
        </is>
      </c>
      <c r="G558" t="inlineStr">
        <is>
          <t>HEBY</t>
        </is>
      </c>
      <c r="I558" t="n">
        <v>7.3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9815-2022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44620</v>
      </c>
      <c r="E559" s="1" t="n">
        <v>46256</v>
      </c>
      <c r="F559" t="inlineStr">
        <is>
          <t>UPPSALA LÄN</t>
        </is>
      </c>
      <c r="G559" t="inlineStr">
        <is>
          <t>HEBY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46256</v>
      </c>
      <c r="F560" t="inlineStr">
        <is>
          <t>UPPSALA LÄN</t>
        </is>
      </c>
      <c r="G560" t="inlineStr">
        <is>
          <t>HEBY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15424-2025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45747</v>
      </c>
      <c r="E561" s="1" t="n">
        <v>46256</v>
      </c>
      <c r="F561" t="inlineStr">
        <is>
          <t>UPPSALA LÄN</t>
        </is>
      </c>
      <c r="G561" t="inlineStr">
        <is>
          <t>HEBY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46160</v>
      </c>
      <c r="E562" s="1" t="n">
        <v>46256</v>
      </c>
      <c r="F562" t="inlineStr">
        <is>
          <t>UPPSALA LÄN</t>
        </is>
      </c>
      <c r="G562" t="inlineStr">
        <is>
          <t>HEBY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46256</v>
      </c>
      <c r="F563" t="inlineStr">
        <is>
          <t>UPPSALA LÄN</t>
        </is>
      </c>
      <c r="G563" t="inlineStr">
        <is>
          <t>HEBY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44644</v>
      </c>
      <c r="E564" s="1" t="n">
        <v>46256</v>
      </c>
      <c r="F564" t="inlineStr">
        <is>
          <t>UPPSALA LÄN</t>
        </is>
      </c>
      <c r="G564" t="inlineStr">
        <is>
          <t>HEBY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45355</v>
      </c>
      <c r="E565" s="1" t="n">
        <v>46256</v>
      </c>
      <c r="F565" t="inlineStr">
        <is>
          <t>UPPSALA LÄN</t>
        </is>
      </c>
      <c r="G565" t="inlineStr">
        <is>
          <t>HEBY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13601-2024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45390</v>
      </c>
      <c r="E566" s="1" t="n">
        <v>46256</v>
      </c>
      <c r="F566" t="inlineStr">
        <is>
          <t>UPPSALA LÄN</t>
        </is>
      </c>
      <c r="G566" t="inlineStr">
        <is>
          <t>HEBY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45786</v>
      </c>
      <c r="E567" s="1" t="n">
        <v>46256</v>
      </c>
      <c r="F567" t="inlineStr">
        <is>
          <t>UPPSALA LÄN</t>
        </is>
      </c>
      <c r="G567" t="inlineStr">
        <is>
          <t>HEBY</t>
        </is>
      </c>
      <c r="H567" t="inlineStr">
        <is>
          <t>Kyrkan</t>
        </is>
      </c>
      <c r="I567" t="n">
        <v>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45786</v>
      </c>
      <c r="E568" s="1" t="n">
        <v>46256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45786</v>
      </c>
      <c r="E569" s="1" t="n">
        <v>46256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45786</v>
      </c>
      <c r="E570" s="1" t="n">
        <v>46256</v>
      </c>
      <c r="F570" t="inlineStr">
        <is>
          <t>UPPSALA LÄN</t>
        </is>
      </c>
      <c r="G570" t="inlineStr">
        <is>
          <t>HEBY</t>
        </is>
      </c>
      <c r="H570" t="inlineStr">
        <is>
          <t>Kyrkan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46256</v>
      </c>
      <c r="F571" t="inlineStr">
        <is>
          <t>UPPSALA LÄN</t>
        </is>
      </c>
      <c r="G571" t="inlineStr">
        <is>
          <t>HEBY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4740-2024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45328</v>
      </c>
      <c r="E572" s="1" t="n">
        <v>46256</v>
      </c>
      <c r="F572" t="inlineStr">
        <is>
          <t>UPPSALA LÄN</t>
        </is>
      </c>
      <c r="G572" t="inlineStr">
        <is>
          <t>HEBY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45133</v>
      </c>
      <c r="E573" s="1" t="n">
        <v>46256</v>
      </c>
      <c r="F573" t="inlineStr">
        <is>
          <t>UPPSALA LÄN</t>
        </is>
      </c>
      <c r="G573" t="inlineStr">
        <is>
          <t>HEBY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45209</v>
      </c>
      <c r="E574" s="1" t="n">
        <v>46256</v>
      </c>
      <c r="F574" t="inlineStr">
        <is>
          <t>UPPSALA LÄN</t>
        </is>
      </c>
      <c r="G574" t="inlineStr">
        <is>
          <t>HEBY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32867-2023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45112</v>
      </c>
      <c r="E575" s="1" t="n">
        <v>46256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12.3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24381-2025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46256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10.6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41556-2023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45175</v>
      </c>
      <c r="E577" s="1" t="n">
        <v>46256</v>
      </c>
      <c r="F577" t="inlineStr">
        <is>
          <t>UPPSALA LÄN</t>
        </is>
      </c>
      <c r="G577" t="inlineStr">
        <is>
          <t>HEBY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52796-2024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46256</v>
      </c>
      <c r="F578" t="inlineStr">
        <is>
          <t>UPPSALA LÄN</t>
        </is>
      </c>
      <c r="G578" t="inlineStr">
        <is>
          <t>HEBY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38831-2024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45547</v>
      </c>
      <c r="E579" s="1" t="n">
        <v>46256</v>
      </c>
      <c r="F579" t="inlineStr">
        <is>
          <t>UPPSALA LÄN</t>
        </is>
      </c>
      <c r="G579" t="inlineStr">
        <is>
          <t>HEBY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1334-2022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44629</v>
      </c>
      <c r="E580" s="1" t="n">
        <v>46256</v>
      </c>
      <c r="F580" t="inlineStr">
        <is>
          <t>UPPSALA LÄN</t>
        </is>
      </c>
      <c r="G580" t="inlineStr">
        <is>
          <t>HEBY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10324-2021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44546</v>
      </c>
      <c r="E581" s="1" t="n">
        <v>46256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3256-2023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45191</v>
      </c>
      <c r="E582" s="1" t="n">
        <v>46256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20.9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517-2022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44588</v>
      </c>
      <c r="E583" s="1" t="n">
        <v>46256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öst AB</t>
        </is>
      </c>
      <c r="I583" t="n">
        <v>30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5859-2021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44438</v>
      </c>
      <c r="E584" s="1" t="n">
        <v>46256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4466-2022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44788</v>
      </c>
      <c r="E585" s="1" t="n">
        <v>46256</v>
      </c>
      <c r="F585" t="inlineStr">
        <is>
          <t>UPPSALA LÄN</t>
        </is>
      </c>
      <c r="G585" t="inlineStr">
        <is>
          <t>HEBY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2310-2022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44684</v>
      </c>
      <c r="E586" s="1" t="n">
        <v>46256</v>
      </c>
      <c r="F586" t="inlineStr">
        <is>
          <t>UPPSALA LÄN</t>
        </is>
      </c>
      <c r="G586" t="inlineStr">
        <is>
          <t>HEBY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4423-2024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45590</v>
      </c>
      <c r="E587" s="1" t="n">
        <v>46256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47.6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46256</v>
      </c>
      <c r="F588" t="inlineStr">
        <is>
          <t>UPPSALA LÄN</t>
        </is>
      </c>
      <c r="G588" t="inlineStr">
        <is>
          <t>HEBY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2797-2024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45485</v>
      </c>
      <c r="E589" s="1" t="n">
        <v>46256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398-2025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45699</v>
      </c>
      <c r="E590" s="1" t="n">
        <v>46256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öst AB</t>
        </is>
      </c>
      <c r="I590" t="n">
        <v>23.3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1386-2024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45411</v>
      </c>
      <c r="E591" s="1" t="n">
        <v>46256</v>
      </c>
      <c r="F591" t="inlineStr">
        <is>
          <t>UPPSALA LÄN</t>
        </is>
      </c>
      <c r="G591" t="inlineStr">
        <is>
          <t>HEBY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4464-2022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44788</v>
      </c>
      <c r="E592" s="1" t="n">
        <v>46256</v>
      </c>
      <c r="F592" t="inlineStr">
        <is>
          <t>UPPSALA LÄN</t>
        </is>
      </c>
      <c r="G592" t="inlineStr">
        <is>
          <t>HEBY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1330-2022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44629</v>
      </c>
      <c r="E593" s="1" t="n">
        <v>46256</v>
      </c>
      <c r="F593" t="inlineStr">
        <is>
          <t>UPPSALA LÄN</t>
        </is>
      </c>
      <c r="G593" t="inlineStr">
        <is>
          <t>HEBY</t>
        </is>
      </c>
      <c r="I593" t="n">
        <v>25.1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  <c r="Z593">
        <f>HYPERLINK("https://klasma.github.io/Logging_0331/knärot/S 1330-2022 karta knärot.png", "S 1330-2022")</f>
        <v/>
      </c>
      <c r="AA593">
        <f>HYPERLINK("https://klasma.github.io/Logging_0331/klagomål/S 1330-2022 FSC-klagomål.docx", "S 1330-2022")</f>
        <v/>
      </c>
      <c r="AB593">
        <f>HYPERLINK("https://klasma.github.io/Logging_0331/klagomålsmail/S 1330-2022 FSC-klagomål mail.docx", "S 1330-2022")</f>
        <v/>
      </c>
      <c r="AC593">
        <f>HYPERLINK("https://klasma.github.io/Logging_0331/tillsyn/S 1330-2022 tillsynsbegäran.docx", "S 1330-2022")</f>
        <v/>
      </c>
      <c r="AD593">
        <f>HYPERLINK("https://klasma.github.io/Logging_0331/tillsynsmail/S 1330-2022 tillsynsbegäran mail.docx", "S 1330-2022")</f>
        <v/>
      </c>
    </row>
    <row r="594" ht="15" customHeight="1">
      <c r="A594" t="inlineStr">
        <is>
          <t>S 3301-2025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45987</v>
      </c>
      <c r="E594" s="1" t="n">
        <v>46256</v>
      </c>
      <c r="F594" t="inlineStr">
        <is>
          <t>UPPSALA LÄN</t>
        </is>
      </c>
      <c r="G594" t="inlineStr">
        <is>
          <t>HEBY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3478-2025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46000</v>
      </c>
      <c r="E595" s="1" t="n">
        <v>46256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598-2026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46085</v>
      </c>
      <c r="E596" s="1" t="n">
        <v>46256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1818-2026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46190</v>
      </c>
      <c r="E597" s="1" t="n">
        <v>46256</v>
      </c>
      <c r="F597" t="inlineStr">
        <is>
          <t>UPPSALA LÄN</t>
        </is>
      </c>
      <c r="G597" t="inlineStr">
        <is>
          <t>HEBY</t>
        </is>
      </c>
      <c r="H597" t="inlineStr">
        <is>
          <t>Kommuner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2026-08-22T01:45:46Z</dcterms:created>
  <dcterms:modified xmlns:dcterms="http://purl.org/dc/terms/" xmlns:xsi="http://www.w3.org/2001/XMLSchema-instance" xsi:type="dcterms:W3CDTF">2026-08-22T01:45:46Z</dcterms:modified>
</cp:coreProperties>
</file>
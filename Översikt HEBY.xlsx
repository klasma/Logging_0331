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45639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45639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45639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45639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45639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45639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45639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45639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45639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45639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45639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45639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45639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45639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45639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55274-2024</t>
        </is>
      </c>
      <c r="B17" s="1" t="n">
        <v>45621</v>
      </c>
      <c r="C17" s="1" t="n">
        <v>45639</v>
      </c>
      <c r="D17" t="inlineStr">
        <is>
          <t>UPPSALA LÄN</t>
        </is>
      </c>
      <c r="E17" t="inlineStr">
        <is>
          <t>HEBY</t>
        </is>
      </c>
      <c r="G17" t="n">
        <v>14.9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Björksplintborre
Mörk husmossa
Blåsippa
Revlummer</t>
        </is>
      </c>
      <c r="S17">
        <f>HYPERLINK("https://klasma.github.io/Logging_0331/artfynd/A 55274-2024 artfynd.xlsx", "A 55274-2024")</f>
        <v/>
      </c>
      <c r="T17">
        <f>HYPERLINK("https://klasma.github.io/Logging_0331/kartor/A 55274-2024 karta.png", "A 55274-2024")</f>
        <v/>
      </c>
      <c r="U17">
        <f>HYPERLINK("https://klasma.github.io/Logging_0331/knärot/A 55274-2024 karta knärot.png", "A 55274-2024")</f>
        <v/>
      </c>
      <c r="V17">
        <f>HYPERLINK("https://klasma.github.io/Logging_0331/klagomål/A 55274-2024 FSC-klagomål.docx", "A 55274-2024")</f>
        <v/>
      </c>
      <c r="W17">
        <f>HYPERLINK("https://klasma.github.io/Logging_0331/klagomålsmail/A 55274-2024 FSC-klagomål mail.docx", "A 55274-2024")</f>
        <v/>
      </c>
      <c r="X17">
        <f>HYPERLINK("https://klasma.github.io/Logging_0331/tillsyn/A 55274-2024 tillsynsbegäran.docx", "A 55274-2024")</f>
        <v/>
      </c>
      <c r="Y17">
        <f>HYPERLINK("https://klasma.github.io/Logging_0331/tillsynsmail/A 55274-2024 tillsynsbegäran mail.docx", "A 55274-2024")</f>
        <v/>
      </c>
    </row>
    <row r="18" ht="15" customHeight="1">
      <c r="A18" t="inlineStr">
        <is>
          <t>A 55229-2024</t>
        </is>
      </c>
      <c r="B18" s="1" t="n">
        <v>45621</v>
      </c>
      <c r="C18" s="1" t="n">
        <v>45639</v>
      </c>
      <c r="D18" t="inlineStr">
        <is>
          <t>UPPSALA LÄN</t>
        </is>
      </c>
      <c r="E18" t="inlineStr">
        <is>
          <t>HEBY</t>
        </is>
      </c>
      <c r="G18" t="n">
        <v>5.3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Mörk husmossa
Blåsippa
Revlummer</t>
        </is>
      </c>
      <c r="S18">
        <f>HYPERLINK("https://klasma.github.io/Logging_0331/artfynd/A 55229-2024 artfynd.xlsx", "A 55229-2024")</f>
        <v/>
      </c>
      <c r="T18">
        <f>HYPERLINK("https://klasma.github.io/Logging_0331/kartor/A 55229-2024 karta.png", "A 55229-2024")</f>
        <v/>
      </c>
      <c r="U18">
        <f>HYPERLINK("https://klasma.github.io/Logging_0331/knärot/A 55229-2024 karta knärot.png", "A 55229-2024")</f>
        <v/>
      </c>
      <c r="V18">
        <f>HYPERLINK("https://klasma.github.io/Logging_0331/klagomål/A 55229-2024 FSC-klagomål.docx", "A 55229-2024")</f>
        <v/>
      </c>
      <c r="W18">
        <f>HYPERLINK("https://klasma.github.io/Logging_0331/klagomålsmail/A 55229-2024 FSC-klagomål mail.docx", "A 55229-2024")</f>
        <v/>
      </c>
      <c r="X18">
        <f>HYPERLINK("https://klasma.github.io/Logging_0331/tillsyn/A 55229-2024 tillsynsbegäran.docx", "A 55229-2024")</f>
        <v/>
      </c>
      <c r="Y18">
        <f>HYPERLINK("https://klasma.github.io/Logging_0331/tillsynsmail/A 55229-2024 tillsynsbegäran mail.docx", "A 55229-2024")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45639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45639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45639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45639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45639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45639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45639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45639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45639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45639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45639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45639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45639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45639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45639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45639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45639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45639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45639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45639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45639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45639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45639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45639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45639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45639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45639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45639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45639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45639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45639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45639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45639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45639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45639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45639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45639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45639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45639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45639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45639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45639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45639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45639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45639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45639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45639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45639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45639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45639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45639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45639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45639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45639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45639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45639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45639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45639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45639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45639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45639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45639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45639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45639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45639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45639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45639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45639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45639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45639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45639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45639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45639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45639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45639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45639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45639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45639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45639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45639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45639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45639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45639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45639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45639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45639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45639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45639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45639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45639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45639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45639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45639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45639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45639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45639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45639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45639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45639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45639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45639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45639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45639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45639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45639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45639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45639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45639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45639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45639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45639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45639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45639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45639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45639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45639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45639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45639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45639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45639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45639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45639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45639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45639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45639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45639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45639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45639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45639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45639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45639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45639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45639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45639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45639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45639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45639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45639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45639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45639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45639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45639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45639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45639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45639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45639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45639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45639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45639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45639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45639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45639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45639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45639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45639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45639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45639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45639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45639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45639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45639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45639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45639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45639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45639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45639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45639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45639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45639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45639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45639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45639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45639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45639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45639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45639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45639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45639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45639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45639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45639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45639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45639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45639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45639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45639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45639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45639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45639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45639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45639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45639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45639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45639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45639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45639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45639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45639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45639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45639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45639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45639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45639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45639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45639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45639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45639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45639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45639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45639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45639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45639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45639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45639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45639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45639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45639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45639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45639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45639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45639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45639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45639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45639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45639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45639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45639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45639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45639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45639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45639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45639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45639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45639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45639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45639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45639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45639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45639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45639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45639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45639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45639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45639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45639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45639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45639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45639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45639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45639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45639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45639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45639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45639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45639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45639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45639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45639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45639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45639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45639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45639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45639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45639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45639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45639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45639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45639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45639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45639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45639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45639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45639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45639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45639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45639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45639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45639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45639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45639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45639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45639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45639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45639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45639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45639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45639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45639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45639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45639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45639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45639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45639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45639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45639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45639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45639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45639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45639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45639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45639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45639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45639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45639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45639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45639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45639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45639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45639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45639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45639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45639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45639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45639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45639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45639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45639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45639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45639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45639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45639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45639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45639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45639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45639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45639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45639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45639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45639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45639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45639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45639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45639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45639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45639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45639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45639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45639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45639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45639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45639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45639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45639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45639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45639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45639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45639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45639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45639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45639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45639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45639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45639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45639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45639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45639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45639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45639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45639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45639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45639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45639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45639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45639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45639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45639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45639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45639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45639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45639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45639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45639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45639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45639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45639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45639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45639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45639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45639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45639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45639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45639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45639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45639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45639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45639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45639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45639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45639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45639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45639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45639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45639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45639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45639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45639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45639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45639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45639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45639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45639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45639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45639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45639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45639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45639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45639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45639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45639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45639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45639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45639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45639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45639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45639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45639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45639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45639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45639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45639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45639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45639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45639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45639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45639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45639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45639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45639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45639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45639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45639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45639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45639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45639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45639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45639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45639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45639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45639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45639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45639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45639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45639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45639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45639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45639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45639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45639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45639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45639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45639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45639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45639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45639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45639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45639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45639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45639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45639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45639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45639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45639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45639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45639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45639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45639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45639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45639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45639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45639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45639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45639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45639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45639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45639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45639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45639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45639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45639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45639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45639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45639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45639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45639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45639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45639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45639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45639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45639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45639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45639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45639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45639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45639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45639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45639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45639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45639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45639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45639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45639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45639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45639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45639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45639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45639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45639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45639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45639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45639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45639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45639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45639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45639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45639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45639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45639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45639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45639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45639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45639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45639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45639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45639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45639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45639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45639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45639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45639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45639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45639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45639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45639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45639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45639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45639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45639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45639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45639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45639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45639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45639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45639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45639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45639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45639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45639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45639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45639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45639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45639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45639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45639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45639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45639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45639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45639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45639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45639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45639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45639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45639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45639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45639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45639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45639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45639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45639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45639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45639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45639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45639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45639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45639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45639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45639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45639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45639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45639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45639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45639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45639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45639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45639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45639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45639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45639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45639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45639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45639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45639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45639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45639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45639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45639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45639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45639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45639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45639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45639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45639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45639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45639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45639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45639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45639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45639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45639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45639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45639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45639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45639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45639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45639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45639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45639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45639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45639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45639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45639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45639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45639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45639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45639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45639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45639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45639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45639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45639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45639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45639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45639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45639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45639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45639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45639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45639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45639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45639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45639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45639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45639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45639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45639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45639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45639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45639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45639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45639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45639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45639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45639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45639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45639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45639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45639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45639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45639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45639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45639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45639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45639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45639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45639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45639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45639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45639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45639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45639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45639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45639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45639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45639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45639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45639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45639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45639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45639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45639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45639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45639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45639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45639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45639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45639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45639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45639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45639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45639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45639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45639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45639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45639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45639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45639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45639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45639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45639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45639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45639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45639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45639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45639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45639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45639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45639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45639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45639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45639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45639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45639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45639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45639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45639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45639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45639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45639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45639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45639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45639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45639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45639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45639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45639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45639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45639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45639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45639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45639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45639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45639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45639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45639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45639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45639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45639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45639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45639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45639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45639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45639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45639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45639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45639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45639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45639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45639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45639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45639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45639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45639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45639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45639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45639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45639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45639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45639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45639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45639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45639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45639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45639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45639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45639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45639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45639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45639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45639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45639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45639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45639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45639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45639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45639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45639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45639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45639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45639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45639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45639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45639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45639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45639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45639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45639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45639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45639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45639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45639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45639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45639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45639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45639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45639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45639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45639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45639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45639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45639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45639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45639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45639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45639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45639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45639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45639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45639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45639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45639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45639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45639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45639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45639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45639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45639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45639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45639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45639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45639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45639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45639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45639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45639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45639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45639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45639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45639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45639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45639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45639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45639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45639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45639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45639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45639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45639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45639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45639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45639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45639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45639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45639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45639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45639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45639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45639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45639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45639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45639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45639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45639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45639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45639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45639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45639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45639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45639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45639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45639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45639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45639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45639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45639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45639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45639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45639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45639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45639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45639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45639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45639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45639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45639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45639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45639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45639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45639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45639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45639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45639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45639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45639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45639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45639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45639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45639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45639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45639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45639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45639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45639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45639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45639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45639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45639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45639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45639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45639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45639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45639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45639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45639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45639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45639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45639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45639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45639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45639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45639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45639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45639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45639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45639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45639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45639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45639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45639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45639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45639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45639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45639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45639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45639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45639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45639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45639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45639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45639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45639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45639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45639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45639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45639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45639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45639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45639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45639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45639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45639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45639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45639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45639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45639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45639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45639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45639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45639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45639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45639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45639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45639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45639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45639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45639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45639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45639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45639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45639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45639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45639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45639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45639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45639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45639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45639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45639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45639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45639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45639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45639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45639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45639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45639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45639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45639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45639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45639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45639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45639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45639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45639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45639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45639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45639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45639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45639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45639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45639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45639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45639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45639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45639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45639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45639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45639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45639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45639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45639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45639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45639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45639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45639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45639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45639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45639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45639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45639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45639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45639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45639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45639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45639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45639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45639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45639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45639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45639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45639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45639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45639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45639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45639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45639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45639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45639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45639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45639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45639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45639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45639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55082-2024</t>
        </is>
      </c>
      <c r="B1049" s="1" t="n">
        <v>45621</v>
      </c>
      <c r="C1049" s="1" t="n">
        <v>45639</v>
      </c>
      <c r="D1049" t="inlineStr">
        <is>
          <t>UPPSALA LÄN</t>
        </is>
      </c>
      <c r="E1049" t="inlineStr">
        <is>
          <t>HEBY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45639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45639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45639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45639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45639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45639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45639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45639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45639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45639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45639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59387-2024</t>
        </is>
      </c>
      <c r="B1061" s="1" t="n">
        <v>45638</v>
      </c>
      <c r="C1061" s="1" t="n">
        <v>45639</v>
      </c>
      <c r="D1061" t="inlineStr">
        <is>
          <t>UPPSALA LÄN</t>
        </is>
      </c>
      <c r="E1061" t="inlineStr">
        <is>
          <t>HEBY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45639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59382-2024</t>
        </is>
      </c>
      <c r="B1063" s="1" t="n">
        <v>45638</v>
      </c>
      <c r="C1063" s="1" t="n">
        <v>45639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2024-12-13T15:26:36Z</dcterms:created>
  <dcterms:modified xmlns:dcterms="http://purl.org/dc/terms/" xmlns:xsi="http://www.w3.org/2001/XMLSchema-instance" xsi:type="dcterms:W3CDTF">2024-12-13T15:26:37Z</dcterms:modified>
</cp:coreProperties>
</file>
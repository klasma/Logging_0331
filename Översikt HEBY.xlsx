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45743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45743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45743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45743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45743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45743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45743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45743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45743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45743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45743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45743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45743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45743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45743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45743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45743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45743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45743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45743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45743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45743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45743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45743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45743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45743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45743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45743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45743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45743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45743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45743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45743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45743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45743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45743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45743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45743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45743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45743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45743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45743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45743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45743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45743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45743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45743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45743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45743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45743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45743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45743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45743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45743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45743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45743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45743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45743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45743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45743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45743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45743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45743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15610-2023</t>
        </is>
      </c>
      <c r="B65" s="1" t="n">
        <v>45020</v>
      </c>
      <c r="C65" s="1" t="n">
        <v>45743</v>
      </c>
      <c r="D65" t="inlineStr">
        <is>
          <t>UPPSALA LÄN</t>
        </is>
      </c>
      <c r="E65" t="inlineStr">
        <is>
          <t>HEBY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15610-2023 artfynd.xlsx", "A 15610-2023")</f>
        <v/>
      </c>
      <c r="T65">
        <f>HYPERLINK("https://klasma.github.io/Logging_0331/kartor/A 15610-2023 karta.png", "A 15610-2023")</f>
        <v/>
      </c>
      <c r="U65">
        <f>HYPERLINK("https://klasma.github.io/Logging_0331/knärot/A 15610-2023 karta knärot.png", "A 15610-2023")</f>
        <v/>
      </c>
      <c r="V65">
        <f>HYPERLINK("https://klasma.github.io/Logging_0331/klagomål/A 15610-2023 FSC-klagomål.docx", "A 15610-2023")</f>
        <v/>
      </c>
      <c r="W65">
        <f>HYPERLINK("https://klasma.github.io/Logging_0331/klagomålsmail/A 15610-2023 FSC-klagomål mail.docx", "A 15610-2023")</f>
        <v/>
      </c>
      <c r="X65">
        <f>HYPERLINK("https://klasma.github.io/Logging_0331/tillsyn/A 15610-2023 tillsynsbegäran.docx", "A 15610-2023")</f>
        <v/>
      </c>
      <c r="Y65">
        <f>HYPERLINK("https://klasma.github.io/Logging_0331/tillsynsmail/A 15610-2023 tillsynsbegäran mail.docx", "A 15610-2023")</f>
        <v/>
      </c>
    </row>
    <row r="66" ht="15" customHeight="1">
      <c r="A66" t="inlineStr">
        <is>
          <t>A 17389-2023</t>
        </is>
      </c>
      <c r="B66" s="1" t="n">
        <v>45035</v>
      </c>
      <c r="C66" s="1" t="n">
        <v>45743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HYPERLINK("https://klasma.github.io/Logging_0331/artfynd/A 17389-2023 artfynd.xlsx", "A 17389-2023")</f>
        <v/>
      </c>
      <c r="T66">
        <f>HYPERLINK("https://klasma.github.io/Logging_0331/kartor/A 17389-2023 karta.png", "A 17389-2023")</f>
        <v/>
      </c>
      <c r="V66">
        <f>HYPERLINK("https://klasma.github.io/Logging_0331/klagomål/A 17389-2023 FSC-klagomål.docx", "A 17389-2023")</f>
        <v/>
      </c>
      <c r="W66">
        <f>HYPERLINK("https://klasma.github.io/Logging_0331/klagomålsmail/A 17389-2023 FSC-klagomål mail.docx", "A 17389-2023")</f>
        <v/>
      </c>
      <c r="X66">
        <f>HYPERLINK("https://klasma.github.io/Logging_0331/tillsyn/A 17389-2023 tillsynsbegäran.docx", "A 17389-2023")</f>
        <v/>
      </c>
      <c r="Y66">
        <f>HYPERLINK("https://klasma.github.io/Logging_0331/tillsynsmail/A 17389-2023 tillsynsbegäran mail.docx", "A 17389-2023")</f>
        <v/>
      </c>
    </row>
    <row r="67" ht="15" customHeight="1">
      <c r="A67" t="inlineStr">
        <is>
          <t>A 17790-2023</t>
        </is>
      </c>
      <c r="B67" s="1" t="n">
        <v>45037</v>
      </c>
      <c r="C67" s="1" t="n">
        <v>45743</v>
      </c>
      <c r="D67" t="inlineStr">
        <is>
          <t>UPPSALA LÄN</t>
        </is>
      </c>
      <c r="E67" t="inlineStr">
        <is>
          <t>HEBY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HYPERLINK("https://klasma.github.io/Logging_0331/artfynd/A 17790-2023 artfynd.xlsx", "A 17790-2023")</f>
        <v/>
      </c>
      <c r="T67">
        <f>HYPERLINK("https://klasma.github.io/Logging_0331/kartor/A 17790-2023 karta.png", "A 17790-2023")</f>
        <v/>
      </c>
      <c r="V67">
        <f>HYPERLINK("https://klasma.github.io/Logging_0331/klagomål/A 17790-2023 FSC-klagomål.docx", "A 17790-2023")</f>
        <v/>
      </c>
      <c r="W67">
        <f>HYPERLINK("https://klasma.github.io/Logging_0331/klagomålsmail/A 17790-2023 FSC-klagomål mail.docx", "A 17790-2023")</f>
        <v/>
      </c>
      <c r="X67">
        <f>HYPERLINK("https://klasma.github.io/Logging_0331/tillsyn/A 17790-2023 tillsynsbegäran.docx", "A 17790-2023")</f>
        <v/>
      </c>
      <c r="Y67">
        <f>HYPERLINK("https://klasma.github.io/Logging_0331/tillsynsmail/A 17790-2023 tillsynsbegäran mail.docx", "A 17790-2023")</f>
        <v/>
      </c>
    </row>
    <row r="68" ht="15" customHeight="1">
      <c r="A68" t="inlineStr">
        <is>
          <t>A 26932-2023</t>
        </is>
      </c>
      <c r="B68" s="1" t="n">
        <v>45093</v>
      </c>
      <c r="C68" s="1" t="n">
        <v>45743</v>
      </c>
      <c r="D68" t="inlineStr">
        <is>
          <t>UPPSALA LÄN</t>
        </is>
      </c>
      <c r="E68" t="inlineStr">
        <is>
          <t>HEBY</t>
        </is>
      </c>
      <c r="G68" t="n">
        <v>12.3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HYPERLINK("https://klasma.github.io/Logging_0331/artfynd/A 26932-2023 artfynd.xlsx", "A 26932-2023")</f>
        <v/>
      </c>
      <c r="T68">
        <f>HYPERLINK("https://klasma.github.io/Logging_0331/kartor/A 26932-2023 karta.png", "A 26932-2023")</f>
        <v/>
      </c>
      <c r="V68">
        <f>HYPERLINK("https://klasma.github.io/Logging_0331/klagomål/A 26932-2023 FSC-klagomål.docx", "A 26932-2023")</f>
        <v/>
      </c>
      <c r="W68">
        <f>HYPERLINK("https://klasma.github.io/Logging_0331/klagomålsmail/A 26932-2023 FSC-klagomål mail.docx", "A 26932-2023")</f>
        <v/>
      </c>
      <c r="X68">
        <f>HYPERLINK("https://klasma.github.io/Logging_0331/tillsyn/A 26932-2023 tillsynsbegäran.docx", "A 26932-2023")</f>
        <v/>
      </c>
      <c r="Y68">
        <f>HYPERLINK("https://klasma.github.io/Logging_0331/tillsynsmail/A 26932-2023 tillsynsbegäran mail.docx", "A 26932-2023")</f>
        <v/>
      </c>
      <c r="Z68">
        <f>HYPERLINK("https://klasma.github.io/Logging_0331/fåglar/A 26932-2023 prioriterade fågelarter.docx", "A 26932-2023")</f>
        <v/>
      </c>
    </row>
    <row r="69" ht="15" customHeight="1">
      <c r="A69" t="inlineStr">
        <is>
          <t>A 27871-2023</t>
        </is>
      </c>
      <c r="B69" s="1" t="n">
        <v>45098</v>
      </c>
      <c r="C69" s="1" t="n">
        <v>45743</v>
      </c>
      <c r="D69" t="inlineStr">
        <is>
          <t>UPPSALA LÄN</t>
        </is>
      </c>
      <c r="E69" t="inlineStr">
        <is>
          <t>HEBY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HYPERLINK("https://klasma.github.io/Logging_0331/artfynd/A 27871-2023 artfynd.xlsx", "A 27871-2023")</f>
        <v/>
      </c>
      <c r="T69">
        <f>HYPERLINK("https://klasma.github.io/Logging_0331/kartor/A 27871-2023 karta.png", "A 27871-2023")</f>
        <v/>
      </c>
      <c r="V69">
        <f>HYPERLINK("https://klasma.github.io/Logging_0331/klagomål/A 27871-2023 FSC-klagomål.docx", "A 27871-2023")</f>
        <v/>
      </c>
      <c r="W69">
        <f>HYPERLINK("https://klasma.github.io/Logging_0331/klagomålsmail/A 27871-2023 FSC-klagomål mail.docx", "A 27871-2023")</f>
        <v/>
      </c>
      <c r="X69">
        <f>HYPERLINK("https://klasma.github.io/Logging_0331/tillsyn/A 27871-2023 tillsynsbegäran.docx", "A 27871-2023")</f>
        <v/>
      </c>
      <c r="Y69">
        <f>HYPERLINK("https://klasma.github.io/Logging_0331/tillsynsmail/A 27871-2023 tillsynsbegäran mail.docx", "A 27871-2023")</f>
        <v/>
      </c>
    </row>
    <row r="70" ht="15" customHeight="1">
      <c r="A70" t="inlineStr">
        <is>
          <t>A 30526-2023</t>
        </is>
      </c>
      <c r="B70" s="1" t="n">
        <v>45111</v>
      </c>
      <c r="C70" s="1" t="n">
        <v>45743</v>
      </c>
      <c r="D70" t="inlineStr">
        <is>
          <t>UPPSALA LÄN</t>
        </is>
      </c>
      <c r="E70" t="inlineStr">
        <is>
          <t>HEBY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HYPERLINK("https://klasma.github.io/Logging_0331/artfynd/A 30526-2023 artfynd.xlsx", "A 30526-2023")</f>
        <v/>
      </c>
      <c r="T70">
        <f>HYPERLINK("https://klasma.github.io/Logging_0331/kartor/A 30526-2023 karta.png", "A 30526-2023")</f>
        <v/>
      </c>
      <c r="V70">
        <f>HYPERLINK("https://klasma.github.io/Logging_0331/klagomål/A 30526-2023 FSC-klagomål.docx", "A 30526-2023")</f>
        <v/>
      </c>
      <c r="W70">
        <f>HYPERLINK("https://klasma.github.io/Logging_0331/klagomålsmail/A 30526-2023 FSC-klagomål mail.docx", "A 30526-2023")</f>
        <v/>
      </c>
      <c r="X70">
        <f>HYPERLINK("https://klasma.github.io/Logging_0331/tillsyn/A 30526-2023 tillsynsbegäran.docx", "A 30526-2023")</f>
        <v/>
      </c>
      <c r="Y70">
        <f>HYPERLINK("https://klasma.github.io/Logging_0331/tillsynsmail/A 30526-2023 tillsynsbegäran mail.docx", "A 30526-2023")</f>
        <v/>
      </c>
      <c r="Z70">
        <f>HYPERLINK("https://klasma.github.io/Logging_0331/fåglar/A 30526-2023 prioriterade fågelarter.docx", "A 30526-2023")</f>
        <v/>
      </c>
    </row>
    <row r="71" ht="15" customHeight="1">
      <c r="A71" t="inlineStr">
        <is>
          <t>A 32292-2023</t>
        </is>
      </c>
      <c r="B71" s="1" t="n">
        <v>45120</v>
      </c>
      <c r="C71" s="1" t="n">
        <v>45743</v>
      </c>
      <c r="D71" t="inlineStr">
        <is>
          <t>UPPSALA LÄN</t>
        </is>
      </c>
      <c r="E71" t="inlineStr">
        <is>
          <t>HEBY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HYPERLINK("https://klasma.github.io/Logging_0331/artfynd/A 32292-2023 artfynd.xlsx", "A 32292-2023")</f>
        <v/>
      </c>
      <c r="T71">
        <f>HYPERLINK("https://klasma.github.io/Logging_0331/kartor/A 32292-2023 karta.png", "A 32292-2023")</f>
        <v/>
      </c>
      <c r="V71">
        <f>HYPERLINK("https://klasma.github.io/Logging_0331/klagomål/A 32292-2023 FSC-klagomål.docx", "A 32292-2023")</f>
        <v/>
      </c>
      <c r="W71">
        <f>HYPERLINK("https://klasma.github.io/Logging_0331/klagomålsmail/A 32292-2023 FSC-klagomål mail.docx", "A 32292-2023")</f>
        <v/>
      </c>
      <c r="X71">
        <f>HYPERLINK("https://klasma.github.io/Logging_0331/tillsyn/A 32292-2023 tillsynsbegäran.docx", "A 32292-2023")</f>
        <v/>
      </c>
      <c r="Y71">
        <f>HYPERLINK("https://klasma.github.io/Logging_0331/tillsynsmail/A 32292-2023 tillsynsbegäran mail.docx", "A 32292-2023")</f>
        <v/>
      </c>
    </row>
    <row r="72" ht="15" customHeight="1">
      <c r="A72" t="inlineStr">
        <is>
          <t>A 32299-2023</t>
        </is>
      </c>
      <c r="B72" s="1" t="n">
        <v>45120</v>
      </c>
      <c r="C72" s="1" t="n">
        <v>45743</v>
      </c>
      <c r="D72" t="inlineStr">
        <is>
          <t>UPPSALA LÄN</t>
        </is>
      </c>
      <c r="E72" t="inlineStr">
        <is>
          <t>HEBY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HYPERLINK("https://klasma.github.io/Logging_0331/artfynd/A 32299-2023 artfynd.xlsx", "A 32299-2023")</f>
        <v/>
      </c>
      <c r="T72">
        <f>HYPERLINK("https://klasma.github.io/Logging_0331/kartor/A 32299-2023 karta.png", "A 32299-2023")</f>
        <v/>
      </c>
      <c r="V72">
        <f>HYPERLINK("https://klasma.github.io/Logging_0331/klagomål/A 32299-2023 FSC-klagomål.docx", "A 32299-2023")</f>
        <v/>
      </c>
      <c r="W72">
        <f>HYPERLINK("https://klasma.github.io/Logging_0331/klagomålsmail/A 32299-2023 FSC-klagomål mail.docx", "A 32299-2023")</f>
        <v/>
      </c>
      <c r="X72">
        <f>HYPERLINK("https://klasma.github.io/Logging_0331/tillsyn/A 32299-2023 tillsynsbegäran.docx", "A 32299-2023")</f>
        <v/>
      </c>
      <c r="Y72">
        <f>HYPERLINK("https://klasma.github.io/Logging_0331/tillsynsmail/A 32299-2023 tillsynsbegäran mail.docx", "A 32299-2023")</f>
        <v/>
      </c>
    </row>
    <row r="73" ht="15" customHeight="1">
      <c r="A73" t="inlineStr">
        <is>
          <t>A 32302-2023</t>
        </is>
      </c>
      <c r="B73" s="1" t="n">
        <v>45120</v>
      </c>
      <c r="C73" s="1" t="n">
        <v>45743</v>
      </c>
      <c r="D73" t="inlineStr">
        <is>
          <t>UPPSALA LÄN</t>
        </is>
      </c>
      <c r="E73" t="inlineStr">
        <is>
          <t>HEBY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HYPERLINK("https://klasma.github.io/Logging_0331/artfynd/A 32302-2023 artfynd.xlsx", "A 32302-2023")</f>
        <v/>
      </c>
      <c r="T73">
        <f>HYPERLINK("https://klasma.github.io/Logging_0331/kartor/A 32302-2023 karta.png", "A 32302-2023")</f>
        <v/>
      </c>
      <c r="V73">
        <f>HYPERLINK("https://klasma.github.io/Logging_0331/klagomål/A 32302-2023 FSC-klagomål.docx", "A 32302-2023")</f>
        <v/>
      </c>
      <c r="W73">
        <f>HYPERLINK("https://klasma.github.io/Logging_0331/klagomålsmail/A 32302-2023 FSC-klagomål mail.docx", "A 32302-2023")</f>
        <v/>
      </c>
      <c r="X73">
        <f>HYPERLINK("https://klasma.github.io/Logging_0331/tillsyn/A 32302-2023 tillsynsbegäran.docx", "A 32302-2023")</f>
        <v/>
      </c>
      <c r="Y73">
        <f>HYPERLINK("https://klasma.github.io/Logging_0331/tillsynsmail/A 32302-2023 tillsynsbegäran mail.docx", "A 32302-2023")</f>
        <v/>
      </c>
      <c r="Z73">
        <f>HYPERLINK("https://klasma.github.io/Logging_0331/fåglar/A 32302-2023 prioriterade fågelarter.docx", "A 32302-2023")</f>
        <v/>
      </c>
    </row>
    <row r="74" ht="15" customHeight="1">
      <c r="A74" t="inlineStr">
        <is>
          <t>A 33858-2023</t>
        </is>
      </c>
      <c r="B74" s="1" t="n">
        <v>45133</v>
      </c>
      <c r="C74" s="1" t="n">
        <v>45743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HYPERLINK("https://klasma.github.io/Logging_0331/artfynd/A 33858-2023 artfynd.xlsx", "A 33858-2023")</f>
        <v/>
      </c>
      <c r="T74">
        <f>HYPERLINK("https://klasma.github.io/Logging_0331/kartor/A 33858-2023 karta.png", "A 33858-2023")</f>
        <v/>
      </c>
      <c r="V74">
        <f>HYPERLINK("https://klasma.github.io/Logging_0331/klagomål/A 33858-2023 FSC-klagomål.docx", "A 33858-2023")</f>
        <v/>
      </c>
      <c r="W74">
        <f>HYPERLINK("https://klasma.github.io/Logging_0331/klagomålsmail/A 33858-2023 FSC-klagomål mail.docx", "A 33858-2023")</f>
        <v/>
      </c>
      <c r="X74">
        <f>HYPERLINK("https://klasma.github.io/Logging_0331/tillsyn/A 33858-2023 tillsynsbegäran.docx", "A 33858-2023")</f>
        <v/>
      </c>
      <c r="Y74">
        <f>HYPERLINK("https://klasma.github.io/Logging_0331/tillsynsmail/A 33858-2023 tillsynsbegäran mail.docx", "A 33858-2023")</f>
        <v/>
      </c>
    </row>
    <row r="75" ht="15" customHeight="1">
      <c r="A75" t="inlineStr">
        <is>
          <t>A 40349-2023</t>
        </is>
      </c>
      <c r="B75" s="1" t="n">
        <v>45169</v>
      </c>
      <c r="C75" s="1" t="n">
        <v>45743</v>
      </c>
      <c r="D75" t="inlineStr">
        <is>
          <t>UPPSALA LÄN</t>
        </is>
      </c>
      <c r="E75" t="inlineStr">
        <is>
          <t>HEBY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HYPERLINK("https://klasma.github.io/Logging_0331/artfynd/A 40349-2023 artfynd.xlsx", "A 40349-2023")</f>
        <v/>
      </c>
      <c r="T75">
        <f>HYPERLINK("https://klasma.github.io/Logging_0331/kartor/A 40349-2023 karta.png", "A 40349-2023")</f>
        <v/>
      </c>
      <c r="V75">
        <f>HYPERLINK("https://klasma.github.io/Logging_0331/klagomål/A 40349-2023 FSC-klagomål.docx", "A 40349-2023")</f>
        <v/>
      </c>
      <c r="W75">
        <f>HYPERLINK("https://klasma.github.io/Logging_0331/klagomålsmail/A 40349-2023 FSC-klagomål mail.docx", "A 40349-2023")</f>
        <v/>
      </c>
      <c r="X75">
        <f>HYPERLINK("https://klasma.github.io/Logging_0331/tillsyn/A 40349-2023 tillsynsbegäran.docx", "A 40349-2023")</f>
        <v/>
      </c>
      <c r="Y75">
        <f>HYPERLINK("https://klasma.github.io/Logging_0331/tillsynsmail/A 40349-2023 tillsynsbegäran mail.docx", "A 40349-2023")</f>
        <v/>
      </c>
    </row>
    <row r="76" ht="15" customHeight="1">
      <c r="A76" t="inlineStr">
        <is>
          <t>A 53992-2023</t>
        </is>
      </c>
      <c r="B76" s="1" t="n">
        <v>45231</v>
      </c>
      <c r="C76" s="1" t="n">
        <v>45743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HYPERLINK("https://klasma.github.io/Logging_0331/artfynd/A 53992-2023 artfynd.xlsx", "A 53992-2023")</f>
        <v/>
      </c>
      <c r="T76">
        <f>HYPERLINK("https://klasma.github.io/Logging_0331/kartor/A 53992-2023 karta.png", "A 53992-2023")</f>
        <v/>
      </c>
      <c r="V76">
        <f>HYPERLINK("https://klasma.github.io/Logging_0331/klagomål/A 53992-2023 FSC-klagomål.docx", "A 53992-2023")</f>
        <v/>
      </c>
      <c r="W76">
        <f>HYPERLINK("https://klasma.github.io/Logging_0331/klagomålsmail/A 53992-2023 FSC-klagomål mail.docx", "A 53992-2023")</f>
        <v/>
      </c>
      <c r="X76">
        <f>HYPERLINK("https://klasma.github.io/Logging_0331/tillsyn/A 53992-2023 tillsynsbegäran.docx", "A 53992-2023")</f>
        <v/>
      </c>
      <c r="Y76">
        <f>HYPERLINK("https://klasma.github.io/Logging_0331/tillsynsmail/A 53992-2023 tillsynsbegäran mail.docx", "A 53992-2023")</f>
        <v/>
      </c>
    </row>
    <row r="77" ht="15" customHeight="1">
      <c r="A77" t="inlineStr">
        <is>
          <t>A 56376-2023</t>
        </is>
      </c>
      <c r="B77" s="1" t="n">
        <v>45243</v>
      </c>
      <c r="C77" s="1" t="n">
        <v>45743</v>
      </c>
      <c r="D77" t="inlineStr">
        <is>
          <t>UPPSALA LÄN</t>
        </is>
      </c>
      <c r="E77" t="inlineStr">
        <is>
          <t>HEBY</t>
        </is>
      </c>
      <c r="G77" t="n">
        <v>5.6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HYPERLINK("https://klasma.github.io/Logging_0331/artfynd/A 56376-2023 artfynd.xlsx", "A 56376-2023")</f>
        <v/>
      </c>
      <c r="T77">
        <f>HYPERLINK("https://klasma.github.io/Logging_0331/kartor/A 56376-2023 karta.png", "A 56376-2023")</f>
        <v/>
      </c>
      <c r="V77">
        <f>HYPERLINK("https://klasma.github.io/Logging_0331/klagomål/A 56376-2023 FSC-klagomål.docx", "A 56376-2023")</f>
        <v/>
      </c>
      <c r="W77">
        <f>HYPERLINK("https://klasma.github.io/Logging_0331/klagomålsmail/A 56376-2023 FSC-klagomål mail.docx", "A 56376-2023")</f>
        <v/>
      </c>
      <c r="X77">
        <f>HYPERLINK("https://klasma.github.io/Logging_0331/tillsyn/A 56376-2023 tillsynsbegäran.docx", "A 56376-2023")</f>
        <v/>
      </c>
      <c r="Y77">
        <f>HYPERLINK("https://klasma.github.io/Logging_0331/tillsynsmail/A 56376-2023 tillsynsbegäran mail.docx", "A 56376-2023")</f>
        <v/>
      </c>
    </row>
    <row r="78" ht="15" customHeight="1">
      <c r="A78" t="inlineStr">
        <is>
          <t>A 59708-2023</t>
        </is>
      </c>
      <c r="B78" s="1" t="n">
        <v>45256</v>
      </c>
      <c r="C78" s="1" t="n">
        <v>45743</v>
      </c>
      <c r="D78" t="inlineStr">
        <is>
          <t>UPPSALA LÄN</t>
        </is>
      </c>
      <c r="E78" t="inlineStr">
        <is>
          <t>HEBY</t>
        </is>
      </c>
      <c r="G78" t="n">
        <v>3.1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Mindre vattensalamander</t>
        </is>
      </c>
      <c r="S78">
        <f>HYPERLINK("https://klasma.github.io/Logging_0331/artfynd/A 59708-2023 artfynd.xlsx", "A 59708-2023")</f>
        <v/>
      </c>
      <c r="T78">
        <f>HYPERLINK("https://klasma.github.io/Logging_0331/kartor/A 59708-2023 karta.png", "A 59708-2023")</f>
        <v/>
      </c>
      <c r="V78">
        <f>HYPERLINK("https://klasma.github.io/Logging_0331/klagomål/A 59708-2023 FSC-klagomål.docx", "A 59708-2023")</f>
        <v/>
      </c>
      <c r="W78">
        <f>HYPERLINK("https://klasma.github.io/Logging_0331/klagomålsmail/A 59708-2023 FSC-klagomål mail.docx", "A 59708-2023")</f>
        <v/>
      </c>
      <c r="X78">
        <f>HYPERLINK("https://klasma.github.io/Logging_0331/tillsyn/A 59708-2023 tillsynsbegäran.docx", "A 59708-2023")</f>
        <v/>
      </c>
      <c r="Y78">
        <f>HYPERLINK("https://klasma.github.io/Logging_0331/tillsynsmail/A 59708-2023 tillsynsbegäran mail.docx", "A 59708-2023")</f>
        <v/>
      </c>
    </row>
    <row r="79" ht="15" customHeight="1">
      <c r="A79" t="inlineStr">
        <is>
          <t>A 8624-2024</t>
        </is>
      </c>
      <c r="B79" s="1" t="n">
        <v>45355</v>
      </c>
      <c r="C79" s="1" t="n">
        <v>45743</v>
      </c>
      <c r="D79" t="inlineStr">
        <is>
          <t>UPPSALA LÄN</t>
        </is>
      </c>
      <c r="E79" t="inlineStr">
        <is>
          <t>HEBY</t>
        </is>
      </c>
      <c r="G79" t="n">
        <v>3.9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HYPERLINK("https://klasma.github.io/Logging_0331/artfynd/A 8624-2024 artfynd.xlsx", "A 8624-2024")</f>
        <v/>
      </c>
      <c r="T79">
        <f>HYPERLINK("https://klasma.github.io/Logging_0331/kartor/A 8624-2024 karta.png", "A 8624-2024")</f>
        <v/>
      </c>
      <c r="V79">
        <f>HYPERLINK("https://klasma.github.io/Logging_0331/klagomål/A 8624-2024 FSC-klagomål.docx", "A 8624-2024")</f>
        <v/>
      </c>
      <c r="W79">
        <f>HYPERLINK("https://klasma.github.io/Logging_0331/klagomålsmail/A 8624-2024 FSC-klagomål mail.docx", "A 8624-2024")</f>
        <v/>
      </c>
      <c r="X79">
        <f>HYPERLINK("https://klasma.github.io/Logging_0331/tillsyn/A 8624-2024 tillsynsbegäran.docx", "A 8624-2024")</f>
        <v/>
      </c>
      <c r="Y79">
        <f>HYPERLINK("https://klasma.github.io/Logging_0331/tillsynsmail/A 8624-2024 tillsynsbegäran mail.docx", "A 8624-2024")</f>
        <v/>
      </c>
    </row>
    <row r="80" ht="15" customHeight="1">
      <c r="A80" t="inlineStr">
        <is>
          <t>A 17006-2024</t>
        </is>
      </c>
      <c r="B80" s="1" t="n">
        <v>45411</v>
      </c>
      <c r="C80" s="1" t="n">
        <v>45743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14.6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HYPERLINK("https://klasma.github.io/Logging_0331/artfynd/A 17006-2024 artfynd.xlsx", "A 17006-2024")</f>
        <v/>
      </c>
      <c r="T80">
        <f>HYPERLINK("https://klasma.github.io/Logging_0331/kartor/A 17006-2024 karta.png", "A 17006-2024")</f>
        <v/>
      </c>
      <c r="V80">
        <f>HYPERLINK("https://klasma.github.io/Logging_0331/klagomål/A 17006-2024 FSC-klagomål.docx", "A 17006-2024")</f>
        <v/>
      </c>
      <c r="W80">
        <f>HYPERLINK("https://klasma.github.io/Logging_0331/klagomålsmail/A 17006-2024 FSC-klagomål mail.docx", "A 17006-2024")</f>
        <v/>
      </c>
      <c r="X80">
        <f>HYPERLINK("https://klasma.github.io/Logging_0331/tillsyn/A 17006-2024 tillsynsbegäran.docx", "A 17006-2024")</f>
        <v/>
      </c>
      <c r="Y80">
        <f>HYPERLINK("https://klasma.github.io/Logging_0331/tillsynsmail/A 17006-2024 tillsynsbegäran mail.docx", "A 17006-2024")</f>
        <v/>
      </c>
      <c r="Z80">
        <f>HYPERLINK("https://klasma.github.io/Logging_0331/fåglar/A 17006-2024 prioriterade fågelarter.docx", "A 17006-2024")</f>
        <v/>
      </c>
    </row>
    <row r="81" ht="15" customHeight="1">
      <c r="A81" t="inlineStr">
        <is>
          <t>A 17972-2024</t>
        </is>
      </c>
      <c r="B81" s="1" t="n">
        <v>45419</v>
      </c>
      <c r="C81" s="1" t="n">
        <v>45743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9.699999999999999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Spädstarr</t>
        </is>
      </c>
      <c r="S81">
        <f>HYPERLINK("https://klasma.github.io/Logging_0331/artfynd/A 17972-2024 artfynd.xlsx", "A 17972-2024")</f>
        <v/>
      </c>
      <c r="T81">
        <f>HYPERLINK("https://klasma.github.io/Logging_0331/kartor/A 17972-2024 karta.png", "A 17972-2024")</f>
        <v/>
      </c>
      <c r="V81">
        <f>HYPERLINK("https://klasma.github.io/Logging_0331/klagomål/A 17972-2024 FSC-klagomål.docx", "A 17972-2024")</f>
        <v/>
      </c>
      <c r="W81">
        <f>HYPERLINK("https://klasma.github.io/Logging_0331/klagomålsmail/A 17972-2024 FSC-klagomål mail.docx", "A 17972-2024")</f>
        <v/>
      </c>
      <c r="X81">
        <f>HYPERLINK("https://klasma.github.io/Logging_0331/tillsyn/A 17972-2024 tillsynsbegäran.docx", "A 17972-2024")</f>
        <v/>
      </c>
      <c r="Y81">
        <f>HYPERLINK("https://klasma.github.io/Logging_0331/tillsynsmail/A 17972-2024 tillsynsbegäran mail.docx", "A 17972-2024")</f>
        <v/>
      </c>
    </row>
    <row r="82" ht="15" customHeight="1">
      <c r="A82" t="inlineStr">
        <is>
          <t>A 19139-2024</t>
        </is>
      </c>
      <c r="B82" s="1" t="n">
        <v>45428</v>
      </c>
      <c r="C82" s="1" t="n">
        <v>45743</v>
      </c>
      <c r="D82" t="inlineStr">
        <is>
          <t>UPPSALA LÄN</t>
        </is>
      </c>
      <c r="E82" t="inlineStr">
        <is>
          <t>HEBY</t>
        </is>
      </c>
      <c r="G82" t="n">
        <v>11.8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HYPERLINK("https://klasma.github.io/Logging_0331/artfynd/A 19139-2024 artfynd.xlsx", "A 19139-2024")</f>
        <v/>
      </c>
      <c r="T82">
        <f>HYPERLINK("https://klasma.github.io/Logging_0331/kartor/A 19139-2024 karta.png", "A 19139-2024")</f>
        <v/>
      </c>
      <c r="V82">
        <f>HYPERLINK("https://klasma.github.io/Logging_0331/klagomål/A 19139-2024 FSC-klagomål.docx", "A 19139-2024")</f>
        <v/>
      </c>
      <c r="W82">
        <f>HYPERLINK("https://klasma.github.io/Logging_0331/klagomålsmail/A 19139-2024 FSC-klagomål mail.docx", "A 19139-2024")</f>
        <v/>
      </c>
      <c r="X82">
        <f>HYPERLINK("https://klasma.github.io/Logging_0331/tillsyn/A 19139-2024 tillsynsbegäran.docx", "A 19139-2024")</f>
        <v/>
      </c>
      <c r="Y82">
        <f>HYPERLINK("https://klasma.github.io/Logging_0331/tillsynsmail/A 19139-2024 tillsynsbegäran mail.docx", "A 19139-2024")</f>
        <v/>
      </c>
    </row>
    <row r="83" ht="15" customHeight="1">
      <c r="A83" t="inlineStr">
        <is>
          <t>A 19481-2024</t>
        </is>
      </c>
      <c r="B83" s="1" t="n">
        <v>45429</v>
      </c>
      <c r="C83" s="1" t="n">
        <v>45743</v>
      </c>
      <c r="D83" t="inlineStr">
        <is>
          <t>UPPSALA LÄN</t>
        </is>
      </c>
      <c r="E83" t="inlineStr">
        <is>
          <t>HEBY</t>
        </is>
      </c>
      <c r="G83" t="n">
        <v>15.7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HYPERLINK("https://klasma.github.io/Logging_0331/artfynd/A 19481-2024 artfynd.xlsx", "A 19481-2024")</f>
        <v/>
      </c>
      <c r="T83">
        <f>HYPERLINK("https://klasma.github.io/Logging_0331/kartor/A 19481-2024 karta.png", "A 19481-2024")</f>
        <v/>
      </c>
      <c r="V83">
        <f>HYPERLINK("https://klasma.github.io/Logging_0331/klagomål/A 19481-2024 FSC-klagomål.docx", "A 19481-2024")</f>
        <v/>
      </c>
      <c r="W83">
        <f>HYPERLINK("https://klasma.github.io/Logging_0331/klagomålsmail/A 19481-2024 FSC-klagomål mail.docx", "A 19481-2024")</f>
        <v/>
      </c>
      <c r="X83">
        <f>HYPERLINK("https://klasma.github.io/Logging_0331/tillsyn/A 19481-2024 tillsynsbegäran.docx", "A 19481-2024")</f>
        <v/>
      </c>
      <c r="Y83">
        <f>HYPERLINK("https://klasma.github.io/Logging_0331/tillsynsmail/A 19481-2024 tillsynsbegäran mail.docx", "A 19481-2024")</f>
        <v/>
      </c>
    </row>
    <row r="84" ht="15" customHeight="1">
      <c r="A84" t="inlineStr">
        <is>
          <t>A 23384-2024</t>
        </is>
      </c>
      <c r="B84" s="1" t="n">
        <v>45453</v>
      </c>
      <c r="C84" s="1" t="n">
        <v>45743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HYPERLINK("https://klasma.github.io/Logging_0331/artfynd/A 23384-2024 artfynd.xlsx", "A 23384-2024")</f>
        <v/>
      </c>
      <c r="T84">
        <f>HYPERLINK("https://klasma.github.io/Logging_0331/kartor/A 23384-2024 karta.png", "A 23384-2024")</f>
        <v/>
      </c>
      <c r="V84">
        <f>HYPERLINK("https://klasma.github.io/Logging_0331/klagomål/A 23384-2024 FSC-klagomål.docx", "A 23384-2024")</f>
        <v/>
      </c>
      <c r="W84">
        <f>HYPERLINK("https://klasma.github.io/Logging_0331/klagomålsmail/A 23384-2024 FSC-klagomål mail.docx", "A 23384-2024")</f>
        <v/>
      </c>
      <c r="X84">
        <f>HYPERLINK("https://klasma.github.io/Logging_0331/tillsyn/A 23384-2024 tillsynsbegäran.docx", "A 23384-2024")</f>
        <v/>
      </c>
      <c r="Y84">
        <f>HYPERLINK("https://klasma.github.io/Logging_0331/tillsynsmail/A 23384-2024 tillsynsbegäran mail.docx", "A 23384-2024")</f>
        <v/>
      </c>
    </row>
    <row r="85" ht="15" customHeight="1">
      <c r="A85" t="inlineStr">
        <is>
          <t>A 26598-2024</t>
        </is>
      </c>
      <c r="B85" s="1" t="n">
        <v>45469</v>
      </c>
      <c r="C85" s="1" t="n">
        <v>45743</v>
      </c>
      <c r="D85" t="inlineStr">
        <is>
          <t>UPPSALA LÄN</t>
        </is>
      </c>
      <c r="E85" t="inlineStr">
        <is>
          <t>HEBY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26598-2024 artfynd.xlsx", "A 26598-2024")</f>
        <v/>
      </c>
      <c r="T85">
        <f>HYPERLINK("https://klasma.github.io/Logging_0331/kartor/A 26598-2024 karta.png", "A 26598-2024")</f>
        <v/>
      </c>
      <c r="V85">
        <f>HYPERLINK("https://klasma.github.io/Logging_0331/klagomål/A 26598-2024 FSC-klagomål.docx", "A 26598-2024")</f>
        <v/>
      </c>
      <c r="W85">
        <f>HYPERLINK("https://klasma.github.io/Logging_0331/klagomålsmail/A 26598-2024 FSC-klagomål mail.docx", "A 26598-2024")</f>
        <v/>
      </c>
      <c r="X85">
        <f>HYPERLINK("https://klasma.github.io/Logging_0331/tillsyn/A 26598-2024 tillsynsbegäran.docx", "A 26598-2024")</f>
        <v/>
      </c>
      <c r="Y85">
        <f>HYPERLINK("https://klasma.github.io/Logging_0331/tillsynsmail/A 26598-2024 tillsynsbegäran mail.docx", "A 26598-2024")</f>
        <v/>
      </c>
    </row>
    <row r="86" ht="15" customHeight="1">
      <c r="A86" t="inlineStr">
        <is>
          <t>A 26591-2024</t>
        </is>
      </c>
      <c r="B86" s="1" t="n">
        <v>45469</v>
      </c>
      <c r="C86" s="1" t="n">
        <v>45743</v>
      </c>
      <c r="D86" t="inlineStr">
        <is>
          <t>UPPSALA LÄN</t>
        </is>
      </c>
      <c r="E86" t="inlineStr">
        <is>
          <t>HEBY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26591-2024 artfynd.xlsx", "A 26591-2024")</f>
        <v/>
      </c>
      <c r="T86">
        <f>HYPERLINK("https://klasma.github.io/Logging_0331/kartor/A 26591-2024 karta.png", "A 26591-2024")</f>
        <v/>
      </c>
      <c r="V86">
        <f>HYPERLINK("https://klasma.github.io/Logging_0331/klagomål/A 26591-2024 FSC-klagomål.docx", "A 26591-2024")</f>
        <v/>
      </c>
      <c r="W86">
        <f>HYPERLINK("https://klasma.github.io/Logging_0331/klagomålsmail/A 26591-2024 FSC-klagomål mail.docx", "A 26591-2024")</f>
        <v/>
      </c>
      <c r="X86">
        <f>HYPERLINK("https://klasma.github.io/Logging_0331/tillsyn/A 26591-2024 tillsynsbegäran.docx", "A 26591-2024")</f>
        <v/>
      </c>
      <c r="Y86">
        <f>HYPERLINK("https://klasma.github.io/Logging_0331/tillsynsmail/A 26591-2024 tillsynsbegäran mail.docx", "A 26591-2024")</f>
        <v/>
      </c>
    </row>
    <row r="87" ht="15" customHeight="1">
      <c r="A87" t="inlineStr">
        <is>
          <t>A 31171-2024</t>
        </is>
      </c>
      <c r="B87" s="1" t="n">
        <v>45503</v>
      </c>
      <c r="C87" s="1" t="n">
        <v>45743</v>
      </c>
      <c r="D87" t="inlineStr">
        <is>
          <t>UPPSALA LÄN</t>
        </is>
      </c>
      <c r="E87" t="inlineStr">
        <is>
          <t>HEBY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31171-2024 artfynd.xlsx", "A 31171-2024")</f>
        <v/>
      </c>
      <c r="T87">
        <f>HYPERLINK("https://klasma.github.io/Logging_0331/kartor/A 31171-2024 karta.png", "A 31171-2024")</f>
        <v/>
      </c>
      <c r="V87">
        <f>HYPERLINK("https://klasma.github.io/Logging_0331/klagomål/A 31171-2024 FSC-klagomål.docx", "A 31171-2024")</f>
        <v/>
      </c>
      <c r="W87">
        <f>HYPERLINK("https://klasma.github.io/Logging_0331/klagomålsmail/A 31171-2024 FSC-klagomål mail.docx", "A 31171-2024")</f>
        <v/>
      </c>
      <c r="X87">
        <f>HYPERLINK("https://klasma.github.io/Logging_0331/tillsyn/A 31171-2024 tillsynsbegäran.docx", "A 31171-2024")</f>
        <v/>
      </c>
      <c r="Y87">
        <f>HYPERLINK("https://klasma.github.io/Logging_0331/tillsynsmail/A 31171-2024 tillsynsbegäran mail.docx", "A 31171-2024")</f>
        <v/>
      </c>
    </row>
    <row r="88" ht="15" customHeight="1">
      <c r="A88" t="inlineStr">
        <is>
          <t>A 31781-2024</t>
        </is>
      </c>
      <c r="B88" s="1" t="n">
        <v>45509</v>
      </c>
      <c r="C88" s="1" t="n">
        <v>45743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31781-2024 artfynd.xlsx", "A 31781-2024")</f>
        <v/>
      </c>
      <c r="T88">
        <f>HYPERLINK("https://klasma.github.io/Logging_0331/kartor/A 31781-2024 karta.png", "A 31781-2024")</f>
        <v/>
      </c>
      <c r="V88">
        <f>HYPERLINK("https://klasma.github.io/Logging_0331/klagomål/A 31781-2024 FSC-klagomål.docx", "A 31781-2024")</f>
        <v/>
      </c>
      <c r="W88">
        <f>HYPERLINK("https://klasma.github.io/Logging_0331/klagomålsmail/A 31781-2024 FSC-klagomål mail.docx", "A 31781-2024")</f>
        <v/>
      </c>
      <c r="X88">
        <f>HYPERLINK("https://klasma.github.io/Logging_0331/tillsyn/A 31781-2024 tillsynsbegäran.docx", "A 31781-2024")</f>
        <v/>
      </c>
      <c r="Y88">
        <f>HYPERLINK("https://klasma.github.io/Logging_0331/tillsynsmail/A 31781-2024 tillsynsbegäran mail.docx", "A 31781-2024")</f>
        <v/>
      </c>
    </row>
    <row r="89" ht="15" customHeight="1">
      <c r="A89" t="inlineStr">
        <is>
          <t>A 48722-2024</t>
        </is>
      </c>
      <c r="B89" s="1" t="n">
        <v>45593</v>
      </c>
      <c r="C89" s="1" t="n">
        <v>45743</v>
      </c>
      <c r="D89" t="inlineStr">
        <is>
          <t>UPPSALA LÄN</t>
        </is>
      </c>
      <c r="E89" t="inlineStr">
        <is>
          <t>HEBY</t>
        </is>
      </c>
      <c r="F89" t="inlineStr">
        <is>
          <t>Allmännings- och besparingsskogar</t>
        </is>
      </c>
      <c r="G89" t="n">
        <v>9.6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HYPERLINK("https://klasma.github.io/Logging_0331/artfynd/A 48722-2024 artfynd.xlsx", "A 48722-2024")</f>
        <v/>
      </c>
      <c r="T89">
        <f>HYPERLINK("https://klasma.github.io/Logging_0331/kartor/A 48722-2024 karta.png", "A 48722-2024")</f>
        <v/>
      </c>
      <c r="V89">
        <f>HYPERLINK("https://klasma.github.io/Logging_0331/klagomål/A 48722-2024 FSC-klagomål.docx", "A 48722-2024")</f>
        <v/>
      </c>
      <c r="W89">
        <f>HYPERLINK("https://klasma.github.io/Logging_0331/klagomålsmail/A 48722-2024 FSC-klagomål mail.docx", "A 48722-2024")</f>
        <v/>
      </c>
      <c r="X89">
        <f>HYPERLINK("https://klasma.github.io/Logging_0331/tillsyn/A 48722-2024 tillsynsbegäran.docx", "A 48722-2024")</f>
        <v/>
      </c>
      <c r="Y89">
        <f>HYPERLINK("https://klasma.github.io/Logging_0331/tillsynsmail/A 48722-2024 tillsynsbegäran mail.docx", "A 48722-2024")</f>
        <v/>
      </c>
    </row>
    <row r="90" ht="15" customHeight="1">
      <c r="A90" t="inlineStr">
        <is>
          <t>A 55082-2024</t>
        </is>
      </c>
      <c r="B90" s="1" t="n">
        <v>45621</v>
      </c>
      <c r="C90" s="1" t="n">
        <v>45743</v>
      </c>
      <c r="D90" t="inlineStr">
        <is>
          <t>UPPSALA LÄN</t>
        </is>
      </c>
      <c r="E90" t="inlineStr">
        <is>
          <t>HEBY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HYPERLINK("https://klasma.github.io/Logging_0331/artfynd/A 55082-2024 artfynd.xlsx", "A 55082-2024")</f>
        <v/>
      </c>
      <c r="T90">
        <f>HYPERLINK("https://klasma.github.io/Logging_0331/kartor/A 55082-2024 karta.png", "A 55082-2024")</f>
        <v/>
      </c>
      <c r="V90">
        <f>HYPERLINK("https://klasma.github.io/Logging_0331/klagomål/A 55082-2024 FSC-klagomål.docx", "A 55082-2024")</f>
        <v/>
      </c>
      <c r="W90">
        <f>HYPERLINK("https://klasma.github.io/Logging_0331/klagomålsmail/A 55082-2024 FSC-klagomål mail.docx", "A 55082-2024")</f>
        <v/>
      </c>
      <c r="X90">
        <f>HYPERLINK("https://klasma.github.io/Logging_0331/tillsyn/A 55082-2024 tillsynsbegäran.docx", "A 55082-2024")</f>
        <v/>
      </c>
      <c r="Y90">
        <f>HYPERLINK("https://klasma.github.io/Logging_0331/tillsynsmail/A 55082-2024 tillsynsbegäran mail.docx", "A 55082-2024")</f>
        <v/>
      </c>
    </row>
    <row r="91" ht="15" customHeight="1">
      <c r="A91" t="inlineStr">
        <is>
          <t>A 55663-2024</t>
        </is>
      </c>
      <c r="B91" s="1" t="n">
        <v>45622</v>
      </c>
      <c r="C91" s="1" t="n">
        <v>45743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HYPERLINK("https://klasma.github.io/Logging_0331/artfynd/A 55663-2024 artfynd.xlsx", "A 55663-2024")</f>
        <v/>
      </c>
      <c r="T91">
        <f>HYPERLINK("https://klasma.github.io/Logging_0331/kartor/A 55663-2024 karta.png", "A 55663-2024")</f>
        <v/>
      </c>
      <c r="V91">
        <f>HYPERLINK("https://klasma.github.io/Logging_0331/klagomål/A 55663-2024 FSC-klagomål.docx", "A 55663-2024")</f>
        <v/>
      </c>
      <c r="W91">
        <f>HYPERLINK("https://klasma.github.io/Logging_0331/klagomålsmail/A 55663-2024 FSC-klagomål mail.docx", "A 55663-2024")</f>
        <v/>
      </c>
      <c r="X91">
        <f>HYPERLINK("https://klasma.github.io/Logging_0331/tillsyn/A 55663-2024 tillsynsbegäran.docx", "A 55663-2024")</f>
        <v/>
      </c>
      <c r="Y91">
        <f>HYPERLINK("https://klasma.github.io/Logging_0331/tillsynsmail/A 55663-2024 tillsynsbegäran mail.docx", "A 55663-2024")</f>
        <v/>
      </c>
    </row>
    <row r="92" ht="15" customHeight="1">
      <c r="A92" t="inlineStr">
        <is>
          <t>A 2592-2025</t>
        </is>
      </c>
      <c r="B92" s="1" t="n">
        <v>45674</v>
      </c>
      <c r="C92" s="1" t="n">
        <v>45743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15.8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HYPERLINK("https://klasma.github.io/Logging_0331/artfynd/A 2592-2025 artfynd.xlsx", "A 2592-2025")</f>
        <v/>
      </c>
      <c r="T92">
        <f>HYPERLINK("https://klasma.github.io/Logging_0331/kartor/A 2592-2025 karta.png", "A 2592-2025")</f>
        <v/>
      </c>
      <c r="V92">
        <f>HYPERLINK("https://klasma.github.io/Logging_0331/klagomål/A 2592-2025 FSC-klagomål.docx", "A 2592-2025")</f>
        <v/>
      </c>
      <c r="W92">
        <f>HYPERLINK("https://klasma.github.io/Logging_0331/klagomålsmail/A 2592-2025 FSC-klagomål mail.docx", "A 2592-2025")</f>
        <v/>
      </c>
      <c r="X92">
        <f>HYPERLINK("https://klasma.github.io/Logging_0331/tillsyn/A 2592-2025 tillsynsbegäran.docx", "A 2592-2025")</f>
        <v/>
      </c>
      <c r="Y92">
        <f>HYPERLINK("https://klasma.github.io/Logging_0331/tillsynsmail/A 2592-2025 tillsynsbegäran mail.docx", "A 2592-2025")</f>
        <v/>
      </c>
    </row>
    <row r="93" ht="15" customHeight="1">
      <c r="A93" t="inlineStr">
        <is>
          <t>A 17706-2019</t>
        </is>
      </c>
      <c r="B93" s="1" t="n">
        <v>43556</v>
      </c>
      <c r="C93" s="1" t="n">
        <v>45743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18323-2019</t>
        </is>
      </c>
      <c r="B94" s="1" t="n">
        <v>43559</v>
      </c>
      <c r="C94" s="1" t="n">
        <v>45743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18699-2019</t>
        </is>
      </c>
      <c r="B95" s="1" t="n">
        <v>43560</v>
      </c>
      <c r="C95" s="1" t="n">
        <v>45743</v>
      </c>
      <c r="D95" t="inlineStr">
        <is>
          <t>UPPSALA LÄN</t>
        </is>
      </c>
      <c r="E95" t="inlineStr">
        <is>
          <t>HEBY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18716-2019</t>
        </is>
      </c>
      <c r="B96" s="1" t="n">
        <v>43560</v>
      </c>
      <c r="C96" s="1" t="n">
        <v>45743</v>
      </c>
      <c r="D96" t="inlineStr">
        <is>
          <t>UPPSALA LÄN</t>
        </is>
      </c>
      <c r="E96" t="inlineStr">
        <is>
          <t>HEBY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18799-2019</t>
        </is>
      </c>
      <c r="B97" s="1" t="n">
        <v>43562</v>
      </c>
      <c r="C97" s="1" t="n">
        <v>45743</v>
      </c>
      <c r="D97" t="inlineStr">
        <is>
          <t>UPPSALA LÄN</t>
        </is>
      </c>
      <c r="E97" t="inlineStr">
        <is>
          <t>HEBY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18997-2019</t>
        </is>
      </c>
      <c r="B98" s="1" t="n">
        <v>43563</v>
      </c>
      <c r="C98" s="1" t="n">
        <v>45743</v>
      </c>
      <c r="D98" t="inlineStr">
        <is>
          <t>UPPSALA LÄN</t>
        </is>
      </c>
      <c r="E98" t="inlineStr">
        <is>
          <t>HEBY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19779-2019</t>
        </is>
      </c>
      <c r="B99" s="1" t="n">
        <v>43567</v>
      </c>
      <c r="C99" s="1" t="n">
        <v>45743</v>
      </c>
      <c r="D99" t="inlineStr">
        <is>
          <t>UPPSALA LÄN</t>
        </is>
      </c>
      <c r="E99" t="inlineStr">
        <is>
          <t>HEBY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20157-2019</t>
        </is>
      </c>
      <c r="B100" s="1" t="n">
        <v>43570</v>
      </c>
      <c r="C100" s="1" t="n">
        <v>45743</v>
      </c>
      <c r="D100" t="inlineStr">
        <is>
          <t>UPPSALA LÄN</t>
        </is>
      </c>
      <c r="E100" t="inlineStr">
        <is>
          <t>HEBY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19989-2019</t>
        </is>
      </c>
      <c r="B101" s="1" t="n">
        <v>43570</v>
      </c>
      <c r="C101" s="1" t="n">
        <v>45743</v>
      </c>
      <c r="D101" t="inlineStr">
        <is>
          <t>UPPSALA LÄN</t>
        </is>
      </c>
      <c r="E101" t="inlineStr">
        <is>
          <t>HEBY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21566-2019</t>
        </is>
      </c>
      <c r="B102" s="1" t="n">
        <v>43580</v>
      </c>
      <c r="C102" s="1" t="n">
        <v>45743</v>
      </c>
      <c r="D102" t="inlineStr">
        <is>
          <t>UPPSALA LÄN</t>
        </is>
      </c>
      <c r="E102" t="inlineStr">
        <is>
          <t>HEBY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21565-2019</t>
        </is>
      </c>
      <c r="B103" s="1" t="n">
        <v>43580</v>
      </c>
      <c r="C103" s="1" t="n">
        <v>45743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21760-2019</t>
        </is>
      </c>
      <c r="B104" s="1" t="n">
        <v>43581</v>
      </c>
      <c r="C104" s="1" t="n">
        <v>45743</v>
      </c>
      <c r="D104" t="inlineStr">
        <is>
          <t>UPPSALA LÄN</t>
        </is>
      </c>
      <c r="E104" t="inlineStr">
        <is>
          <t>HEBY</t>
        </is>
      </c>
      <c r="F104" t="inlineStr">
        <is>
          <t>Övriga Aktiebolag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24039-2019</t>
        </is>
      </c>
      <c r="B105" s="1" t="n">
        <v>43598</v>
      </c>
      <c r="C105" s="1" t="n">
        <v>45743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24297-2019</t>
        </is>
      </c>
      <c r="B106" s="1" t="n">
        <v>43598</v>
      </c>
      <c r="C106" s="1" t="n">
        <v>45743</v>
      </c>
      <c r="D106" t="inlineStr">
        <is>
          <t>UPPSALA LÄN</t>
        </is>
      </c>
      <c r="E106" t="inlineStr">
        <is>
          <t>HEBY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25317-2019</t>
        </is>
      </c>
      <c r="B107" s="1" t="n">
        <v>43606</v>
      </c>
      <c r="C107" s="1" t="n">
        <v>45743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25672-2019</t>
        </is>
      </c>
      <c r="B108" s="1" t="n">
        <v>43607</v>
      </c>
      <c r="C108" s="1" t="n">
        <v>45743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25791-2019</t>
        </is>
      </c>
      <c r="B109" s="1" t="n">
        <v>43608</v>
      </c>
      <c r="C109" s="1" t="n">
        <v>45743</v>
      </c>
      <c r="D109" t="inlineStr">
        <is>
          <t>UPPSALA LÄN</t>
        </is>
      </c>
      <c r="E109" t="inlineStr">
        <is>
          <t>HEBY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26060-2019</t>
        </is>
      </c>
      <c r="B110" s="1" t="n">
        <v>43609</v>
      </c>
      <c r="C110" s="1" t="n">
        <v>45743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27277-2019</t>
        </is>
      </c>
      <c r="B111" s="1" t="n">
        <v>43615</v>
      </c>
      <c r="C111" s="1" t="n">
        <v>45743</v>
      </c>
      <c r="D111" t="inlineStr">
        <is>
          <t>UPPSALA LÄN</t>
        </is>
      </c>
      <c r="E111" t="inlineStr">
        <is>
          <t>HEBY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29637-2019</t>
        </is>
      </c>
      <c r="B112" s="1" t="n">
        <v>43628</v>
      </c>
      <c r="C112" s="1" t="n">
        <v>45743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29954-2019</t>
        </is>
      </c>
      <c r="B113" s="1" t="n">
        <v>43633</v>
      </c>
      <c r="C113" s="1" t="n">
        <v>45743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30838-2019</t>
        </is>
      </c>
      <c r="B114" s="1" t="n">
        <v>43636</v>
      </c>
      <c r="C114" s="1" t="n">
        <v>45743</v>
      </c>
      <c r="D114" t="inlineStr">
        <is>
          <t>UPPSALA LÄN</t>
        </is>
      </c>
      <c r="E114" t="inlineStr">
        <is>
          <t>HEBY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31438-2019</t>
        </is>
      </c>
      <c r="B115" s="1" t="n">
        <v>43641</v>
      </c>
      <c r="C115" s="1" t="n">
        <v>45743</v>
      </c>
      <c r="D115" t="inlineStr">
        <is>
          <t>UPPSALA LÄN</t>
        </is>
      </c>
      <c r="E115" t="inlineStr">
        <is>
          <t>HEBY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31436-2019</t>
        </is>
      </c>
      <c r="B116" s="1" t="n">
        <v>43641</v>
      </c>
      <c r="C116" s="1" t="n">
        <v>45743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32299-2019</t>
        </is>
      </c>
      <c r="B117" s="1" t="n">
        <v>43644</v>
      </c>
      <c r="C117" s="1" t="n">
        <v>45743</v>
      </c>
      <c r="D117" t="inlineStr">
        <is>
          <t>UPPSALA LÄN</t>
        </is>
      </c>
      <c r="E117" t="inlineStr">
        <is>
          <t>HEBY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33575-2019</t>
        </is>
      </c>
      <c r="B118" s="1" t="n">
        <v>43651</v>
      </c>
      <c r="C118" s="1" t="n">
        <v>45743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33584-2019</t>
        </is>
      </c>
      <c r="B119" s="1" t="n">
        <v>43651</v>
      </c>
      <c r="C119" s="1" t="n">
        <v>45743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33932-2019</t>
        </is>
      </c>
      <c r="B120" s="1" t="n">
        <v>43654</v>
      </c>
      <c r="C120" s="1" t="n">
        <v>45743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35811-2019</t>
        </is>
      </c>
      <c r="B121" s="1" t="n">
        <v>43656</v>
      </c>
      <c r="C121" s="1" t="n">
        <v>45743</v>
      </c>
      <c r="D121" t="inlineStr">
        <is>
          <t>UPPSALA LÄN</t>
        </is>
      </c>
      <c r="E121" t="inlineStr">
        <is>
          <t>HEBY</t>
        </is>
      </c>
      <c r="F121" t="inlineStr">
        <is>
          <t>Allmännings- och besparingsskogar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37092-2019</t>
        </is>
      </c>
      <c r="B122" s="1" t="n">
        <v>43676</v>
      </c>
      <c r="C122" s="1" t="n">
        <v>45743</v>
      </c>
      <c r="D122" t="inlineStr">
        <is>
          <t>UPPSALA LÄN</t>
        </is>
      </c>
      <c r="E122" t="inlineStr">
        <is>
          <t>HEBY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39918-2019</t>
        </is>
      </c>
      <c r="B123" s="1" t="n">
        <v>43689</v>
      </c>
      <c r="C123" s="1" t="n">
        <v>45743</v>
      </c>
      <c r="D123" t="inlineStr">
        <is>
          <t>UPPSALA LÄN</t>
        </is>
      </c>
      <c r="E123" t="inlineStr">
        <is>
          <t>HEBY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39087-2019</t>
        </is>
      </c>
      <c r="B124" s="1" t="n">
        <v>43689</v>
      </c>
      <c r="C124" s="1" t="n">
        <v>45743</v>
      </c>
      <c r="D124" t="inlineStr">
        <is>
          <t>UPPSALA LÄN</t>
        </is>
      </c>
      <c r="E124" t="inlineStr">
        <is>
          <t>HEBY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40336-2019</t>
        </is>
      </c>
      <c r="B125" s="1" t="n">
        <v>43696</v>
      </c>
      <c r="C125" s="1" t="n">
        <v>45743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40792-2019</t>
        </is>
      </c>
      <c r="B126" s="1" t="n">
        <v>43697</v>
      </c>
      <c r="C126" s="1" t="n">
        <v>45743</v>
      </c>
      <c r="D126" t="inlineStr">
        <is>
          <t>UPPSALA LÄN</t>
        </is>
      </c>
      <c r="E126" t="inlineStr">
        <is>
          <t>HEBY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42841-2019</t>
        </is>
      </c>
      <c r="B127" s="1" t="n">
        <v>43705</v>
      </c>
      <c r="C127" s="1" t="n">
        <v>45743</v>
      </c>
      <c r="D127" t="inlineStr">
        <is>
          <t>UPPSALA LÄN</t>
        </is>
      </c>
      <c r="E127" t="inlineStr">
        <is>
          <t>HEBY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43039-2019</t>
        </is>
      </c>
      <c r="B128" s="1" t="n">
        <v>43705</v>
      </c>
      <c r="C128" s="1" t="n">
        <v>45743</v>
      </c>
      <c r="D128" t="inlineStr">
        <is>
          <t>UPPSALA LÄN</t>
        </is>
      </c>
      <c r="E128" t="inlineStr">
        <is>
          <t>HEBY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45500-2019</t>
        </is>
      </c>
      <c r="B129" s="1" t="n">
        <v>43710</v>
      </c>
      <c r="C129" s="1" t="n">
        <v>45743</v>
      </c>
      <c r="D129" t="inlineStr">
        <is>
          <t>UPPSALA LÄN</t>
        </is>
      </c>
      <c r="E129" t="inlineStr">
        <is>
          <t>HEBY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45493-2019</t>
        </is>
      </c>
      <c r="B130" s="1" t="n">
        <v>43710</v>
      </c>
      <c r="C130" s="1" t="n">
        <v>45743</v>
      </c>
      <c r="D130" t="inlineStr">
        <is>
          <t>UPPSALA LÄN</t>
        </is>
      </c>
      <c r="E130" t="inlineStr">
        <is>
          <t>HEBY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44497-2019</t>
        </is>
      </c>
      <c r="B131" s="1" t="n">
        <v>43711</v>
      </c>
      <c r="C131" s="1" t="n">
        <v>45743</v>
      </c>
      <c r="D131" t="inlineStr">
        <is>
          <t>UPPSALA LÄN</t>
        </is>
      </c>
      <c r="E131" t="inlineStr">
        <is>
          <t>HEBY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44991-2019</t>
        </is>
      </c>
      <c r="B132" s="1" t="n">
        <v>43713</v>
      </c>
      <c r="C132" s="1" t="n">
        <v>45743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45667-2019</t>
        </is>
      </c>
      <c r="B133" s="1" t="n">
        <v>43717</v>
      </c>
      <c r="C133" s="1" t="n">
        <v>45743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46563-2019</t>
        </is>
      </c>
      <c r="B134" s="1" t="n">
        <v>43719</v>
      </c>
      <c r="C134" s="1" t="n">
        <v>45743</v>
      </c>
      <c r="D134" t="inlineStr">
        <is>
          <t>UPPSALA LÄN</t>
        </is>
      </c>
      <c r="E134" t="inlineStr">
        <is>
          <t>HEBY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46545-2019</t>
        </is>
      </c>
      <c r="B135" s="1" t="n">
        <v>43719</v>
      </c>
      <c r="C135" s="1" t="n">
        <v>45743</v>
      </c>
      <c r="D135" t="inlineStr">
        <is>
          <t>UPPSALA LÄN</t>
        </is>
      </c>
      <c r="E135" t="inlineStr">
        <is>
          <t>HEBY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48086-2019</t>
        </is>
      </c>
      <c r="B136" s="1" t="n">
        <v>43725</v>
      </c>
      <c r="C136" s="1" t="n">
        <v>45743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50358-2019</t>
        </is>
      </c>
      <c r="B137" s="1" t="n">
        <v>43731</v>
      </c>
      <c r="C137" s="1" t="n">
        <v>45743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50414-2019</t>
        </is>
      </c>
      <c r="B138" s="1" t="n">
        <v>43731</v>
      </c>
      <c r="C138" s="1" t="n">
        <v>45743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50348-2019</t>
        </is>
      </c>
      <c r="B139" s="1" t="n">
        <v>43735</v>
      </c>
      <c r="C139" s="1" t="n">
        <v>45743</v>
      </c>
      <c r="D139" t="inlineStr">
        <is>
          <t>UPPSALA LÄN</t>
        </is>
      </c>
      <c r="E139" t="inlineStr">
        <is>
          <t>HEBY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50361-2019</t>
        </is>
      </c>
      <c r="B140" s="1" t="n">
        <v>43735</v>
      </c>
      <c r="C140" s="1" t="n">
        <v>45743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50346-2019</t>
        </is>
      </c>
      <c r="B141" s="1" t="n">
        <v>43735</v>
      </c>
      <c r="C141" s="1" t="n">
        <v>45743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50785-2019</t>
        </is>
      </c>
      <c r="B142" s="1" t="n">
        <v>43737</v>
      </c>
      <c r="C142" s="1" t="n">
        <v>45743</v>
      </c>
      <c r="D142" t="inlineStr">
        <is>
          <t>UPPSALA LÄN</t>
        </is>
      </c>
      <c r="E142" t="inlineStr">
        <is>
          <t>HEBY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50688-2019</t>
        </is>
      </c>
      <c r="B143" s="1" t="n">
        <v>43738</v>
      </c>
      <c r="C143" s="1" t="n">
        <v>45743</v>
      </c>
      <c r="D143" t="inlineStr">
        <is>
          <t>UPPSALA LÄN</t>
        </is>
      </c>
      <c r="E143" t="inlineStr">
        <is>
          <t>HEBY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53320-2019</t>
        </is>
      </c>
      <c r="B144" s="1" t="n">
        <v>43740</v>
      </c>
      <c r="C144" s="1" t="n">
        <v>45743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51862-2019</t>
        </is>
      </c>
      <c r="B145" s="1" t="n">
        <v>43741</v>
      </c>
      <c r="C145" s="1" t="n">
        <v>45743</v>
      </c>
      <c r="D145" t="inlineStr">
        <is>
          <t>UPPSALA LÄN</t>
        </is>
      </c>
      <c r="E145" t="inlineStr">
        <is>
          <t>HEBY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52187-2019</t>
        </is>
      </c>
      <c r="B146" s="1" t="n">
        <v>43742</v>
      </c>
      <c r="C146" s="1" t="n">
        <v>45743</v>
      </c>
      <c r="D146" t="inlineStr">
        <is>
          <t>UPPSALA LÄN</t>
        </is>
      </c>
      <c r="E146" t="inlineStr">
        <is>
          <t>HEBY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54280-2019</t>
        </is>
      </c>
      <c r="B147" s="1" t="n">
        <v>43745</v>
      </c>
      <c r="C147" s="1" t="n">
        <v>45743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54258-2019</t>
        </is>
      </c>
      <c r="B148" s="1" t="n">
        <v>43745</v>
      </c>
      <c r="C148" s="1" t="n">
        <v>45743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54479-2019</t>
        </is>
      </c>
      <c r="B149" s="1" t="n">
        <v>43747</v>
      </c>
      <c r="C149" s="1" t="n">
        <v>45743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53733-2019</t>
        </is>
      </c>
      <c r="B150" s="1" t="n">
        <v>43749</v>
      </c>
      <c r="C150" s="1" t="n">
        <v>45743</v>
      </c>
      <c r="D150" t="inlineStr">
        <is>
          <t>UPPSALA LÄN</t>
        </is>
      </c>
      <c r="E150" t="inlineStr">
        <is>
          <t>HEBY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53738-2019</t>
        </is>
      </c>
      <c r="B151" s="1" t="n">
        <v>43749</v>
      </c>
      <c r="C151" s="1" t="n">
        <v>45743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55369-2019</t>
        </is>
      </c>
      <c r="B152" s="1" t="n">
        <v>43754</v>
      </c>
      <c r="C152" s="1" t="n">
        <v>45743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57023-2019</t>
        </is>
      </c>
      <c r="B153" s="1" t="n">
        <v>43766</v>
      </c>
      <c r="C153" s="1" t="n">
        <v>45743</v>
      </c>
      <c r="D153" t="inlineStr">
        <is>
          <t>UPPSALA LÄN</t>
        </is>
      </c>
      <c r="E153" t="inlineStr">
        <is>
          <t>HEBY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57134-2019</t>
        </is>
      </c>
      <c r="B154" s="1" t="n">
        <v>43766</v>
      </c>
      <c r="C154" s="1" t="n">
        <v>45743</v>
      </c>
      <c r="D154" t="inlineStr">
        <is>
          <t>UPPSALA LÄN</t>
        </is>
      </c>
      <c r="E154" t="inlineStr">
        <is>
          <t>HEBY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HYPERLINK("https://klasma.github.io/Logging_0331/knärot/A 57134-2019 karta knärot.png", "A 57134-2019")</f>
        <v/>
      </c>
      <c r="V154">
        <f>HYPERLINK("https://klasma.github.io/Logging_0331/klagomål/A 57134-2019 FSC-klagomål.docx", "A 57134-2019")</f>
        <v/>
      </c>
      <c r="W154">
        <f>HYPERLINK("https://klasma.github.io/Logging_0331/klagomålsmail/A 57134-2019 FSC-klagomål mail.docx", "A 57134-2019")</f>
        <v/>
      </c>
      <c r="X154">
        <f>HYPERLINK("https://klasma.github.io/Logging_0331/tillsyn/A 57134-2019 tillsynsbegäran.docx", "A 57134-2019")</f>
        <v/>
      </c>
      <c r="Y154">
        <f>HYPERLINK("https://klasma.github.io/Logging_0331/tillsynsmail/A 57134-2019 tillsynsbegäran mail.docx", "A 57134-2019")</f>
        <v/>
      </c>
    </row>
    <row r="155" ht="15" customHeight="1">
      <c r="A155" t="inlineStr">
        <is>
          <t>A 57792-2019</t>
        </is>
      </c>
      <c r="B155" s="1" t="n">
        <v>43768</v>
      </c>
      <c r="C155" s="1" t="n">
        <v>45743</v>
      </c>
      <c r="D155" t="inlineStr">
        <is>
          <t>UPPSALA LÄN</t>
        </is>
      </c>
      <c r="E155" t="inlineStr">
        <is>
          <t>HEBY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59239-2019</t>
        </is>
      </c>
      <c r="B156" s="1" t="n">
        <v>43775</v>
      </c>
      <c r="C156" s="1" t="n">
        <v>45743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60806-2019</t>
        </is>
      </c>
      <c r="B157" s="1" t="n">
        <v>43781</v>
      </c>
      <c r="C157" s="1" t="n">
        <v>45743</v>
      </c>
      <c r="D157" t="inlineStr">
        <is>
          <t>UPPSALA LÄN</t>
        </is>
      </c>
      <c r="E157" t="inlineStr">
        <is>
          <t>HEBY</t>
        </is>
      </c>
      <c r="F157" t="inlineStr">
        <is>
          <t>Allmännings- och besparingsskogar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62096-2019</t>
        </is>
      </c>
      <c r="B158" s="1" t="n">
        <v>43782</v>
      </c>
      <c r="C158" s="1" t="n">
        <v>45743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61351-2019</t>
        </is>
      </c>
      <c r="B159" s="1" t="n">
        <v>43783</v>
      </c>
      <c r="C159" s="1" t="n">
        <v>45743</v>
      </c>
      <c r="D159" t="inlineStr">
        <is>
          <t>UPPSALA LÄN</t>
        </is>
      </c>
      <c r="E159" t="inlineStr">
        <is>
          <t>HEBY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61395-2019</t>
        </is>
      </c>
      <c r="B160" s="1" t="n">
        <v>43783</v>
      </c>
      <c r="C160" s="1" t="n">
        <v>45743</v>
      </c>
      <c r="D160" t="inlineStr">
        <is>
          <t>UPPSALA LÄN</t>
        </is>
      </c>
      <c r="E160" t="inlineStr">
        <is>
          <t>HEBY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61388-2019</t>
        </is>
      </c>
      <c r="B161" s="1" t="n">
        <v>43783</v>
      </c>
      <c r="C161" s="1" t="n">
        <v>45743</v>
      </c>
      <c r="D161" t="inlineStr">
        <is>
          <t>UPPSALA LÄN</t>
        </is>
      </c>
      <c r="E161" t="inlineStr">
        <is>
          <t>HEBY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61924-2019</t>
        </is>
      </c>
      <c r="B162" s="1" t="n">
        <v>43787</v>
      </c>
      <c r="C162" s="1" t="n">
        <v>45743</v>
      </c>
      <c r="D162" t="inlineStr">
        <is>
          <t>UPPSALA LÄN</t>
        </is>
      </c>
      <c r="E162" t="inlineStr">
        <is>
          <t>HEBY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62026-2019</t>
        </is>
      </c>
      <c r="B163" s="1" t="n">
        <v>43787</v>
      </c>
      <c r="C163" s="1" t="n">
        <v>45743</v>
      </c>
      <c r="D163" t="inlineStr">
        <is>
          <t>UPPSALA LÄN</t>
        </is>
      </c>
      <c r="E163" t="inlineStr">
        <is>
          <t>HEBY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62022-2019</t>
        </is>
      </c>
      <c r="B164" s="1" t="n">
        <v>43787</v>
      </c>
      <c r="C164" s="1" t="n">
        <v>45743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63376-2019</t>
        </is>
      </c>
      <c r="B165" s="1" t="n">
        <v>43794</v>
      </c>
      <c r="C165" s="1" t="n">
        <v>45743</v>
      </c>
      <c r="D165" t="inlineStr">
        <is>
          <t>UPPSALA LÄN</t>
        </is>
      </c>
      <c r="E165" t="inlineStr">
        <is>
          <t>HEBY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64250-2019</t>
        </is>
      </c>
      <c r="B166" s="1" t="n">
        <v>43797</v>
      </c>
      <c r="C166" s="1" t="n">
        <v>45743</v>
      </c>
      <c r="D166" t="inlineStr">
        <is>
          <t>UPPSALA LÄN</t>
        </is>
      </c>
      <c r="E166" t="inlineStr">
        <is>
          <t>HEBY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65111-2019</t>
        </is>
      </c>
      <c r="B167" s="1" t="n">
        <v>43802</v>
      </c>
      <c r="C167" s="1" t="n">
        <v>45743</v>
      </c>
      <c r="D167" t="inlineStr">
        <is>
          <t>UPPSALA LÄN</t>
        </is>
      </c>
      <c r="E167" t="inlineStr">
        <is>
          <t>HEBY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66125-2019</t>
        </is>
      </c>
      <c r="B168" s="1" t="n">
        <v>43808</v>
      </c>
      <c r="C168" s="1" t="n">
        <v>45743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68196-2019</t>
        </is>
      </c>
      <c r="B169" s="1" t="n">
        <v>43817</v>
      </c>
      <c r="C169" s="1" t="n">
        <v>45743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68412-2019</t>
        </is>
      </c>
      <c r="B170" s="1" t="n">
        <v>43818</v>
      </c>
      <c r="C170" s="1" t="n">
        <v>45743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1387-2020</t>
        </is>
      </c>
      <c r="B171" s="1" t="n">
        <v>43843</v>
      </c>
      <c r="C171" s="1" t="n">
        <v>45743</v>
      </c>
      <c r="D171" t="inlineStr">
        <is>
          <t>UPPSALA LÄN</t>
        </is>
      </c>
      <c r="E171" t="inlineStr">
        <is>
          <t>HEBY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1717-2020</t>
        </is>
      </c>
      <c r="B172" s="1" t="n">
        <v>43844</v>
      </c>
      <c r="C172" s="1" t="n">
        <v>45743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1929-2020</t>
        </is>
      </c>
      <c r="B173" s="1" t="n">
        <v>43845</v>
      </c>
      <c r="C173" s="1" t="n">
        <v>45743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2306-2020</t>
        </is>
      </c>
      <c r="B174" s="1" t="n">
        <v>43846</v>
      </c>
      <c r="C174" s="1" t="n">
        <v>45743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2315-2020</t>
        </is>
      </c>
      <c r="B175" s="1" t="n">
        <v>43846</v>
      </c>
      <c r="C175" s="1" t="n">
        <v>45743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2499-2020</t>
        </is>
      </c>
      <c r="B176" s="1" t="n">
        <v>43847</v>
      </c>
      <c r="C176" s="1" t="n">
        <v>45743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3276-2020</t>
        </is>
      </c>
      <c r="B177" s="1" t="n">
        <v>43852</v>
      </c>
      <c r="C177" s="1" t="n">
        <v>45743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3242-2020</t>
        </is>
      </c>
      <c r="B178" s="1" t="n">
        <v>43852</v>
      </c>
      <c r="C178" s="1" t="n">
        <v>45743</v>
      </c>
      <c r="D178" t="inlineStr">
        <is>
          <t>UPPSALA LÄN</t>
        </is>
      </c>
      <c r="E178" t="inlineStr">
        <is>
          <t>HEBY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4549-2020</t>
        </is>
      </c>
      <c r="B179" s="1" t="n">
        <v>43858</v>
      </c>
      <c r="C179" s="1" t="n">
        <v>45743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5395-2020</t>
        </is>
      </c>
      <c r="B180" s="1" t="n">
        <v>43860</v>
      </c>
      <c r="C180" s="1" t="n">
        <v>45743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5539-2020</t>
        </is>
      </c>
      <c r="B181" s="1" t="n">
        <v>43861</v>
      </c>
      <c r="C181" s="1" t="n">
        <v>45743</v>
      </c>
      <c r="D181" t="inlineStr">
        <is>
          <t>UPPSALA LÄN</t>
        </is>
      </c>
      <c r="E181" t="inlineStr">
        <is>
          <t>HEBY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5740-2020</t>
        </is>
      </c>
      <c r="B182" s="1" t="n">
        <v>43863</v>
      </c>
      <c r="C182" s="1" t="n">
        <v>45743</v>
      </c>
      <c r="D182" t="inlineStr">
        <is>
          <t>UPPSALA LÄN</t>
        </is>
      </c>
      <c r="E182" t="inlineStr">
        <is>
          <t>HEBY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5774-2020</t>
        </is>
      </c>
      <c r="B183" s="1" t="n">
        <v>43864</v>
      </c>
      <c r="C183" s="1" t="n">
        <v>45743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5759-2020</t>
        </is>
      </c>
      <c r="B184" s="1" t="n">
        <v>43864</v>
      </c>
      <c r="C184" s="1" t="n">
        <v>45743</v>
      </c>
      <c r="D184" t="inlineStr">
        <is>
          <t>UPPSALA LÄN</t>
        </is>
      </c>
      <c r="E184" t="inlineStr">
        <is>
          <t>HEBY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6754-2020</t>
        </is>
      </c>
      <c r="B185" s="1" t="n">
        <v>43866</v>
      </c>
      <c r="C185" s="1" t="n">
        <v>45743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6536-2020</t>
        </is>
      </c>
      <c r="B186" s="1" t="n">
        <v>43867</v>
      </c>
      <c r="C186" s="1" t="n">
        <v>45743</v>
      </c>
      <c r="D186" t="inlineStr">
        <is>
          <t>UPPSALA LÄN</t>
        </is>
      </c>
      <c r="E186" t="inlineStr">
        <is>
          <t>HEBY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6676-2020</t>
        </is>
      </c>
      <c r="B187" s="1" t="n">
        <v>43867</v>
      </c>
      <c r="C187" s="1" t="n">
        <v>45743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7329-2020</t>
        </is>
      </c>
      <c r="B188" s="1" t="n">
        <v>43871</v>
      </c>
      <c r="C188" s="1" t="n">
        <v>45743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7397-2020</t>
        </is>
      </c>
      <c r="B189" s="1" t="n">
        <v>43871</v>
      </c>
      <c r="C189" s="1" t="n">
        <v>45743</v>
      </c>
      <c r="D189" t="inlineStr">
        <is>
          <t>UPPSALA LÄN</t>
        </is>
      </c>
      <c r="E189" t="inlineStr">
        <is>
          <t>HEBY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9927-2020</t>
        </is>
      </c>
      <c r="B190" s="1" t="n">
        <v>43882</v>
      </c>
      <c r="C190" s="1" t="n">
        <v>45743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9914-2020</t>
        </is>
      </c>
      <c r="B191" s="1" t="n">
        <v>43882</v>
      </c>
      <c r="C191" s="1" t="n">
        <v>45743</v>
      </c>
      <c r="D191" t="inlineStr">
        <is>
          <t>UPPSALA LÄN</t>
        </is>
      </c>
      <c r="E191" t="inlineStr">
        <is>
          <t>HEBY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11152-2020</t>
        </is>
      </c>
      <c r="B192" s="1" t="n">
        <v>43891</v>
      </c>
      <c r="C192" s="1" t="n">
        <v>45743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11151-2020</t>
        </is>
      </c>
      <c r="B193" s="1" t="n">
        <v>43891</v>
      </c>
      <c r="C193" s="1" t="n">
        <v>45743</v>
      </c>
      <c r="D193" t="inlineStr">
        <is>
          <t>UPPSALA LÄN</t>
        </is>
      </c>
      <c r="E193" t="inlineStr">
        <is>
          <t>HEBY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11166-2020</t>
        </is>
      </c>
      <c r="B194" s="1" t="n">
        <v>43891</v>
      </c>
      <c r="C194" s="1" t="n">
        <v>45743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11165-2020</t>
        </is>
      </c>
      <c r="B195" s="1" t="n">
        <v>43891</v>
      </c>
      <c r="C195" s="1" t="n">
        <v>45743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13140-2020</t>
        </is>
      </c>
      <c r="B196" s="1" t="n">
        <v>43901</v>
      </c>
      <c r="C196" s="1" t="n">
        <v>45743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13175-2020</t>
        </is>
      </c>
      <c r="B197" s="1" t="n">
        <v>43901</v>
      </c>
      <c r="C197" s="1" t="n">
        <v>45743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13141-2020</t>
        </is>
      </c>
      <c r="B198" s="1" t="n">
        <v>43901</v>
      </c>
      <c r="C198" s="1" t="n">
        <v>45743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13180-2020</t>
        </is>
      </c>
      <c r="B199" s="1" t="n">
        <v>43901</v>
      </c>
      <c r="C199" s="1" t="n">
        <v>45743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13865-2020</t>
        </is>
      </c>
      <c r="B200" s="1" t="n">
        <v>43906</v>
      </c>
      <c r="C200" s="1" t="n">
        <v>45743</v>
      </c>
      <c r="D200" t="inlineStr">
        <is>
          <t>UPPSALA LÄN</t>
        </is>
      </c>
      <c r="E200" t="inlineStr">
        <is>
          <t>HEBY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14783-2020</t>
        </is>
      </c>
      <c r="B201" s="1" t="n">
        <v>43909</v>
      </c>
      <c r="C201" s="1" t="n">
        <v>45743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14823-2020</t>
        </is>
      </c>
      <c r="B202" s="1" t="n">
        <v>43909</v>
      </c>
      <c r="C202" s="1" t="n">
        <v>45743</v>
      </c>
      <c r="D202" t="inlineStr">
        <is>
          <t>UPPSALA LÄN</t>
        </is>
      </c>
      <c r="E202" t="inlineStr">
        <is>
          <t>HEBY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14777-2020</t>
        </is>
      </c>
      <c r="B203" s="1" t="n">
        <v>43909</v>
      </c>
      <c r="C203" s="1" t="n">
        <v>45743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14814-2020</t>
        </is>
      </c>
      <c r="B204" s="1" t="n">
        <v>43909</v>
      </c>
      <c r="C204" s="1" t="n">
        <v>45743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15389-2020</t>
        </is>
      </c>
      <c r="B205" s="1" t="n">
        <v>43913</v>
      </c>
      <c r="C205" s="1" t="n">
        <v>45743</v>
      </c>
      <c r="D205" t="inlineStr">
        <is>
          <t>UPPSALA LÄN</t>
        </is>
      </c>
      <c r="E205" t="inlineStr">
        <is>
          <t>HEBY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15805-2020</t>
        </is>
      </c>
      <c r="B206" s="1" t="n">
        <v>43915</v>
      </c>
      <c r="C206" s="1" t="n">
        <v>45743</v>
      </c>
      <c r="D206" t="inlineStr">
        <is>
          <t>UPPSALA LÄN</t>
        </is>
      </c>
      <c r="E206" t="inlineStr">
        <is>
          <t>HEBY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16071-2020</t>
        </is>
      </c>
      <c r="B207" s="1" t="n">
        <v>43916</v>
      </c>
      <c r="C207" s="1" t="n">
        <v>45743</v>
      </c>
      <c r="D207" t="inlineStr">
        <is>
          <t>UPPSALA LÄN</t>
        </is>
      </c>
      <c r="E207" t="inlineStr">
        <is>
          <t>HEBY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16758-2020</t>
        </is>
      </c>
      <c r="B208" s="1" t="n">
        <v>43920</v>
      </c>
      <c r="C208" s="1" t="n">
        <v>45743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17468-2020</t>
        </is>
      </c>
      <c r="B209" s="1" t="n">
        <v>43920</v>
      </c>
      <c r="C209" s="1" t="n">
        <v>45743</v>
      </c>
      <c r="D209" t="inlineStr">
        <is>
          <t>UPPSALA LÄN</t>
        </is>
      </c>
      <c r="E209" t="inlineStr">
        <is>
          <t>HEBY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19914-2020</t>
        </is>
      </c>
      <c r="B210" s="1" t="n">
        <v>43943</v>
      </c>
      <c r="C210" s="1" t="n">
        <v>45743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20175-2020</t>
        </is>
      </c>
      <c r="B211" s="1" t="n">
        <v>43944</v>
      </c>
      <c r="C211" s="1" t="n">
        <v>45743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20877-2020</t>
        </is>
      </c>
      <c r="B212" s="1" t="n">
        <v>43950</v>
      </c>
      <c r="C212" s="1" t="n">
        <v>45743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20928-2020</t>
        </is>
      </c>
      <c r="B213" s="1" t="n">
        <v>43950</v>
      </c>
      <c r="C213" s="1" t="n">
        <v>45743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21466-2020</t>
        </is>
      </c>
      <c r="B214" s="1" t="n">
        <v>43956</v>
      </c>
      <c r="C214" s="1" t="n">
        <v>45743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21916-2020</t>
        </is>
      </c>
      <c r="B215" s="1" t="n">
        <v>43958</v>
      </c>
      <c r="C215" s="1" t="n">
        <v>45743</v>
      </c>
      <c r="D215" t="inlineStr">
        <is>
          <t>UPPSALA LÄN</t>
        </is>
      </c>
      <c r="E215" t="inlineStr">
        <is>
          <t>HEBY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21973-2020</t>
        </is>
      </c>
      <c r="B216" s="1" t="n">
        <v>43959</v>
      </c>
      <c r="C216" s="1" t="n">
        <v>45743</v>
      </c>
      <c r="D216" t="inlineStr">
        <is>
          <t>UPPSALA LÄN</t>
        </is>
      </c>
      <c r="E216" t="inlineStr">
        <is>
          <t>HEBY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22056-2020</t>
        </is>
      </c>
      <c r="B217" s="1" t="n">
        <v>43959</v>
      </c>
      <c r="C217" s="1" t="n">
        <v>45743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22152-2020</t>
        </is>
      </c>
      <c r="B218" s="1" t="n">
        <v>43962</v>
      </c>
      <c r="C218" s="1" t="n">
        <v>45743</v>
      </c>
      <c r="D218" t="inlineStr">
        <is>
          <t>UPPSALA LÄN</t>
        </is>
      </c>
      <c r="E218" t="inlineStr">
        <is>
          <t>HEBY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22737-2020</t>
        </is>
      </c>
      <c r="B219" s="1" t="n">
        <v>43963</v>
      </c>
      <c r="C219" s="1" t="n">
        <v>45743</v>
      </c>
      <c r="D219" t="inlineStr">
        <is>
          <t>UPPSALA LÄN</t>
        </is>
      </c>
      <c r="E219" t="inlineStr">
        <is>
          <t>HEBY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25588-2020</t>
        </is>
      </c>
      <c r="B220" s="1" t="n">
        <v>43983</v>
      </c>
      <c r="C220" s="1" t="n">
        <v>45743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25544-2020</t>
        </is>
      </c>
      <c r="B221" s="1" t="n">
        <v>43983</v>
      </c>
      <c r="C221" s="1" t="n">
        <v>45743</v>
      </c>
      <c r="D221" t="inlineStr">
        <is>
          <t>UPPSALA LÄN</t>
        </is>
      </c>
      <c r="E221" t="inlineStr">
        <is>
          <t>HEBY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25687-2020</t>
        </is>
      </c>
      <c r="B222" s="1" t="n">
        <v>43984</v>
      </c>
      <c r="C222" s="1" t="n">
        <v>45743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26389-2020</t>
        </is>
      </c>
      <c r="B223" s="1" t="n">
        <v>43987</v>
      </c>
      <c r="C223" s="1" t="n">
        <v>45743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30176-2020</t>
        </is>
      </c>
      <c r="B224" s="1" t="n">
        <v>44007</v>
      </c>
      <c r="C224" s="1" t="n">
        <v>45743</v>
      </c>
      <c r="D224" t="inlineStr">
        <is>
          <t>UPPSALA LÄN</t>
        </is>
      </c>
      <c r="E224" t="inlineStr">
        <is>
          <t>HEBY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31539-2020</t>
        </is>
      </c>
      <c r="B225" s="1" t="n">
        <v>44013</v>
      </c>
      <c r="C225" s="1" t="n">
        <v>45743</v>
      </c>
      <c r="D225" t="inlineStr">
        <is>
          <t>UPPSALA LÄN</t>
        </is>
      </c>
      <c r="E225" t="inlineStr">
        <is>
          <t>HEBY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33026-2020</t>
        </is>
      </c>
      <c r="B226" s="1" t="n">
        <v>44021</v>
      </c>
      <c r="C226" s="1" t="n">
        <v>45743</v>
      </c>
      <c r="D226" t="inlineStr">
        <is>
          <t>UPPSALA LÄN</t>
        </is>
      </c>
      <c r="E226" t="inlineStr">
        <is>
          <t>HEBY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33545-2020</t>
        </is>
      </c>
      <c r="B227" s="1" t="n">
        <v>44025</v>
      </c>
      <c r="C227" s="1" t="n">
        <v>45743</v>
      </c>
      <c r="D227" t="inlineStr">
        <is>
          <t>UPPSALA LÄN</t>
        </is>
      </c>
      <c r="E227" t="inlineStr">
        <is>
          <t>HEBY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33671-2020</t>
        </is>
      </c>
      <c r="B228" s="1" t="n">
        <v>44026</v>
      </c>
      <c r="C228" s="1" t="n">
        <v>45743</v>
      </c>
      <c r="D228" t="inlineStr">
        <is>
          <t>UPPSALA LÄN</t>
        </is>
      </c>
      <c r="E228" t="inlineStr">
        <is>
          <t>HEBY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34700-2020</t>
        </is>
      </c>
      <c r="B229" s="1" t="n">
        <v>44035</v>
      </c>
      <c r="C229" s="1" t="n">
        <v>45743</v>
      </c>
      <c r="D229" t="inlineStr">
        <is>
          <t>UPPSALA LÄN</t>
        </is>
      </c>
      <c r="E229" t="inlineStr">
        <is>
          <t>HEBY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34729-2020</t>
        </is>
      </c>
      <c r="B230" s="1" t="n">
        <v>44035</v>
      </c>
      <c r="C230" s="1" t="n">
        <v>45743</v>
      </c>
      <c r="D230" t="inlineStr">
        <is>
          <t>UPPSALA LÄN</t>
        </is>
      </c>
      <c r="E230" t="inlineStr">
        <is>
          <t>HEBY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34697-2020</t>
        </is>
      </c>
      <c r="B231" s="1" t="n">
        <v>44035</v>
      </c>
      <c r="C231" s="1" t="n">
        <v>45743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36061-2020</t>
        </is>
      </c>
      <c r="B232" s="1" t="n">
        <v>44048</v>
      </c>
      <c r="C232" s="1" t="n">
        <v>45743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36075-2020</t>
        </is>
      </c>
      <c r="B233" s="1" t="n">
        <v>44048</v>
      </c>
      <c r="C233" s="1" t="n">
        <v>45743</v>
      </c>
      <c r="D233" t="inlineStr">
        <is>
          <t>UPPSALA LÄN</t>
        </is>
      </c>
      <c r="E233" t="inlineStr">
        <is>
          <t>HEBY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36939-2020</t>
        </is>
      </c>
      <c r="B234" s="1" t="n">
        <v>44053</v>
      </c>
      <c r="C234" s="1" t="n">
        <v>45743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18.2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40803-2020</t>
        </is>
      </c>
      <c r="B235" s="1" t="n">
        <v>44070</v>
      </c>
      <c r="C235" s="1" t="n">
        <v>45743</v>
      </c>
      <c r="D235" t="inlineStr">
        <is>
          <t>UPPSALA LÄN</t>
        </is>
      </c>
      <c r="E235" t="inlineStr">
        <is>
          <t>HEBY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45497-2020</t>
        </is>
      </c>
      <c r="B236" s="1" t="n">
        <v>44089</v>
      </c>
      <c r="C236" s="1" t="n">
        <v>45743</v>
      </c>
      <c r="D236" t="inlineStr">
        <is>
          <t>UPPSALA LÄN</t>
        </is>
      </c>
      <c r="E236" t="inlineStr">
        <is>
          <t>HEBY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46223-2020</t>
        </is>
      </c>
      <c r="B237" s="1" t="n">
        <v>44092</v>
      </c>
      <c r="C237" s="1" t="n">
        <v>45743</v>
      </c>
      <c r="D237" t="inlineStr">
        <is>
          <t>UPPSALA LÄN</t>
        </is>
      </c>
      <c r="E237" t="inlineStr">
        <is>
          <t>HEBY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46643-2020</t>
        </is>
      </c>
      <c r="B238" s="1" t="n">
        <v>44095</v>
      </c>
      <c r="C238" s="1" t="n">
        <v>45743</v>
      </c>
      <c r="D238" t="inlineStr">
        <is>
          <t>UPPSALA LÄN</t>
        </is>
      </c>
      <c r="E238" t="inlineStr">
        <is>
          <t>HEBY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47149-2020</t>
        </is>
      </c>
      <c r="B239" s="1" t="n">
        <v>44097</v>
      </c>
      <c r="C239" s="1" t="n">
        <v>45743</v>
      </c>
      <c r="D239" t="inlineStr">
        <is>
          <t>UPPSALA LÄN</t>
        </is>
      </c>
      <c r="E239" t="inlineStr">
        <is>
          <t>HEBY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47628-2020</t>
        </is>
      </c>
      <c r="B240" s="1" t="n">
        <v>44098</v>
      </c>
      <c r="C240" s="1" t="n">
        <v>45743</v>
      </c>
      <c r="D240" t="inlineStr">
        <is>
          <t>UPPSALA LÄN</t>
        </is>
      </c>
      <c r="E240" t="inlineStr">
        <is>
          <t>HEBY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48181-2020</t>
        </is>
      </c>
      <c r="B241" s="1" t="n">
        <v>44102</v>
      </c>
      <c r="C241" s="1" t="n">
        <v>45743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48548-2020</t>
        </is>
      </c>
      <c r="B242" s="1" t="n">
        <v>44103</v>
      </c>
      <c r="C242" s="1" t="n">
        <v>45743</v>
      </c>
      <c r="D242" t="inlineStr">
        <is>
          <t>UPPSALA LÄN</t>
        </is>
      </c>
      <c r="E242" t="inlineStr">
        <is>
          <t>HEBY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50589-2020</t>
        </is>
      </c>
      <c r="B243" s="1" t="n">
        <v>44110</v>
      </c>
      <c r="C243" s="1" t="n">
        <v>45743</v>
      </c>
      <c r="D243" t="inlineStr">
        <is>
          <t>UPPSALA LÄN</t>
        </is>
      </c>
      <c r="E243" t="inlineStr">
        <is>
          <t>HEBY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51943-2020</t>
        </is>
      </c>
      <c r="B244" s="1" t="n">
        <v>44110</v>
      </c>
      <c r="C244" s="1" t="n">
        <v>45743</v>
      </c>
      <c r="D244" t="inlineStr">
        <is>
          <t>UPPSALA LÄN</t>
        </is>
      </c>
      <c r="E244" t="inlineStr">
        <is>
          <t>HEBY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52182-2020</t>
        </is>
      </c>
      <c r="B245" s="1" t="n">
        <v>44117</v>
      </c>
      <c r="C245" s="1" t="n">
        <v>45743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52243-2020</t>
        </is>
      </c>
      <c r="B246" s="1" t="n">
        <v>44117</v>
      </c>
      <c r="C246" s="1" t="n">
        <v>45743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54698-2020</t>
        </is>
      </c>
      <c r="B247" s="1" t="n">
        <v>44127</v>
      </c>
      <c r="C247" s="1" t="n">
        <v>45743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56317-2020</t>
        </is>
      </c>
      <c r="B248" s="1" t="n">
        <v>44134</v>
      </c>
      <c r="C248" s="1" t="n">
        <v>45743</v>
      </c>
      <c r="D248" t="inlineStr">
        <is>
          <t>UPPSALA LÄN</t>
        </is>
      </c>
      <c r="E248" t="inlineStr">
        <is>
          <t>HEBY</t>
        </is>
      </c>
      <c r="G248" t="n">
        <v>23.4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58080-2020</t>
        </is>
      </c>
      <c r="B249" s="1" t="n">
        <v>44144</v>
      </c>
      <c r="C249" s="1" t="n">
        <v>45743</v>
      </c>
      <c r="D249" t="inlineStr">
        <is>
          <t>UPPSALA LÄN</t>
        </is>
      </c>
      <c r="E249" t="inlineStr">
        <is>
          <t>HEBY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59764-2020</t>
        </is>
      </c>
      <c r="B250" s="1" t="n">
        <v>44151</v>
      </c>
      <c r="C250" s="1" t="n">
        <v>45743</v>
      </c>
      <c r="D250" t="inlineStr">
        <is>
          <t>UPPSALA LÄN</t>
        </is>
      </c>
      <c r="E250" t="inlineStr">
        <is>
          <t>HEBY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61616-2020</t>
        </is>
      </c>
      <c r="B251" s="1" t="n">
        <v>44158</v>
      </c>
      <c r="C251" s="1" t="n">
        <v>45743</v>
      </c>
      <c r="D251" t="inlineStr">
        <is>
          <t>UPPSALA LÄN</t>
        </is>
      </c>
      <c r="E251" t="inlineStr">
        <is>
          <t>HEBY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62330-2020</t>
        </is>
      </c>
      <c r="B252" s="1" t="n">
        <v>44160</v>
      </c>
      <c r="C252" s="1" t="n">
        <v>45743</v>
      </c>
      <c r="D252" t="inlineStr">
        <is>
          <t>UPPSALA LÄN</t>
        </is>
      </c>
      <c r="E252" t="inlineStr">
        <is>
          <t>HEBY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62765-2020</t>
        </is>
      </c>
      <c r="B253" s="1" t="n">
        <v>44161</v>
      </c>
      <c r="C253" s="1" t="n">
        <v>45743</v>
      </c>
      <c r="D253" t="inlineStr">
        <is>
          <t>UPPSALA LÄN</t>
        </is>
      </c>
      <c r="E253" t="inlineStr">
        <is>
          <t>HEBY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69076-2020</t>
        </is>
      </c>
      <c r="B254" s="1" t="n">
        <v>44188</v>
      </c>
      <c r="C254" s="1" t="n">
        <v>45743</v>
      </c>
      <c r="D254" t="inlineStr">
        <is>
          <t>UPPSALA LÄN</t>
        </is>
      </c>
      <c r="E254" t="inlineStr">
        <is>
          <t>HEBY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69468-2020</t>
        </is>
      </c>
      <c r="B255" s="1" t="n">
        <v>44193</v>
      </c>
      <c r="C255" s="1" t="n">
        <v>45743</v>
      </c>
      <c r="D255" t="inlineStr">
        <is>
          <t>UPPSALA LÄN</t>
        </is>
      </c>
      <c r="E255" t="inlineStr">
        <is>
          <t>HEBY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798-2021</t>
        </is>
      </c>
      <c r="B256" s="1" t="n">
        <v>44204</v>
      </c>
      <c r="C256" s="1" t="n">
        <v>45743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4821-2021</t>
        </is>
      </c>
      <c r="B257" s="1" t="n">
        <v>44225</v>
      </c>
      <c r="C257" s="1" t="n">
        <v>45743</v>
      </c>
      <c r="D257" t="inlineStr">
        <is>
          <t>UPPSALA LÄN</t>
        </is>
      </c>
      <c r="E257" t="inlineStr">
        <is>
          <t>HEBY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5117-2021</t>
        </is>
      </c>
      <c r="B258" s="1" t="n">
        <v>44228</v>
      </c>
      <c r="C258" s="1" t="n">
        <v>45743</v>
      </c>
      <c r="D258" t="inlineStr">
        <is>
          <t>UPPSALA LÄN</t>
        </is>
      </c>
      <c r="E258" t="inlineStr">
        <is>
          <t>HEBY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5875-2021</t>
        </is>
      </c>
      <c r="B259" s="1" t="n">
        <v>44231</v>
      </c>
      <c r="C259" s="1" t="n">
        <v>45743</v>
      </c>
      <c r="D259" t="inlineStr">
        <is>
          <t>UPPSALA LÄN</t>
        </is>
      </c>
      <c r="E259" t="inlineStr">
        <is>
          <t>HEBY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6142-2021</t>
        </is>
      </c>
      <c r="B260" s="1" t="n">
        <v>44232</v>
      </c>
      <c r="C260" s="1" t="n">
        <v>45743</v>
      </c>
      <c r="D260" t="inlineStr">
        <is>
          <t>UPPSALA LÄN</t>
        </is>
      </c>
      <c r="E260" t="inlineStr">
        <is>
          <t>HEBY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6151-2021</t>
        </is>
      </c>
      <c r="B261" s="1" t="n">
        <v>44232</v>
      </c>
      <c r="C261" s="1" t="n">
        <v>45743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6186-2021</t>
        </is>
      </c>
      <c r="B262" s="1" t="n">
        <v>44233</v>
      </c>
      <c r="C262" s="1" t="n">
        <v>45743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6618-2021</t>
        </is>
      </c>
      <c r="B263" s="1" t="n">
        <v>44235</v>
      </c>
      <c r="C263" s="1" t="n">
        <v>45743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7165-2021</t>
        </is>
      </c>
      <c r="B264" s="1" t="n">
        <v>44238</v>
      </c>
      <c r="C264" s="1" t="n">
        <v>45743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7195-2021</t>
        </is>
      </c>
      <c r="B265" s="1" t="n">
        <v>44238</v>
      </c>
      <c r="C265" s="1" t="n">
        <v>45743</v>
      </c>
      <c r="D265" t="inlineStr">
        <is>
          <t>UPPSALA LÄN</t>
        </is>
      </c>
      <c r="E265" t="inlineStr">
        <is>
          <t>HEBY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7282-2021</t>
        </is>
      </c>
      <c r="B266" s="1" t="n">
        <v>44238</v>
      </c>
      <c r="C266" s="1" t="n">
        <v>45743</v>
      </c>
      <c r="D266" t="inlineStr">
        <is>
          <t>UPPSALA LÄN</t>
        </is>
      </c>
      <c r="E266" t="inlineStr">
        <is>
          <t>HEBY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7803-2021</t>
        </is>
      </c>
      <c r="B267" s="1" t="n">
        <v>44242</v>
      </c>
      <c r="C267" s="1" t="n">
        <v>45743</v>
      </c>
      <c r="D267" t="inlineStr">
        <is>
          <t>UPPSALA LÄN</t>
        </is>
      </c>
      <c r="E267" t="inlineStr">
        <is>
          <t>HEBY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9010-2021</t>
        </is>
      </c>
      <c r="B268" s="1" t="n">
        <v>44249</v>
      </c>
      <c r="C268" s="1" t="n">
        <v>45743</v>
      </c>
      <c r="D268" t="inlineStr">
        <is>
          <t>UPPSALA LÄN</t>
        </is>
      </c>
      <c r="E268" t="inlineStr">
        <is>
          <t>HEBY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9230-2021</t>
        </is>
      </c>
      <c r="B269" s="1" t="n">
        <v>44250</v>
      </c>
      <c r="C269" s="1" t="n">
        <v>45743</v>
      </c>
      <c r="D269" t="inlineStr">
        <is>
          <t>UPPSALA LÄN</t>
        </is>
      </c>
      <c r="E269" t="inlineStr">
        <is>
          <t>HEBY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10734-2021</t>
        </is>
      </c>
      <c r="B270" s="1" t="n">
        <v>44259</v>
      </c>
      <c r="C270" s="1" t="n">
        <v>45743</v>
      </c>
      <c r="D270" t="inlineStr">
        <is>
          <t>UPPSALA LÄN</t>
        </is>
      </c>
      <c r="E270" t="inlineStr">
        <is>
          <t>HEBY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11090-2021</t>
        </is>
      </c>
      <c r="B271" s="1" t="n">
        <v>44260</v>
      </c>
      <c r="C271" s="1" t="n">
        <v>45743</v>
      </c>
      <c r="D271" t="inlineStr">
        <is>
          <t>UPPSALA LÄN</t>
        </is>
      </c>
      <c r="E271" t="inlineStr">
        <is>
          <t>HEBY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11314-2021</t>
        </is>
      </c>
      <c r="B272" s="1" t="n">
        <v>44263</v>
      </c>
      <c r="C272" s="1" t="n">
        <v>45743</v>
      </c>
      <c r="D272" t="inlineStr">
        <is>
          <t>UPPSALA LÄN</t>
        </is>
      </c>
      <c r="E272" t="inlineStr">
        <is>
          <t>HEBY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11675-2021</t>
        </is>
      </c>
      <c r="B273" s="1" t="n">
        <v>44264</v>
      </c>
      <c r="C273" s="1" t="n">
        <v>45743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13126-2021</t>
        </is>
      </c>
      <c r="B274" s="1" t="n">
        <v>44272</v>
      </c>
      <c r="C274" s="1" t="n">
        <v>45743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13098-2021</t>
        </is>
      </c>
      <c r="B275" s="1" t="n">
        <v>44272</v>
      </c>
      <c r="C275" s="1" t="n">
        <v>45743</v>
      </c>
      <c r="D275" t="inlineStr">
        <is>
          <t>UPPSALA LÄN</t>
        </is>
      </c>
      <c r="E275" t="inlineStr">
        <is>
          <t>HEBY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13131-2021</t>
        </is>
      </c>
      <c r="B276" s="1" t="n">
        <v>44272</v>
      </c>
      <c r="C276" s="1" t="n">
        <v>45743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13046-2021</t>
        </is>
      </c>
      <c r="B277" s="1" t="n">
        <v>44272</v>
      </c>
      <c r="C277" s="1" t="n">
        <v>45743</v>
      </c>
      <c r="D277" t="inlineStr">
        <is>
          <t>UPPSALA LÄN</t>
        </is>
      </c>
      <c r="E277" t="inlineStr">
        <is>
          <t>HEBY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14306-2021</t>
        </is>
      </c>
      <c r="B278" s="1" t="n">
        <v>44278</v>
      </c>
      <c r="C278" s="1" t="n">
        <v>45743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14386-2021</t>
        </is>
      </c>
      <c r="B279" s="1" t="n">
        <v>44279</v>
      </c>
      <c r="C279" s="1" t="n">
        <v>45743</v>
      </c>
      <c r="D279" t="inlineStr">
        <is>
          <t>UPPSALA LÄN</t>
        </is>
      </c>
      <c r="E279" t="inlineStr">
        <is>
          <t>HEBY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14843-2021</t>
        </is>
      </c>
      <c r="B280" s="1" t="n">
        <v>44280</v>
      </c>
      <c r="C280" s="1" t="n">
        <v>45743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15481-2021</t>
        </is>
      </c>
      <c r="B281" s="1" t="n">
        <v>44285</v>
      </c>
      <c r="C281" s="1" t="n">
        <v>45743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15485-2021</t>
        </is>
      </c>
      <c r="B282" s="1" t="n">
        <v>44285</v>
      </c>
      <c r="C282" s="1" t="n">
        <v>45743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16043-2021</t>
        </is>
      </c>
      <c r="B283" s="1" t="n">
        <v>44287</v>
      </c>
      <c r="C283" s="1" t="n">
        <v>45743</v>
      </c>
      <c r="D283" t="inlineStr">
        <is>
          <t>UPPSALA LÄN</t>
        </is>
      </c>
      <c r="E283" t="inlineStr">
        <is>
          <t>HEBY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16463-2021</t>
        </is>
      </c>
      <c r="B284" s="1" t="n">
        <v>44292</v>
      </c>
      <c r="C284" s="1" t="n">
        <v>45743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16494-2021</t>
        </is>
      </c>
      <c r="B285" s="1" t="n">
        <v>44293</v>
      </c>
      <c r="C285" s="1" t="n">
        <v>45743</v>
      </c>
      <c r="D285" t="inlineStr">
        <is>
          <t>UPPSALA LÄN</t>
        </is>
      </c>
      <c r="E285" t="inlineStr">
        <is>
          <t>HEBY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17580-2021</t>
        </is>
      </c>
      <c r="B286" s="1" t="n">
        <v>44299</v>
      </c>
      <c r="C286" s="1" t="n">
        <v>45743</v>
      </c>
      <c r="D286" t="inlineStr">
        <is>
          <t>UPPSALA LÄN</t>
        </is>
      </c>
      <c r="E286" t="inlineStr">
        <is>
          <t>HEBY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17747-2021</t>
        </is>
      </c>
      <c r="B287" s="1" t="n">
        <v>44300</v>
      </c>
      <c r="C287" s="1" t="n">
        <v>45743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18982-2021</t>
        </is>
      </c>
      <c r="B288" s="1" t="n">
        <v>44308</v>
      </c>
      <c r="C288" s="1" t="n">
        <v>45743</v>
      </c>
      <c r="D288" t="inlineStr">
        <is>
          <t>UPPSALA LÄN</t>
        </is>
      </c>
      <c r="E288" t="inlineStr">
        <is>
          <t>HEBY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19268-2021</t>
        </is>
      </c>
      <c r="B289" s="1" t="n">
        <v>44309</v>
      </c>
      <c r="C289" s="1" t="n">
        <v>45743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20024-2021</t>
        </is>
      </c>
      <c r="B290" s="1" t="n">
        <v>44314</v>
      </c>
      <c r="C290" s="1" t="n">
        <v>45743</v>
      </c>
      <c r="D290" t="inlineStr">
        <is>
          <t>UPPSALA LÄN</t>
        </is>
      </c>
      <c r="E290" t="inlineStr">
        <is>
          <t>HEBY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20230-2021</t>
        </is>
      </c>
      <c r="B291" s="1" t="n">
        <v>44314</v>
      </c>
      <c r="C291" s="1" t="n">
        <v>45743</v>
      </c>
      <c r="D291" t="inlineStr">
        <is>
          <t>UPPSALA LÄN</t>
        </is>
      </c>
      <c r="E291" t="inlineStr">
        <is>
          <t>HEBY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20301-2021</t>
        </is>
      </c>
      <c r="B292" s="1" t="n">
        <v>44315</v>
      </c>
      <c r="C292" s="1" t="n">
        <v>45743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23637-2021</t>
        </is>
      </c>
      <c r="B293" s="1" t="n">
        <v>44334</v>
      </c>
      <c r="C293" s="1" t="n">
        <v>45743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25203-2021</t>
        </is>
      </c>
      <c r="B294" s="1" t="n">
        <v>44342</v>
      </c>
      <c r="C294" s="1" t="n">
        <v>45743</v>
      </c>
      <c r="D294" t="inlineStr">
        <is>
          <t>UPPSALA LÄN</t>
        </is>
      </c>
      <c r="E294" t="inlineStr">
        <is>
          <t>HEBY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26789-2021</t>
        </is>
      </c>
      <c r="B295" s="1" t="n">
        <v>44349</v>
      </c>
      <c r="C295" s="1" t="n">
        <v>45743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27295-2021</t>
        </is>
      </c>
      <c r="B296" s="1" t="n">
        <v>44351</v>
      </c>
      <c r="C296" s="1" t="n">
        <v>45743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27650-2021</t>
        </is>
      </c>
      <c r="B297" s="1" t="n">
        <v>44354</v>
      </c>
      <c r="C297" s="1" t="n">
        <v>45743</v>
      </c>
      <c r="D297" t="inlineStr">
        <is>
          <t>UPPSALA LÄN</t>
        </is>
      </c>
      <c r="E297" t="inlineStr">
        <is>
          <t>HEBY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28777-2021</t>
        </is>
      </c>
      <c r="B298" s="1" t="n">
        <v>44357</v>
      </c>
      <c r="C298" s="1" t="n">
        <v>45743</v>
      </c>
      <c r="D298" t="inlineStr">
        <is>
          <t>UPPSALA LÄN</t>
        </is>
      </c>
      <c r="E298" t="inlineStr">
        <is>
          <t>HEBY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29231-2021</t>
        </is>
      </c>
      <c r="B299" s="1" t="n">
        <v>44360</v>
      </c>
      <c r="C299" s="1" t="n">
        <v>45743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29777-2021</t>
        </is>
      </c>
      <c r="B300" s="1" t="n">
        <v>44362</v>
      </c>
      <c r="C300" s="1" t="n">
        <v>45743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30304-2021</t>
        </is>
      </c>
      <c r="B301" s="1" t="n">
        <v>44364</v>
      </c>
      <c r="C301" s="1" t="n">
        <v>45743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30297-2021</t>
        </is>
      </c>
      <c r="B302" s="1" t="n">
        <v>44364</v>
      </c>
      <c r="C302" s="1" t="n">
        <v>45743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30293-2021</t>
        </is>
      </c>
      <c r="B303" s="1" t="n">
        <v>44364</v>
      </c>
      <c r="C303" s="1" t="n">
        <v>45743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31108-2021</t>
        </is>
      </c>
      <c r="B304" s="1" t="n">
        <v>44368</v>
      </c>
      <c r="C304" s="1" t="n">
        <v>45743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öst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31113-2021</t>
        </is>
      </c>
      <c r="B305" s="1" t="n">
        <v>44368</v>
      </c>
      <c r="C305" s="1" t="n">
        <v>45743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31283-2021</t>
        </is>
      </c>
      <c r="B306" s="1" t="n">
        <v>44368</v>
      </c>
      <c r="C306" s="1" t="n">
        <v>45743</v>
      </c>
      <c r="D306" t="inlineStr">
        <is>
          <t>UPPSALA LÄN</t>
        </is>
      </c>
      <c r="E306" t="inlineStr">
        <is>
          <t>HEBY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45743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45743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45743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45743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45743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45743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45743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45743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45743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45743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45743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45743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45743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45743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45743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45743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45743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45743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45743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45743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45743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45743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45743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45743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45743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45743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45743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45743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45743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45743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45743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45743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45743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45743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45743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45743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45743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45743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45743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45743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45743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45743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45743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45743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45743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45743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45743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45743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45743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45743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45743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45743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45743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45743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45743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45743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45743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45743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45743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45743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45743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45743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45743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45743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45743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45743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45743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45743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45743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45743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45743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45743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45743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45743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45743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45743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45743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45743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45743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45743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45743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45743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45743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45743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45743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45743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45743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45743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45743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45743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45743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45743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45743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45743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45743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45743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45743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45743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45743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45743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45743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45743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45743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45743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45743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45743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45743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45743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45743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45743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45743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45743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45743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45743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45743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45743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45743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45743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45743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45743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45743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45743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45743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45743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45743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45743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45743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45743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45743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45743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45743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45743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45743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45743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45743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45743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45743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45743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45743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45743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45743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45743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45743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45743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45743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45743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45743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45743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45743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45743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45743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45743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45743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45743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45743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45743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45743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45743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45743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45743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45743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45743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45743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45743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45743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45743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45743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45743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45743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45743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45743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45743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45743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45743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45743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45743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45743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45743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45743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45743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45743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45743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45743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45743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45743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45743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45743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45743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45743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45743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45743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45743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45743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45743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45743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45743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45743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45743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45743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45743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45743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45743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45743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45743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45743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45743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45743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45743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45743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45743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45743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45743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45743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45743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45743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45743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45743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45743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45743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45743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45743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45743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45743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45743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45743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45743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45743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45743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45743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45743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45743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45743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45743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45743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45743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45743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45743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45743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45743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45743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45743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45743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45743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45743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45743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45743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45743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45743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45743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45743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45743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45743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45743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45743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45743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45743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45743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45743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45743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45743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45743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45743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45743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45743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45743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45743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45743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45743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45743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45743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45743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45743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45743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45743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45743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45743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45743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45743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45743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45743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45743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45743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45743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45743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45743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45743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45743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45743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45743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45743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45743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45743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45743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45743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45743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45743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45743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45743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45743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45743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45743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45743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45743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45743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45743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45743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45743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45743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45743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45743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45743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45743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45743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45743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45743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45743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45743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45743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45743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45743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45743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45743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45743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45743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45743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45743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45743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45743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45743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45743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45743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45743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45743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45743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45743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45743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45743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45743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45743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45743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45743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45743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45743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45743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45743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45743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45743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45743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45743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45743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45743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45743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45743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45743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45743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45743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45743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45743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45743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45743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45743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45743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45743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45743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45743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45743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45743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45743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45743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45743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45743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45743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45743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45743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45743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45743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45743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45743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45743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45743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45743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45743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45743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45743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45743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45743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45743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45743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45743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45743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45743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45743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45743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45743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45743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45743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45743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45743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45743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45743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45743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45743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45743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45743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45743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45743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45743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45743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45743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45743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45743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45743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45743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45743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45743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45743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45743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45743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45743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45743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45743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45743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45743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45743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45743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45743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45743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45743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45743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45743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45743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45743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45743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45743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45743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45743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45743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45743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45743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45743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45743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45743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45743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45743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45743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45743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45743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45743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45743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45743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45743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45743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45743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45743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45743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45743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45743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45743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45743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45743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45743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45743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45743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45743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45743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45743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45743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45743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45743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45743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45743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45743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45743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45743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45743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45743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45743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45743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45743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45743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45743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45743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45743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45743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45743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45743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45743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45743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45743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45743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45743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45743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45743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45743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45743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45743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45743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45743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45743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45743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45743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45743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45743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45743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45743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45743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45743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45743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45743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45743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45743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45743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45743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45743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45743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45743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45743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45743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45743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45743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45743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45743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45743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45743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45743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45743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45743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45743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45743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45743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45743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45743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45743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45743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45743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45743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45743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45743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45743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45743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45743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45743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45743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45743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45743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45743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45743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45743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45743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45743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45743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45743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45743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45743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45743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45743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45743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45743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45743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45743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45743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45743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45743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45743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45743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45743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45743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45743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45743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45743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45743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45743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45743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45743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45743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45743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45743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45743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45743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45743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45743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45743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45743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45743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45743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45743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45743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45743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45743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45743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45743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45743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45743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45743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45743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45743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45743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45743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45743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45743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45743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45743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45743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45743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45743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45743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45743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45743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45743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45743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45743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45743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45743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45743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45743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45743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45743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45743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45743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45743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45743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45743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45743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45743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45743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45743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45743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45743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45743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45743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45743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45743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45743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45743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45743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45743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45743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45743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45743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45743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45743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45743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45743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45743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45743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45743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45743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45743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45743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45743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45743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45743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45743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45743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45743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45743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45743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45743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45743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45743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45743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45743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45743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45743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45743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45743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45743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45743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45743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45743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45743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45743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45743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45743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45743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45743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45743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45743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45743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45743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45743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45743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45743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45743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45743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45743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45743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45743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45743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45743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45743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45743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45743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45743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45743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45743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45743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45743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45743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45743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45743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45743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45743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45743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45743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45743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45743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45743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45743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45743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45743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45743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45743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45743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45743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45743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45743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45743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45743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45743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45743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45743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45743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45743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45743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45743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45743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45743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45743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45743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45743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45743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45743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45743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45743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45743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45743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45743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45743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45743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45743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45743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45743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45743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45743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45743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45743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45743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45743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45743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45743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45743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45743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45743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45743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45743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45743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45743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45743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45743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45743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45743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45743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45743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45743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45743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45743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45743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45743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45743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45743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45743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45743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45743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45743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45743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45743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45743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45743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45743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45743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45743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45743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45743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45743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45743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45743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45743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45743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45743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45743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45743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45743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45743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45743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45743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45743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45743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45743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45743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45743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45743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45743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45743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45743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45743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45743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45743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45743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45743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45743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11074-2025</t>
        </is>
      </c>
      <c r="B1118" s="1" t="n">
        <v>45723</v>
      </c>
      <c r="C1118" s="1" t="n">
        <v>45743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11060-2025</t>
        </is>
      </c>
      <c r="B1119" s="1" t="n">
        <v>45723</v>
      </c>
      <c r="C1119" s="1" t="n">
        <v>45743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11009-2025</t>
        </is>
      </c>
      <c r="B1120" s="1" t="n">
        <v>45723</v>
      </c>
      <c r="C1120" s="1" t="n">
        <v>45743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45743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45743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45743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45743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45743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45743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45743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13535-2025</t>
        </is>
      </c>
      <c r="B1128" s="1" t="n">
        <v>45736</v>
      </c>
      <c r="C1128" s="1" t="n">
        <v>45743</v>
      </c>
      <c r="D1128" t="inlineStr">
        <is>
          <t>UPPSALA LÄN</t>
        </is>
      </c>
      <c r="E1128" t="inlineStr">
        <is>
          <t>HEBY</t>
        </is>
      </c>
      <c r="G1128" t="n">
        <v>15.5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13463-2025</t>
        </is>
      </c>
      <c r="B1129" s="1" t="n">
        <v>45736</v>
      </c>
      <c r="C1129" s="1" t="n">
        <v>45743</v>
      </c>
      <c r="D1129" t="inlineStr">
        <is>
          <t>UPPSALA LÄN</t>
        </is>
      </c>
      <c r="E1129" t="inlineStr">
        <is>
          <t>HEBY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13893-2025</t>
        </is>
      </c>
      <c r="B1130" s="1" t="n">
        <v>45737</v>
      </c>
      <c r="C1130" s="1" t="n">
        <v>45743</v>
      </c>
      <c r="D1130" t="inlineStr">
        <is>
          <t>UPPSALA LÄN</t>
        </is>
      </c>
      <c r="E1130" t="inlineStr">
        <is>
          <t>HEBY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13900-2025</t>
        </is>
      </c>
      <c r="B1131" s="1" t="n">
        <v>45737</v>
      </c>
      <c r="C1131" s="1" t="n">
        <v>45743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45743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14262-2025</t>
        </is>
      </c>
      <c r="B1133" s="1" t="n">
        <v>45740</v>
      </c>
      <c r="C1133" s="1" t="n">
        <v>45743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2025-03-27T18:16:33Z</dcterms:created>
  <dcterms:modified xmlns:dcterms="http://purl.org/dc/terms/" xmlns:xsi="http://www.w3.org/2001/XMLSchema-instance" xsi:type="dcterms:W3CDTF">2025-03-27T18:16:34Z</dcterms:modified>
</cp:coreProperties>
</file>
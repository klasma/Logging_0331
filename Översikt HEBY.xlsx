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46322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46322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46322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46322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46322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46322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46322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46322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46322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46322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46322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46322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46322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46322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46322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46322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46322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46322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46322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46322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46322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46322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46322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46322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32785-2023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46322</v>
      </c>
      <c r="F27" t="inlineStr">
        <is>
          <t>UPPSALA LÄN</t>
        </is>
      </c>
      <c r="G27" t="inlineStr">
        <is>
          <t>HEBY</t>
        </is>
      </c>
      <c r="I27" t="n">
        <v>3.1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5</v>
      </c>
      <c r="U27" t="n">
        <v>3</v>
      </c>
      <c r="V27" s="2" t="inlineStr">
        <is>
          <t>Garnlav
Talltita
Spillkråka
Huggorm</t>
        </is>
      </c>
      <c r="W27">
        <f>HYPERLINK("https://klasma.github.io/Logging_0331/artfynd/A 32785-2023 artfynd.xlsx", "A 32785-2023")</f>
        <v/>
      </c>
      <c r="X27">
        <f>HYPERLINK("https://klasma.github.io/Logging_0331/kartor/A 32785-2023 karta.png", "A 32785-2023")</f>
        <v/>
      </c>
      <c r="Y27">
        <f>HYPERLINK("https://klasma.github.io/Logging_0331/kartor_geotiff/A 32785-2023 georefererad karta.tif", "A 32785-2023")</f>
        <v/>
      </c>
      <c r="AA27">
        <f>HYPERLINK("https://klasma.github.io/Logging_0331/klagomål/A 32785-2023 FSC-klagomål.docx", "A 32785-2023")</f>
        <v/>
      </c>
      <c r="AB27">
        <f>HYPERLINK("https://klasma.github.io/Logging_0331/klagomålsmail/A 32785-2023 FSC-klagomål mail.docx", "A 32785-2023")</f>
        <v/>
      </c>
      <c r="AC27">
        <f>HYPERLINK("https://klasma.github.io/Logging_0331/tillsyn/A 32785-2023 tillsynsbegäran.docx", "A 32785-2023")</f>
        <v/>
      </c>
      <c r="AD27">
        <f>HYPERLINK("https://klasma.github.io/Logging_0331/tillsynsmail/A 32785-2023 tillsynsbegäran mail.docx", "A 32785-2023")</f>
        <v/>
      </c>
      <c r="AE27">
        <f>HYPERLINK("https://klasma.github.io/Logging_0331/fåglar/A 32785-2023 prioriterade fågelarter.docx", "A 32785-2023")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46322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14774-2023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45014</v>
      </c>
      <c r="E29" s="1" t="n">
        <v>46322</v>
      </c>
      <c r="F29" t="inlineStr">
        <is>
          <t>UPPSALA LÄN</t>
        </is>
      </c>
      <c r="G29" t="inlineStr">
        <is>
          <t>HEBY</t>
        </is>
      </c>
      <c r="I29" t="n">
        <v>5.1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8</v>
      </c>
      <c r="U29" t="n">
        <v>0</v>
      </c>
      <c r="V29" s="2" t="inlineStr">
        <is>
          <t>Vårärt
Grön sköldmossa
Stubbspretmossa
Blåsippa</t>
        </is>
      </c>
      <c r="W29">
        <f>HYPERLINK("https://klasma.github.io/Logging_0331/artfynd/A 14774-2023 artfynd.xlsx", "A 14774-2023")</f>
        <v/>
      </c>
      <c r="X29">
        <f>HYPERLINK("https://klasma.github.io/Logging_0331/kartor/A 14774-2023 karta.png", "A 14774-2023")</f>
        <v/>
      </c>
      <c r="Y29">
        <f>HYPERLINK("https://klasma.github.io/Logging_0331/kartor_geotiff/A 14774-2023 georefererad karta.tif", "A 14774-2023")</f>
        <v/>
      </c>
      <c r="AA29">
        <f>HYPERLINK("https://klasma.github.io/Logging_0331/klagomål/A 14774-2023 FSC-klagomål.docx", "A 14774-2023")</f>
        <v/>
      </c>
      <c r="AB29">
        <f>HYPERLINK("https://klasma.github.io/Logging_0331/klagomålsmail/A 14774-2023 FSC-klagomål mail.docx", "A 14774-2023")</f>
        <v/>
      </c>
      <c r="AC29">
        <f>HYPERLINK("https://klasma.github.io/Logging_0331/tillsyn/A 14774-2023 tillsynsbegäran.docx", "A 14774-2023")</f>
        <v/>
      </c>
      <c r="AD29">
        <f>HYPERLINK("https://klasma.github.io/Logging_0331/tillsynsmail/A 14774-2023 tillsynsbegäran mail.docx", "A 14774-2023")</f>
        <v/>
      </c>
    </row>
    <row r="30" ht="15" customHeight="1">
      <c r="A30" t="inlineStr">
        <is>
          <t>A 44525-2022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46322</v>
      </c>
      <c r="F30" t="inlineStr">
        <is>
          <t>UPPSALA LÄN</t>
        </is>
      </c>
      <c r="G30" t="inlineStr">
        <is>
          <t>HEBY</t>
        </is>
      </c>
      <c r="I30" t="n">
        <v>1.8</v>
      </c>
      <c r="J30" t="n">
        <v>1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Knärot
Bronshjon
Thomsons trägnagare
Vedticka</t>
        </is>
      </c>
      <c r="W30">
        <f>HYPERLINK("https://klasma.github.io/Logging_0331/artfynd/A 44525-2022 artfynd.xlsx", "A 44525-2022")</f>
        <v/>
      </c>
      <c r="X30">
        <f>HYPERLINK("https://klasma.github.io/Logging_0331/kartor/A 44525-2022 karta.png", "A 44525-2022")</f>
        <v/>
      </c>
      <c r="Y30">
        <f>HYPERLINK("https://klasma.github.io/Logging_0331/kartor_geotiff/A 44525-2022 georefererad karta.tif", "A 44525-2022")</f>
        <v/>
      </c>
      <c r="Z30">
        <f>HYPERLINK("https://klasma.github.io/Logging_0331/knärot/A 44525-2022 karta knärot.png", "A 44525-2022")</f>
        <v/>
      </c>
      <c r="AA30">
        <f>HYPERLINK("https://klasma.github.io/Logging_0331/klagomål/A 44525-2022 FSC-klagomål.docx", "A 44525-2022")</f>
        <v/>
      </c>
      <c r="AB30">
        <f>HYPERLINK("https://klasma.github.io/Logging_0331/klagomålsmail/A 44525-2022 FSC-klagomål mail.docx", "A 44525-2022")</f>
        <v/>
      </c>
      <c r="AC30">
        <f>HYPERLINK("https://klasma.github.io/Logging_0331/tillsyn/A 44525-2022 tillsynsbegäran.docx", "A 44525-2022")</f>
        <v/>
      </c>
      <c r="AD30">
        <f>HYPERLINK("https://klasma.github.io/Logging_0331/tillsynsmail/A 44525-2022 tillsynsbegäran mail.docx", "A 44525-2022")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46322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46322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46322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46322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46322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46322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46322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46322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A 23609-2026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46322</v>
      </c>
      <c r="F39" t="inlineStr">
        <is>
          <t>UPPSALA LÄN</t>
        </is>
      </c>
      <c r="G39" t="inlineStr">
        <is>
          <t>HEBY</t>
        </is>
      </c>
      <c r="I39" t="n">
        <v>12.7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Rynkskinn
Grönpyrola
Mattlummer</t>
        </is>
      </c>
      <c r="W39">
        <f>HYPERLINK("https://klasma.github.io/Logging_0331/artfynd/A 23609-2026 artfynd.xlsx", "A 23609-2026")</f>
        <v/>
      </c>
      <c r="X39">
        <f>HYPERLINK("https://klasma.github.io/Logging_0331/kartor/A 23609-2026 karta.png", "A 23609-2026")</f>
        <v/>
      </c>
      <c r="Y39">
        <f>HYPERLINK("https://klasma.github.io/Logging_0331/kartor_geotiff/A 23609-2026 georefererad karta.tif", "A 23609-2026")</f>
        <v/>
      </c>
      <c r="AA39">
        <f>HYPERLINK("https://klasma.github.io/Logging_0331/klagomål/A 23609-2026 FSC-klagomål.docx", "A 23609-2026")</f>
        <v/>
      </c>
      <c r="AB39">
        <f>HYPERLINK("https://klasma.github.io/Logging_0331/klagomålsmail/A 23609-2026 FSC-klagomål mail.docx", "A 23609-2026")</f>
        <v/>
      </c>
      <c r="AC39">
        <f>HYPERLINK("https://klasma.github.io/Logging_0331/tillsyn/A 23609-2026 tillsynsbegäran.docx", "A 23609-2026")</f>
        <v/>
      </c>
      <c r="AD39">
        <f>HYPERLINK("https://klasma.github.io/Logging_0331/tillsynsmail/A 23609-2026 tillsynsbegäran mail.docx", "A 23609-2026")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46322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46322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46322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46322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46322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17972-2024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46322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9.699999999999999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2</v>
      </c>
      <c r="V45" s="2" t="inlineStr">
        <is>
          <t>Spädstarr
Repestarr</t>
        </is>
      </c>
      <c r="W45">
        <f>HYPERLINK("https://klasma.github.io/Logging_0331/artfynd/A 17972-2024 artfynd.xlsx", "A 17972-2024")</f>
        <v/>
      </c>
      <c r="X45">
        <f>HYPERLINK("https://klasma.github.io/Logging_0331/kartor/A 17972-2024 karta.png", "A 17972-2024")</f>
        <v/>
      </c>
      <c r="Y45">
        <f>HYPERLINK("https://klasma.github.io/Logging_0331/kartor_geotiff/A 17972-2024 georefererad karta.tif", "A 17972-2024")</f>
        <v/>
      </c>
      <c r="AA45">
        <f>HYPERLINK("https://klasma.github.io/Logging_0331/klagomål/A 17972-2024 FSC-klagomål.docx", "A 17972-2024")</f>
        <v/>
      </c>
      <c r="AB45">
        <f>HYPERLINK("https://klasma.github.io/Logging_0331/klagomålsmail/A 17972-2024 FSC-klagomål mail.docx", "A 17972-2024")</f>
        <v/>
      </c>
      <c r="AC45">
        <f>HYPERLINK("https://klasma.github.io/Logging_0331/tillsyn/A 17972-2024 tillsynsbegäran.docx", "A 17972-2024")</f>
        <v/>
      </c>
      <c r="AD45">
        <f>HYPERLINK("https://klasma.github.io/Logging_0331/tillsynsmail/A 17972-2024 tillsynsbegäran mail.docx", "A 17972-2024")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46322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46322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46322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46322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46322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43293-2026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46314</v>
      </c>
      <c r="E51" s="1" t="n">
        <v>46322</v>
      </c>
      <c r="F51" t="inlineStr">
        <is>
          <t>UPPSALA LÄN</t>
        </is>
      </c>
      <c r="G51" t="inlineStr">
        <is>
          <t>HEBY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Mosippa
Motaggsvamp</t>
        </is>
      </c>
      <c r="W51">
        <f>HYPERLINK("https://klasma.github.io/Logging_0331/artfynd/A 43293-2026 artfynd.xlsx", "A 43293-2026")</f>
        <v/>
      </c>
      <c r="X51">
        <f>HYPERLINK("https://klasma.github.io/Logging_0331/kartor/A 43293-2026 karta.png", "A 43293-2026")</f>
        <v/>
      </c>
      <c r="Y51">
        <f>HYPERLINK("https://klasma.github.io/Logging_0331/kartor_geotiff/A 43293-2026 georefererad karta.tif", "A 43293-2026")</f>
        <v/>
      </c>
      <c r="AA51">
        <f>HYPERLINK("https://klasma.github.io/Logging_0331/klagomål/A 43293-2026 FSC-klagomål.docx", "A 43293-2026")</f>
        <v/>
      </c>
      <c r="AB51">
        <f>HYPERLINK("https://klasma.github.io/Logging_0331/klagomålsmail/A 43293-2026 FSC-klagomål mail.docx", "A 43293-2026")</f>
        <v/>
      </c>
      <c r="AC51">
        <f>HYPERLINK("https://klasma.github.io/Logging_0331/tillsyn/A 43293-2026 tillsynsbegäran.docx", "A 43293-2026")</f>
        <v/>
      </c>
      <c r="AD51">
        <f>HYPERLINK("https://klasma.github.io/Logging_0331/tillsynsmail/A 43293-2026 tillsynsbegäran mail.docx", "A 43293-2026")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46322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46322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46322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46322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46322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46322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63940-2023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45278</v>
      </c>
      <c r="E58" s="1" t="n">
        <v>46322</v>
      </c>
      <c r="F58" t="inlineStr">
        <is>
          <t>UPPSALA LÄN</t>
        </is>
      </c>
      <c r="G58" t="inlineStr">
        <is>
          <t>HEBY</t>
        </is>
      </c>
      <c r="I58" t="n">
        <v>2.4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Gullpudra</t>
        </is>
      </c>
      <c r="W58">
        <f>HYPERLINK("https://klasma.github.io/Logging_0331/artfynd/A 63940-2023 artfynd.xlsx", "A 63940-2023")</f>
        <v/>
      </c>
      <c r="X58">
        <f>HYPERLINK("https://klasma.github.io/Logging_0331/kartor/A 63940-2023 karta.png", "A 63940-2023")</f>
        <v/>
      </c>
      <c r="Y58">
        <f>HYPERLINK("https://klasma.github.io/Logging_0331/kartor_geotiff/A 63940-2023 georefererad karta.tif", "A 63940-2023")</f>
        <v/>
      </c>
      <c r="AA58">
        <f>HYPERLINK("https://klasma.github.io/Logging_0331/klagomål/A 63940-2023 FSC-klagomål.docx", "A 63940-2023")</f>
        <v/>
      </c>
      <c r="AB58">
        <f>HYPERLINK("https://klasma.github.io/Logging_0331/klagomålsmail/A 63940-2023 FSC-klagomål mail.docx", "A 63940-2023")</f>
        <v/>
      </c>
      <c r="AC58">
        <f>HYPERLINK("https://klasma.github.io/Logging_0331/tillsyn/A 63940-2023 tillsynsbegäran.docx", "A 63940-2023")</f>
        <v/>
      </c>
      <c r="AD58">
        <f>HYPERLINK("https://klasma.github.io/Logging_0331/tillsynsmail/A 63940-2023 tillsynsbegäran mail.docx", "A 63940-2023")</f>
        <v/>
      </c>
    </row>
    <row r="59" ht="15" customHeight="1">
      <c r="A59" t="inlineStr">
        <is>
          <t>A 19555-2025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46322</v>
      </c>
      <c r="F59" t="inlineStr">
        <is>
          <t>UPPSALA LÄN</t>
        </is>
      </c>
      <c r="G59" t="inlineStr">
        <is>
          <t>HEBY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HYPERLINK("https://klasma.github.io/Logging_0331/artfynd/A 19555-2025 artfynd.xlsx", "A 19555-2025")</f>
        <v/>
      </c>
      <c r="X59">
        <f>HYPERLINK("https://klasma.github.io/Logging_0331/kartor/A 19555-2025 karta.png", "A 19555-2025")</f>
        <v/>
      </c>
      <c r="Y59">
        <f>HYPERLINK("https://klasma.github.io/Logging_0331/kartor_geotiff/A 19555-2025 georefererad karta.tif", "A 19555-2025")</f>
        <v/>
      </c>
      <c r="AA59">
        <f>HYPERLINK("https://klasma.github.io/Logging_0331/klagomål/A 19555-2025 FSC-klagomål.docx", "A 19555-2025")</f>
        <v/>
      </c>
      <c r="AB59">
        <f>HYPERLINK("https://klasma.github.io/Logging_0331/klagomålsmail/A 19555-2025 FSC-klagomål mail.docx", "A 19555-2025")</f>
        <v/>
      </c>
      <c r="AC59">
        <f>HYPERLINK("https://klasma.github.io/Logging_0331/tillsyn/A 19555-2025 tillsynsbegäran.docx", "A 19555-2025")</f>
        <v/>
      </c>
      <c r="AD59">
        <f>HYPERLINK("https://klasma.github.io/Logging_0331/tillsynsmail/A 19555-2025 tillsynsbegäran mail.docx", "A 19555-2025")</f>
        <v/>
      </c>
      <c r="AE59">
        <f>HYPERLINK("https://klasma.github.io/Logging_0331/fåglar/A 19555-2025 prioriterade fågelarter.docx", "A 19555-2025")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46322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HYPERLINK("https://klasma.github.io/Logging_0331/artfynd/A 17006-2024 artfynd.xlsx", "A 17006-2024")</f>
        <v/>
      </c>
      <c r="X60">
        <f>HYPERLINK("https://klasma.github.io/Logging_0331/kartor/A 17006-2024 karta.png", "A 17006-2024")</f>
        <v/>
      </c>
      <c r="Y60">
        <f>HYPERLINK("https://klasma.github.io/Logging_0331/kartor_geotiff/A 17006-2024 georefererad karta.tif", "A 17006-2024")</f>
        <v/>
      </c>
      <c r="AA60">
        <f>HYPERLINK("https://klasma.github.io/Logging_0331/klagomål/A 17006-2024 FSC-klagomål.docx", "A 17006-2024")</f>
        <v/>
      </c>
      <c r="AB60">
        <f>HYPERLINK("https://klasma.github.io/Logging_0331/klagomålsmail/A 17006-2024 FSC-klagomål mail.docx", "A 17006-2024")</f>
        <v/>
      </c>
      <c r="AC60">
        <f>HYPERLINK("https://klasma.github.io/Logging_0331/tillsyn/A 17006-2024 tillsynsbegäran.docx", "A 17006-2024")</f>
        <v/>
      </c>
      <c r="AD60">
        <f>HYPERLINK("https://klasma.github.io/Logging_0331/tillsynsmail/A 17006-2024 tillsynsbegäran mail.docx", "A 17006-2024")</f>
        <v/>
      </c>
      <c r="AE60">
        <f>HYPERLINK("https://klasma.github.io/Logging_0331/fåglar/A 17006-2024 prioriterade fågelarter.docx", "A 17006-2024")</f>
        <v/>
      </c>
    </row>
    <row r="61" ht="15" customHeight="1">
      <c r="A61" t="inlineStr">
        <is>
          <t>A 55763-2025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45972</v>
      </c>
      <c r="E61" s="1" t="n">
        <v>46322</v>
      </c>
      <c r="F61" t="inlineStr">
        <is>
          <t>UPPSALA LÄN</t>
        </is>
      </c>
      <c r="G61" t="inlineStr">
        <is>
          <t>HEBY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Kandelabersvamp</t>
        </is>
      </c>
      <c r="W61">
        <f>HYPERLINK("https://klasma.github.io/Logging_0331/artfynd/A 55763-2025 artfynd.xlsx", "A 55763-2025")</f>
        <v/>
      </c>
      <c r="X61">
        <f>HYPERLINK("https://klasma.github.io/Logging_0331/kartor/A 55763-2025 karta.png", "A 55763-2025")</f>
        <v/>
      </c>
      <c r="Y61">
        <f>HYPERLINK("https://klasma.github.io/Logging_0331/kartor_geotiff/A 55763-2025 georefererad karta.tif", "A 55763-2025")</f>
        <v/>
      </c>
      <c r="AA61">
        <f>HYPERLINK("https://klasma.github.io/Logging_0331/klagomål/A 55763-2025 FSC-klagomål.docx", "A 55763-2025")</f>
        <v/>
      </c>
      <c r="AB61">
        <f>HYPERLINK("https://klasma.github.io/Logging_0331/klagomålsmail/A 55763-2025 FSC-klagomål mail.docx", "A 55763-2025")</f>
        <v/>
      </c>
      <c r="AC61">
        <f>HYPERLINK("https://klasma.github.io/Logging_0331/tillsyn/A 55763-2025 tillsynsbegäran.docx", "A 55763-2025")</f>
        <v/>
      </c>
      <c r="AD61">
        <f>HYPERLINK("https://klasma.github.io/Logging_0331/tillsynsmail/A 55763-2025 tillsynsbegäran mail.docx", "A 55763-2025")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46322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9455-2026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46322</v>
      </c>
      <c r="F63" t="inlineStr">
        <is>
          <t>UPPSALA LÄN</t>
        </is>
      </c>
      <c r="G63" t="inlineStr">
        <is>
          <t>HEBY</t>
        </is>
      </c>
      <c r="I63" t="n">
        <v>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Kungsspindling</t>
        </is>
      </c>
      <c r="W63">
        <f>HYPERLINK("https://klasma.github.io/Logging_0331/artfynd/A 9455-2026 artfynd.xlsx", "A 9455-2026")</f>
        <v/>
      </c>
      <c r="X63">
        <f>HYPERLINK("https://klasma.github.io/Logging_0331/kartor/A 9455-2026 karta.png", "A 9455-2026")</f>
        <v/>
      </c>
      <c r="Y63">
        <f>HYPERLINK("https://klasma.github.io/Logging_0331/kartor_geotiff/A 9455-2026 georefererad karta.tif", "A 9455-2026")</f>
        <v/>
      </c>
      <c r="AA63">
        <f>HYPERLINK("https://klasma.github.io/Logging_0331/klagomål/A 9455-2026 FSC-klagomål.docx", "A 9455-2026")</f>
        <v/>
      </c>
      <c r="AB63">
        <f>HYPERLINK("https://klasma.github.io/Logging_0331/klagomålsmail/A 9455-2026 FSC-klagomål mail.docx", "A 9455-2026")</f>
        <v/>
      </c>
      <c r="AC63">
        <f>HYPERLINK("https://klasma.github.io/Logging_0331/tillsyn/A 9455-2026 tillsynsbegäran.docx", "A 9455-2026")</f>
        <v/>
      </c>
      <c r="AD63">
        <f>HYPERLINK("https://klasma.github.io/Logging_0331/tillsynsmail/A 9455-2026 tillsynsbegäran mail.docx", "A 9455-2026")</f>
        <v/>
      </c>
    </row>
    <row r="64" ht="15" customHeight="1">
      <c r="A64" t="inlineStr">
        <is>
          <t>A 9358-2026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46322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9358-2026 artfynd.xlsx", "A 9358-2026")</f>
        <v/>
      </c>
      <c r="X64">
        <f>HYPERLINK("https://klasma.github.io/Logging_0331/kartor/A 9358-2026 karta.png", "A 9358-2026")</f>
        <v/>
      </c>
      <c r="Y64">
        <f>HYPERLINK("https://klasma.github.io/Logging_0331/kartor_geotiff/A 9358-2026 georefererad karta.tif", "A 9358-2026")</f>
        <v/>
      </c>
      <c r="AA64">
        <f>HYPERLINK("https://klasma.github.io/Logging_0331/klagomål/A 9358-2026 FSC-klagomål.docx", "A 9358-2026")</f>
        <v/>
      </c>
      <c r="AB64">
        <f>HYPERLINK("https://klasma.github.io/Logging_0331/klagomålsmail/A 9358-2026 FSC-klagomål mail.docx", "A 9358-2026")</f>
        <v/>
      </c>
      <c r="AC64">
        <f>HYPERLINK("https://klasma.github.io/Logging_0331/tillsyn/A 9358-2026 tillsynsbegäran.docx", "A 9358-2026")</f>
        <v/>
      </c>
      <c r="AD64">
        <f>HYPERLINK("https://klasma.github.io/Logging_0331/tillsynsmail/A 9358-2026 tillsynsbegäran mail.docx", "A 9358-2026")</f>
        <v/>
      </c>
    </row>
    <row r="65" ht="15" customHeight="1">
      <c r="A65" t="inlineStr">
        <is>
          <t>A 24562-2023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45083</v>
      </c>
      <c r="E65" s="1" t="n">
        <v>46322</v>
      </c>
      <c r="F65" t="inlineStr">
        <is>
          <t>UPPSALA LÄN</t>
        </is>
      </c>
      <c r="G65" t="inlineStr">
        <is>
          <t>HEBY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Grönpyrola</t>
        </is>
      </c>
      <c r="W65">
        <f>HYPERLINK("https://klasma.github.io/Logging_0331/artfynd/A 24562-2023 artfynd.xlsx", "A 24562-2023")</f>
        <v/>
      </c>
      <c r="X65">
        <f>HYPERLINK("https://klasma.github.io/Logging_0331/kartor/A 24562-2023 karta.png", "A 24562-2023")</f>
        <v/>
      </c>
      <c r="Y65">
        <f>HYPERLINK("https://klasma.github.io/Logging_0331/kartor_geotiff/A 24562-2023 georefererad karta.tif", "A 24562-2023")</f>
        <v/>
      </c>
      <c r="AA65">
        <f>HYPERLINK("https://klasma.github.io/Logging_0331/klagomål/A 24562-2023 FSC-klagomål.docx", "A 24562-2023")</f>
        <v/>
      </c>
      <c r="AB65">
        <f>HYPERLINK("https://klasma.github.io/Logging_0331/klagomålsmail/A 24562-2023 FSC-klagomål mail.docx", "A 24562-2023")</f>
        <v/>
      </c>
      <c r="AC65">
        <f>HYPERLINK("https://klasma.github.io/Logging_0331/tillsyn/A 24562-2023 tillsynsbegäran.docx", "A 24562-2023")</f>
        <v/>
      </c>
      <c r="AD65">
        <f>HYPERLINK("https://klasma.github.io/Logging_0331/tillsynsmail/A 24562-2023 tillsynsbegäran mail.docx", "A 24562-2023")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46322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46322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aspticka</t>
        </is>
      </c>
      <c r="W67">
        <f>HYPERLINK("https://klasma.github.io/Logging_0331/artfynd/A 11841-2026 artfynd.xlsx", "A 11841-2026")</f>
        <v/>
      </c>
      <c r="X67">
        <f>HYPERLINK("https://klasma.github.io/Logging_0331/kartor/A 11841-2026 karta.png", "A 11841-2026")</f>
        <v/>
      </c>
      <c r="Y67">
        <f>HYPERLINK("https://klasma.github.io/Logging_0331/kartor_geotiff/A 11841-2026 georefererad karta.tif", "A 11841-2026")</f>
        <v/>
      </c>
      <c r="AA67">
        <f>HYPERLINK("https://klasma.github.io/Logging_0331/klagomål/A 11841-2026 FSC-klagomål.docx", "A 11841-2026")</f>
        <v/>
      </c>
      <c r="AB67">
        <f>HYPERLINK("https://klasma.github.io/Logging_0331/klagomålsmail/A 11841-2026 FSC-klagomål mail.docx", "A 11841-2026")</f>
        <v/>
      </c>
      <c r="AC67">
        <f>HYPERLINK("https://klasma.github.io/Logging_0331/tillsyn/A 11841-2026 tillsynsbegäran.docx", "A 11841-2026")</f>
        <v/>
      </c>
      <c r="AD67">
        <f>HYPERLINK("https://klasma.github.io/Logging_0331/tillsynsmail/A 11841-2026 tillsynsbegäran mail.docx", "A 11841-2026")</f>
        <v/>
      </c>
    </row>
    <row r="68" ht="15" customHeight="1">
      <c r="A68" t="inlineStr">
        <is>
          <t>A 31885-2026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46231</v>
      </c>
      <c r="E68" s="1" t="n">
        <v>46322</v>
      </c>
      <c r="F68" t="inlineStr">
        <is>
          <t>UPPSALA LÄN</t>
        </is>
      </c>
      <c r="G68" t="inlineStr">
        <is>
          <t>HEBY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Platt spretmossa</t>
        </is>
      </c>
      <c r="W68">
        <f>HYPERLINK("https://klasma.github.io/Logging_0331/artfynd/A 31885-2026 artfynd.xlsx", "A 31885-2026")</f>
        <v/>
      </c>
      <c r="X68">
        <f>HYPERLINK("https://klasma.github.io/Logging_0331/kartor/A 31885-2026 karta.png", "A 31885-2026")</f>
        <v/>
      </c>
      <c r="Y68">
        <f>HYPERLINK("https://klasma.github.io/Logging_0331/kartor_geotiff/A 31885-2026 georefererad karta.tif", "A 31885-2026")</f>
        <v/>
      </c>
      <c r="AA68">
        <f>HYPERLINK("https://klasma.github.io/Logging_0331/klagomål/A 31885-2026 FSC-klagomål.docx", "A 31885-2026")</f>
        <v/>
      </c>
      <c r="AB68">
        <f>HYPERLINK("https://klasma.github.io/Logging_0331/klagomålsmail/A 31885-2026 FSC-klagomål mail.docx", "A 31885-2026")</f>
        <v/>
      </c>
      <c r="AC68">
        <f>HYPERLINK("https://klasma.github.io/Logging_0331/tillsyn/A 31885-2026 tillsynsbegäran.docx", "A 31885-2026")</f>
        <v/>
      </c>
      <c r="AD68">
        <f>HYPERLINK("https://klasma.github.io/Logging_0331/tillsynsmail/A 31885-2026 tillsynsbegäran mail.docx", "A 31885-2026")</f>
        <v/>
      </c>
    </row>
    <row r="69" ht="15" customHeight="1">
      <c r="A69" t="inlineStr">
        <is>
          <t>A 55663-2024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46322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HYPERLINK("https://klasma.github.io/Logging_0331/artfynd/A 55663-2024 artfynd.xlsx", "A 55663-2024")</f>
        <v/>
      </c>
      <c r="X69">
        <f>HYPERLINK("https://klasma.github.io/Logging_0331/kartor/A 55663-2024 karta.png", "A 55663-2024")</f>
        <v/>
      </c>
      <c r="Y69">
        <f>HYPERLINK("https://klasma.github.io/Logging_0331/kartor_geotiff/A 55663-2024 georefererad karta.tif", "A 55663-2024")</f>
        <v/>
      </c>
      <c r="AA69">
        <f>HYPERLINK("https://klasma.github.io/Logging_0331/klagomål/A 55663-2024 FSC-klagomål.docx", "A 55663-2024")</f>
        <v/>
      </c>
      <c r="AB69">
        <f>HYPERLINK("https://klasma.github.io/Logging_0331/klagomålsmail/A 55663-2024 FSC-klagomål mail.docx", "A 55663-2024")</f>
        <v/>
      </c>
      <c r="AC69">
        <f>HYPERLINK("https://klasma.github.io/Logging_0331/tillsyn/A 55663-2024 tillsynsbegäran.docx", "A 55663-2024")</f>
        <v/>
      </c>
      <c r="AD69">
        <f>HYPERLINK("https://klasma.github.io/Logging_0331/tillsynsmail/A 55663-2024 tillsynsbegäran mail.docx", "A 55663-2024")</f>
        <v/>
      </c>
    </row>
    <row r="70" ht="15" customHeight="1">
      <c r="A70" t="inlineStr">
        <is>
          <t>A 17697-2024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46322</v>
      </c>
      <c r="F70" t="inlineStr">
        <is>
          <t>UPPSALA LÄN</t>
        </is>
      </c>
      <c r="G70" t="inlineStr">
        <is>
          <t>HEBY</t>
        </is>
      </c>
      <c r="I70" t="n">
        <v>0.6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Mindre bastardsvärmare</t>
        </is>
      </c>
      <c r="W70">
        <f>HYPERLINK("https://klasma.github.io/Logging_0331/artfynd/A 17697-2024 artfynd.xlsx", "A 17697-2024")</f>
        <v/>
      </c>
      <c r="X70">
        <f>HYPERLINK("https://klasma.github.io/Logging_0331/kartor/A 17697-2024 karta.png", "A 17697-2024")</f>
        <v/>
      </c>
      <c r="Y70">
        <f>HYPERLINK("https://klasma.github.io/Logging_0331/kartor_geotiff/A 17697-2024 georefererad karta.tif", "A 17697-2024")</f>
        <v/>
      </c>
      <c r="AA70">
        <f>HYPERLINK("https://klasma.github.io/Logging_0331/klagomål/A 17697-2024 FSC-klagomål.docx", "A 17697-2024")</f>
        <v/>
      </c>
      <c r="AB70">
        <f>HYPERLINK("https://klasma.github.io/Logging_0331/klagomålsmail/A 17697-2024 FSC-klagomål mail.docx", "A 17697-2024")</f>
        <v/>
      </c>
      <c r="AC70">
        <f>HYPERLINK("https://klasma.github.io/Logging_0331/tillsyn/A 17697-2024 tillsynsbegäran.docx", "A 17697-2024")</f>
        <v/>
      </c>
      <c r="AD70">
        <f>HYPERLINK("https://klasma.github.io/Logging_0331/tillsynsmail/A 17697-2024 tillsynsbegäran mail.docx", "A 17697-2024")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46322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HYPERLINK("https://klasma.github.io/Logging_0331/artfynd/A 19751-2023 artfynd.xlsx", "A 19751-2023")</f>
        <v/>
      </c>
      <c r="X71">
        <f>HYPERLINK("https://klasma.github.io/Logging_0331/kartor/A 19751-2023 karta.png", "A 19751-2023")</f>
        <v/>
      </c>
      <c r="Y71">
        <f>HYPERLINK("https://klasma.github.io/Logging_0331/kartor_geotiff/A 19751-2023 georefererad karta.tif", "A 19751-2023")</f>
        <v/>
      </c>
      <c r="Z71">
        <f>HYPERLINK("https://klasma.github.io/Logging_0331/knärot/A 19751-2023 karta knärot.png", "A 19751-2023")</f>
        <v/>
      </c>
      <c r="AA71">
        <f>HYPERLINK("https://klasma.github.io/Logging_0331/klagomål/A 19751-2023 FSC-klagomål.docx", "A 19751-2023")</f>
        <v/>
      </c>
      <c r="AB71">
        <f>HYPERLINK("https://klasma.github.io/Logging_0331/klagomålsmail/A 19751-2023 FSC-klagomål mail.docx", "A 19751-2023")</f>
        <v/>
      </c>
      <c r="AC71">
        <f>HYPERLINK("https://klasma.github.io/Logging_0331/tillsyn/A 19751-2023 tillsynsbegäran.docx", "A 19751-2023")</f>
        <v/>
      </c>
      <c r="AD71">
        <f>HYPERLINK("https://klasma.github.io/Logging_0331/tillsynsmail/A 19751-2023 tillsynsbegäran mail.docx", "A 19751-2023")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46322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11011-2025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46322</v>
      </c>
      <c r="F73" t="inlineStr">
        <is>
          <t>UPPSALA LÄN</t>
        </is>
      </c>
      <c r="G73" t="inlineStr">
        <is>
          <t>HEBY</t>
        </is>
      </c>
      <c r="H73" t="inlineStr">
        <is>
          <t>Kyrkan</t>
        </is>
      </c>
      <c r="I73" t="n">
        <v>2.6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Motaggsvamp</t>
        </is>
      </c>
      <c r="W73">
        <f>HYPERLINK("https://klasma.github.io/Logging_0331/artfynd/A 11011-2025 artfynd.xlsx", "A 11011-2025")</f>
        <v/>
      </c>
      <c r="X73">
        <f>HYPERLINK("https://klasma.github.io/Logging_0331/kartor/A 11011-2025 karta.png", "A 11011-2025")</f>
        <v/>
      </c>
      <c r="Y73">
        <f>HYPERLINK("https://klasma.github.io/Logging_0331/kartor_geotiff/A 11011-2025 georefererad karta.tif", "A 11011-2025")</f>
        <v/>
      </c>
      <c r="AA73">
        <f>HYPERLINK("https://klasma.github.io/Logging_0331/klagomål/A 11011-2025 FSC-klagomål.docx", "A 11011-2025")</f>
        <v/>
      </c>
      <c r="AB73">
        <f>HYPERLINK("https://klasma.github.io/Logging_0331/klagomålsmail/A 11011-2025 FSC-klagomål mail.docx", "A 11011-2025")</f>
        <v/>
      </c>
      <c r="AC73">
        <f>HYPERLINK("https://klasma.github.io/Logging_0331/tillsyn/A 11011-2025 tillsynsbegäran.docx", "A 11011-2025")</f>
        <v/>
      </c>
      <c r="AD73">
        <f>HYPERLINK("https://klasma.github.io/Logging_0331/tillsynsmail/A 11011-2025 tillsynsbegäran mail.docx", "A 11011-2025")</f>
        <v/>
      </c>
    </row>
    <row r="74" ht="15" customHeight="1">
      <c r="A74" t="inlineStr">
        <is>
          <t>A 54368-2024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46322</v>
      </c>
      <c r="F74" t="inlineStr">
        <is>
          <t>UPPSALA LÄN</t>
        </is>
      </c>
      <c r="G74" t="inlineStr">
        <is>
          <t>HEBY</t>
        </is>
      </c>
      <c r="H74" t="inlineStr">
        <is>
          <t>Allmännings- och besparingsskogar</t>
        </is>
      </c>
      <c r="I74" t="n">
        <v>13.9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Talltita</t>
        </is>
      </c>
      <c r="W74">
        <f>HYPERLINK("https://klasma.github.io/Logging_0331/artfynd/A 54368-2024 artfynd.xlsx", "A 54368-2024")</f>
        <v/>
      </c>
      <c r="X74">
        <f>HYPERLINK("https://klasma.github.io/Logging_0331/kartor/A 54368-2024 karta.png", "A 54368-2024")</f>
        <v/>
      </c>
      <c r="Y74">
        <f>HYPERLINK("https://klasma.github.io/Logging_0331/kartor_geotiff/A 54368-2024 georefererad karta.tif", "A 54368-2024")</f>
        <v/>
      </c>
      <c r="AA74">
        <f>HYPERLINK("https://klasma.github.io/Logging_0331/klagomål/A 54368-2024 FSC-klagomål.docx", "A 54368-2024")</f>
        <v/>
      </c>
      <c r="AB74">
        <f>HYPERLINK("https://klasma.github.io/Logging_0331/klagomålsmail/A 54368-2024 FSC-klagomål mail.docx", "A 54368-2024")</f>
        <v/>
      </c>
      <c r="AC74">
        <f>HYPERLINK("https://klasma.github.io/Logging_0331/tillsyn/A 54368-2024 tillsynsbegäran.docx", "A 54368-2024")</f>
        <v/>
      </c>
      <c r="AD74">
        <f>HYPERLINK("https://klasma.github.io/Logging_0331/tillsynsmail/A 54368-2024 tillsynsbegäran mail.docx", "A 54368-2024")</f>
        <v/>
      </c>
      <c r="AE74">
        <f>HYPERLINK("https://klasma.github.io/Logging_0331/fåglar/A 54368-2024 prioriterade fågelarter.docx", "A 54368-2024")</f>
        <v/>
      </c>
    </row>
    <row r="75" ht="15" customHeight="1">
      <c r="A75" t="inlineStr">
        <is>
          <t>A 20530-2026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46322</v>
      </c>
      <c r="F75" t="inlineStr">
        <is>
          <t>UPPSALA LÄN</t>
        </is>
      </c>
      <c r="G75" t="inlineStr">
        <is>
          <t>HEBY</t>
        </is>
      </c>
      <c r="I75" t="n">
        <v>5.3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Björksplintborre</t>
        </is>
      </c>
      <c r="W75">
        <f>HYPERLINK("https://klasma.github.io/Logging_0331/artfynd/A 20530-2026 artfynd.xlsx", "A 20530-2026")</f>
        <v/>
      </c>
      <c r="X75">
        <f>HYPERLINK("https://klasma.github.io/Logging_0331/kartor/A 20530-2026 karta.png", "A 20530-2026")</f>
        <v/>
      </c>
      <c r="Y75">
        <f>HYPERLINK("https://klasma.github.io/Logging_0331/kartor_geotiff/A 20530-2026 georefererad karta.tif", "A 20530-2026")</f>
        <v/>
      </c>
      <c r="AA75">
        <f>HYPERLINK("https://klasma.github.io/Logging_0331/klagomål/A 20530-2026 FSC-klagomål.docx", "A 20530-2026")</f>
        <v/>
      </c>
      <c r="AB75">
        <f>HYPERLINK("https://klasma.github.io/Logging_0331/klagomålsmail/A 20530-2026 FSC-klagomål mail.docx", "A 20530-2026")</f>
        <v/>
      </c>
      <c r="AC75">
        <f>HYPERLINK("https://klasma.github.io/Logging_0331/tillsyn/A 20530-2026 tillsynsbegäran.docx", "A 20530-2026")</f>
        <v/>
      </c>
      <c r="AD75">
        <f>HYPERLINK("https://klasma.github.io/Logging_0331/tillsynsmail/A 20530-2026 tillsynsbegäran mail.docx", "A 20530-2026")</f>
        <v/>
      </c>
    </row>
    <row r="76" ht="15" customHeight="1">
      <c r="A76" t="inlineStr">
        <is>
          <t>A 40506-2026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46295</v>
      </c>
      <c r="E76" s="1" t="n">
        <v>46322</v>
      </c>
      <c r="F76" t="inlineStr">
        <is>
          <t>UPPSALA LÄN</t>
        </is>
      </c>
      <c r="G76" t="inlineStr">
        <is>
          <t>HEBY</t>
        </is>
      </c>
      <c r="H76" t="inlineStr">
        <is>
          <t>Allmännings- och besparingsskogar</t>
        </is>
      </c>
      <c r="I76" t="n">
        <v>7.1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HYPERLINK("https://klasma.github.io/Logging_0331/artfynd/A 40506-2026 artfynd.xlsx", "A 40506-2026")</f>
        <v/>
      </c>
      <c r="X76">
        <f>HYPERLINK("https://klasma.github.io/Logging_0331/kartor/A 40506-2026 karta.png", "A 40506-2026")</f>
        <v/>
      </c>
      <c r="Y76">
        <f>HYPERLINK("https://klasma.github.io/Logging_0331/kartor_geotiff/A 40506-2026 georefererad karta.tif", "A 40506-2026")</f>
        <v/>
      </c>
      <c r="AA76">
        <f>HYPERLINK("https://klasma.github.io/Logging_0331/klagomål/A 40506-2026 FSC-klagomål.docx", "A 40506-2026")</f>
        <v/>
      </c>
      <c r="AB76">
        <f>HYPERLINK("https://klasma.github.io/Logging_0331/klagomålsmail/A 40506-2026 FSC-klagomål mail.docx", "A 40506-2026")</f>
        <v/>
      </c>
      <c r="AC76">
        <f>HYPERLINK("https://klasma.github.io/Logging_0331/tillsyn/A 40506-2026 tillsynsbegäran.docx", "A 40506-2026")</f>
        <v/>
      </c>
      <c r="AD76">
        <f>HYPERLINK("https://klasma.github.io/Logging_0331/tillsynsmail/A 40506-2026 tillsynsbegäran mail.docx", "A 40506-2026")</f>
        <v/>
      </c>
      <c r="AE76">
        <f>HYPERLINK("https://klasma.github.io/Logging_0331/fåglar/A 40506-2026 prioriterade fågelarter.docx", "A 40506-2026")</f>
        <v/>
      </c>
    </row>
    <row r="77" ht="15" customHeight="1">
      <c r="A77" t="inlineStr">
        <is>
          <t>A 61598-2021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46322</v>
      </c>
      <c r="F77" t="inlineStr">
        <is>
          <t>UPPSALA LÄN</t>
        </is>
      </c>
      <c r="G77" t="inlineStr">
        <is>
          <t>HEBY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HYPERLINK("https://klasma.github.io/Logging_0331/artfynd/A 61598-2021 artfynd.xlsx", "A 61598-2021")</f>
        <v/>
      </c>
      <c r="X77">
        <f>HYPERLINK("https://klasma.github.io/Logging_0331/kartor/A 61598-2021 karta.png", "A 61598-2021")</f>
        <v/>
      </c>
      <c r="Y77">
        <f>HYPERLINK("https://klasma.github.io/Logging_0331/kartor_geotiff/A 61598-2021 georefererad karta.tif", "A 61598-2021")</f>
        <v/>
      </c>
      <c r="AA77">
        <f>HYPERLINK("https://klasma.github.io/Logging_0331/klagomål/A 61598-2021 FSC-klagomål.docx", "A 61598-2021")</f>
        <v/>
      </c>
      <c r="AB77">
        <f>HYPERLINK("https://klasma.github.io/Logging_0331/klagomålsmail/A 61598-2021 FSC-klagomål mail.docx", "A 61598-2021")</f>
        <v/>
      </c>
      <c r="AC77">
        <f>HYPERLINK("https://klasma.github.io/Logging_0331/tillsyn/A 61598-2021 tillsynsbegäran.docx", "A 61598-2021")</f>
        <v/>
      </c>
      <c r="AD77">
        <f>HYPERLINK("https://klasma.github.io/Logging_0331/tillsynsmail/A 61598-2021 tillsynsbegäran mail.docx", "A 61598-2021")</f>
        <v/>
      </c>
      <c r="AE77">
        <f>HYPERLINK("https://klasma.github.io/Logging_0331/fåglar/A 61598-2021 prioriterade fågelarter.docx", "A 61598-2021")</f>
        <v/>
      </c>
    </row>
    <row r="78" ht="15" customHeight="1">
      <c r="A78" t="inlineStr">
        <is>
          <t>A 27871-2023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46322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HYPERLINK("https://klasma.github.io/Logging_0331/artfynd/A 27871-2023 artfynd.xlsx", "A 27871-2023")</f>
        <v/>
      </c>
      <c r="X78">
        <f>HYPERLINK("https://klasma.github.io/Logging_0331/kartor/A 27871-2023 karta.png", "A 27871-2023")</f>
        <v/>
      </c>
      <c r="Y78">
        <f>HYPERLINK("https://klasma.github.io/Logging_0331/kartor_geotiff/A 27871-2023 georefererad karta.tif", "A 27871-2023")</f>
        <v/>
      </c>
      <c r="AA78">
        <f>HYPERLINK("https://klasma.github.io/Logging_0331/klagomål/A 27871-2023 FSC-klagomål.docx", "A 27871-2023")</f>
        <v/>
      </c>
      <c r="AB78">
        <f>HYPERLINK("https://klasma.github.io/Logging_0331/klagomålsmail/A 27871-2023 FSC-klagomål mail.docx", "A 27871-2023")</f>
        <v/>
      </c>
      <c r="AC78">
        <f>HYPERLINK("https://klasma.github.io/Logging_0331/tillsyn/A 27871-2023 tillsynsbegäran.docx", "A 27871-2023")</f>
        <v/>
      </c>
      <c r="AD78">
        <f>HYPERLINK("https://klasma.github.io/Logging_0331/tillsynsmail/A 27871-2023 tillsynsbegäran mail.docx", "A 27871-2023")</f>
        <v/>
      </c>
    </row>
    <row r="79" ht="15" customHeight="1">
      <c r="A79" t="inlineStr">
        <is>
          <t>A 8624-2024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46322</v>
      </c>
      <c r="F79" t="inlineStr">
        <is>
          <t>UPPSALA LÄN</t>
        </is>
      </c>
      <c r="G79" t="inlineStr">
        <is>
          <t>HEBY</t>
        </is>
      </c>
      <c r="I79" t="n">
        <v>3.9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11</v>
      </c>
      <c r="U79" t="n">
        <v>0</v>
      </c>
      <c r="V79" s="2" t="inlineStr">
        <is>
          <t>Motaggsvamp</t>
        </is>
      </c>
      <c r="W79">
        <f>HYPERLINK("https://klasma.github.io/Logging_0331/artfynd/A 8624-2024 artfynd.xlsx", "A 8624-2024")</f>
        <v/>
      </c>
      <c r="X79">
        <f>HYPERLINK("https://klasma.github.io/Logging_0331/kartor/A 8624-2024 karta.png", "A 8624-2024")</f>
        <v/>
      </c>
      <c r="Y79">
        <f>HYPERLINK("https://klasma.github.io/Logging_0331/kartor_geotiff/A 8624-2024 georefererad karta.tif", "A 8624-2024")</f>
        <v/>
      </c>
      <c r="AA79">
        <f>HYPERLINK("https://klasma.github.io/Logging_0331/klagomål/A 8624-2024 FSC-klagomål.docx", "A 8624-2024")</f>
        <v/>
      </c>
      <c r="AB79">
        <f>HYPERLINK("https://klasma.github.io/Logging_0331/klagomålsmail/A 8624-2024 FSC-klagomål mail.docx", "A 8624-2024")</f>
        <v/>
      </c>
      <c r="AC79">
        <f>HYPERLINK("https://klasma.github.io/Logging_0331/tillsyn/A 8624-2024 tillsynsbegäran.docx", "A 8624-2024")</f>
        <v/>
      </c>
      <c r="AD79">
        <f>HYPERLINK("https://klasma.github.io/Logging_0331/tillsynsmail/A 8624-2024 tillsynsbegäran mail.docx", "A 8624-2024")</f>
        <v/>
      </c>
    </row>
    <row r="80" ht="15" customHeight="1">
      <c r="A80" t="inlineStr">
        <is>
          <t>A 31569-2023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45117</v>
      </c>
      <c r="E80" s="1" t="n">
        <v>46322</v>
      </c>
      <c r="F80" t="inlineStr">
        <is>
          <t>UPPSALA LÄN</t>
        </is>
      </c>
      <c r="G80" t="inlineStr">
        <is>
          <t>HEBY</t>
        </is>
      </c>
      <c r="I80" t="n">
        <v>2.5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HYPERLINK("https://klasma.github.io/Logging_0331/artfynd/A 31569-2023 artfynd.xlsx", "A 31569-2023")</f>
        <v/>
      </c>
      <c r="X80">
        <f>HYPERLINK("https://klasma.github.io/Logging_0331/kartor/A 31569-2023 karta.png", "A 31569-2023")</f>
        <v/>
      </c>
      <c r="Y80">
        <f>HYPERLINK("https://klasma.github.io/Logging_0331/kartor_geotiff/A 31569-2023 georefererad karta.tif", "A 31569-2023")</f>
        <v/>
      </c>
      <c r="Z80">
        <f>HYPERLINK("https://klasma.github.io/Logging_0331/knärot/A 31569-2023 karta knärot.png", "A 31569-2023")</f>
        <v/>
      </c>
      <c r="AA80">
        <f>HYPERLINK("https://klasma.github.io/Logging_0331/klagomål/A 31569-2023 FSC-klagomål.docx", "A 31569-2023")</f>
        <v/>
      </c>
      <c r="AB80">
        <f>HYPERLINK("https://klasma.github.io/Logging_0331/klagomålsmail/A 31569-2023 FSC-klagomål mail.docx", "A 31569-2023")</f>
        <v/>
      </c>
      <c r="AC80">
        <f>HYPERLINK("https://klasma.github.io/Logging_0331/tillsyn/A 31569-2023 tillsynsbegäran.docx", "A 31569-2023")</f>
        <v/>
      </c>
      <c r="AD80">
        <f>HYPERLINK("https://klasma.github.io/Logging_0331/tillsynsmail/A 31569-2023 tillsynsbegäran mail.docx", "A 31569-2023")</f>
        <v/>
      </c>
    </row>
    <row r="81" ht="15" customHeight="1">
      <c r="A81" t="inlineStr">
        <is>
          <t>A 26596-2024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45469</v>
      </c>
      <c r="E81" s="1" t="n">
        <v>46322</v>
      </c>
      <c r="F81" t="inlineStr">
        <is>
          <t>UPPSALA LÄN</t>
        </is>
      </c>
      <c r="G81" t="inlineStr">
        <is>
          <t>HEBY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Stenichnus poweri</t>
        </is>
      </c>
      <c r="W81">
        <f>HYPERLINK("https://klasma.github.io/Logging_0331/artfynd/A 26596-2024 artfynd.xlsx", "A 26596-2024")</f>
        <v/>
      </c>
      <c r="X81">
        <f>HYPERLINK("https://klasma.github.io/Logging_0331/kartor/A 26596-2024 karta.png", "A 26596-2024")</f>
        <v/>
      </c>
      <c r="Y81">
        <f>HYPERLINK("https://klasma.github.io/Logging_0331/kartor_geotiff/A 26596-2024 georefererad karta.tif", "A 26596-2024")</f>
        <v/>
      </c>
      <c r="AA81">
        <f>HYPERLINK("https://klasma.github.io/Logging_0331/klagomål/A 26596-2024 FSC-klagomål.docx", "A 26596-2024")</f>
        <v/>
      </c>
      <c r="AB81">
        <f>HYPERLINK("https://klasma.github.io/Logging_0331/klagomålsmail/A 26596-2024 FSC-klagomål mail.docx", "A 26596-2024")</f>
        <v/>
      </c>
      <c r="AC81">
        <f>HYPERLINK("https://klasma.github.io/Logging_0331/tillsyn/A 26596-2024 tillsynsbegäran.docx", "A 26596-2024")</f>
        <v/>
      </c>
      <c r="AD81">
        <f>HYPERLINK("https://klasma.github.io/Logging_0331/tillsynsmail/A 26596-2024 tillsynsbegäran mail.docx", "A 26596-2024")</f>
        <v/>
      </c>
    </row>
    <row r="82" ht="15" customHeight="1">
      <c r="A82" t="inlineStr">
        <is>
          <t>A 53992-2023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46322</v>
      </c>
      <c r="F82" t="inlineStr">
        <is>
          <t>UPPSALA LÄN</t>
        </is>
      </c>
      <c r="G82" t="inlineStr">
        <is>
          <t>HEBY</t>
        </is>
      </c>
      <c r="I82" t="n">
        <v>1.2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HYPERLINK("https://klasma.github.io/Logging_0331/artfynd/A 53992-2023 artfynd.xlsx", "A 53992-2023")</f>
        <v/>
      </c>
      <c r="X82">
        <f>HYPERLINK("https://klasma.github.io/Logging_0331/kartor/A 53992-2023 karta.png", "A 53992-2023")</f>
        <v/>
      </c>
      <c r="Y82">
        <f>HYPERLINK("https://klasma.github.io/Logging_0331/kartor_geotiff/A 53992-2023 georefererad karta.tif", "A 53992-2023")</f>
        <v/>
      </c>
      <c r="AA82">
        <f>HYPERLINK("https://klasma.github.io/Logging_0331/klagomål/A 53992-2023 FSC-klagomål.docx", "A 53992-2023")</f>
        <v/>
      </c>
      <c r="AB82">
        <f>HYPERLINK("https://klasma.github.io/Logging_0331/klagomålsmail/A 53992-2023 FSC-klagomål mail.docx", "A 53992-2023")</f>
        <v/>
      </c>
      <c r="AC82">
        <f>HYPERLINK("https://klasma.github.io/Logging_0331/tillsyn/A 53992-2023 tillsynsbegäran.docx", "A 53992-2023")</f>
        <v/>
      </c>
      <c r="AD82">
        <f>HYPERLINK("https://klasma.github.io/Logging_0331/tillsynsmail/A 53992-2023 tillsynsbegäran mail.docx", "A 53992-2023")</f>
        <v/>
      </c>
    </row>
    <row r="83" ht="15" customHeight="1">
      <c r="A83" t="inlineStr">
        <is>
          <t>A 49707-2023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46322</v>
      </c>
      <c r="F83" t="inlineStr">
        <is>
          <t>UPPSALA LÄN</t>
        </is>
      </c>
      <c r="G83" t="inlineStr">
        <is>
          <t>HEBY</t>
        </is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Granbarkgnagare</t>
        </is>
      </c>
      <c r="W83">
        <f>HYPERLINK("https://klasma.github.io/Logging_0331/artfynd/A 49707-2023 artfynd.xlsx", "A 49707-2023")</f>
        <v/>
      </c>
      <c r="X83">
        <f>HYPERLINK("https://klasma.github.io/Logging_0331/kartor/A 49707-2023 karta.png", "A 49707-2023")</f>
        <v/>
      </c>
      <c r="Y83">
        <f>HYPERLINK("https://klasma.github.io/Logging_0331/kartor_geotiff/A 49707-2023 georefererad karta.tif", "A 49707-2023")</f>
        <v/>
      </c>
      <c r="AA83">
        <f>HYPERLINK("https://klasma.github.io/Logging_0331/klagomål/A 49707-2023 FSC-klagomål.docx", "A 49707-2023")</f>
        <v/>
      </c>
      <c r="AB83">
        <f>HYPERLINK("https://klasma.github.io/Logging_0331/klagomålsmail/A 49707-2023 FSC-klagomål mail.docx", "A 49707-2023")</f>
        <v/>
      </c>
      <c r="AC83">
        <f>HYPERLINK("https://klasma.github.io/Logging_0331/tillsyn/A 49707-2023 tillsynsbegäran.docx", "A 49707-2023")</f>
        <v/>
      </c>
      <c r="AD83">
        <f>HYPERLINK("https://klasma.github.io/Logging_0331/tillsynsmail/A 49707-2023 tillsynsbegäran mail.docx", "A 49707-2023")</f>
        <v/>
      </c>
    </row>
    <row r="84" ht="15" customHeight="1">
      <c r="A84" t="inlineStr">
        <is>
          <t>A 42736-2026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46309</v>
      </c>
      <c r="E84" s="1" t="n">
        <v>46322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HYPERLINK("https://klasma.github.io/Logging_0331/artfynd/A 42736-2026 artfynd.xlsx", "A 42736-2026")</f>
        <v/>
      </c>
      <c r="X84">
        <f>HYPERLINK("https://klasma.github.io/Logging_0331/kartor/A 42736-2026 karta.png", "A 42736-2026")</f>
        <v/>
      </c>
      <c r="Y84">
        <f>HYPERLINK("https://klasma.github.io/Logging_0331/kartor_geotiff/A 42736-2026 georefererad karta.tif", "A 42736-2026")</f>
        <v/>
      </c>
      <c r="AA84">
        <f>HYPERLINK("https://klasma.github.io/Logging_0331/klagomål/A 42736-2026 FSC-klagomål.docx", "A 42736-2026")</f>
        <v/>
      </c>
      <c r="AB84">
        <f>HYPERLINK("https://klasma.github.io/Logging_0331/klagomålsmail/A 42736-2026 FSC-klagomål mail.docx", "A 42736-2026")</f>
        <v/>
      </c>
      <c r="AC84">
        <f>HYPERLINK("https://klasma.github.io/Logging_0331/tillsyn/A 42736-2026 tillsynsbegäran.docx", "A 42736-2026")</f>
        <v/>
      </c>
      <c r="AD84">
        <f>HYPERLINK("https://klasma.github.io/Logging_0331/tillsynsmail/A 42736-2026 tillsynsbegäran mail.docx", "A 42736-2026")</f>
        <v/>
      </c>
    </row>
    <row r="85" ht="15" customHeight="1">
      <c r="A85" t="inlineStr">
        <is>
          <t>A 9618-2026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46072</v>
      </c>
      <c r="E85" s="1" t="n">
        <v>46322</v>
      </c>
      <c r="F85" t="inlineStr">
        <is>
          <t>UPPSALA LÄN</t>
        </is>
      </c>
      <c r="G85" t="inlineStr">
        <is>
          <t>HEBY</t>
        </is>
      </c>
      <c r="I85" t="n">
        <v>2.3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Vedtrappmossa</t>
        </is>
      </c>
      <c r="W85">
        <f>HYPERLINK("https://klasma.github.io/Logging_0331/artfynd/A 9618-2026 artfynd.xlsx", "A 9618-2026")</f>
        <v/>
      </c>
      <c r="X85">
        <f>HYPERLINK("https://klasma.github.io/Logging_0331/kartor/A 9618-2026 karta.png", "A 9618-2026")</f>
        <v/>
      </c>
      <c r="Y85">
        <f>HYPERLINK("https://klasma.github.io/Logging_0331/kartor_geotiff/A 9618-2026 georefererad karta.tif", "A 9618-2026")</f>
        <v/>
      </c>
      <c r="AA85">
        <f>HYPERLINK("https://klasma.github.io/Logging_0331/klagomål/A 9618-2026 FSC-klagomål.docx", "A 9618-2026")</f>
        <v/>
      </c>
      <c r="AB85">
        <f>HYPERLINK("https://klasma.github.io/Logging_0331/klagomålsmail/A 9618-2026 FSC-klagomål mail.docx", "A 9618-2026")</f>
        <v/>
      </c>
      <c r="AC85">
        <f>HYPERLINK("https://klasma.github.io/Logging_0331/tillsyn/A 9618-2026 tillsynsbegäran.docx", "A 9618-2026")</f>
        <v/>
      </c>
      <c r="AD85">
        <f>HYPERLINK("https://klasma.github.io/Logging_0331/tillsynsmail/A 9618-2026 tillsynsbegäran mail.docx", "A 9618-2026")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46322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1335-2022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44629</v>
      </c>
      <c r="E87" s="1" t="n">
        <v>46322</v>
      </c>
      <c r="F87" t="inlineStr">
        <is>
          <t>UPPSALA LÄN</t>
        </is>
      </c>
      <c r="G87" t="inlineStr">
        <is>
          <t>HEBY</t>
        </is>
      </c>
      <c r="I87" t="n">
        <v>21.8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Vedticka</t>
        </is>
      </c>
      <c r="W87">
        <f>HYPERLINK("https://klasma.github.io/Logging_0331/artfynd/S 1335-2022 artfynd.xlsx", "S 1335-2022")</f>
        <v/>
      </c>
      <c r="X87">
        <f>HYPERLINK("https://klasma.github.io/Logging_0331/kartor/S 1335-2022 karta.png", "S 1335-2022")</f>
        <v/>
      </c>
      <c r="Y87">
        <f>HYPERLINK("https://klasma.github.io/Logging_0331/kartor_geotiff/S 1335-2022 georefererad karta.tif", "S 1335-2022")</f>
        <v/>
      </c>
      <c r="AA87">
        <f>HYPERLINK("https://klasma.github.io/Logging_0331/klagomål/S 1335-2022 FSC-klagomål.docx", "S 1335-2022")</f>
        <v/>
      </c>
      <c r="AB87">
        <f>HYPERLINK("https://klasma.github.io/Logging_0331/klagomålsmail/S 1335-2022 FSC-klagomål mail.docx", "S 1335-2022")</f>
        <v/>
      </c>
      <c r="AC87">
        <f>HYPERLINK("https://klasma.github.io/Logging_0331/tillsyn/S 1335-2022 tillsynsbegäran.docx", "S 1335-2022")</f>
        <v/>
      </c>
      <c r="AD87">
        <f>HYPERLINK("https://klasma.github.io/Logging_0331/tillsynsmail/S 1335-2022 tillsynsbegäran mail.docx", "S 1335-2022")</f>
        <v/>
      </c>
    </row>
    <row r="88" ht="15" customHeight="1">
      <c r="A88" t="inlineStr">
        <is>
          <t>S 883-2026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46107</v>
      </c>
      <c r="E88" s="1" t="n">
        <v>46322</v>
      </c>
      <c r="F88" t="inlineStr">
        <is>
          <t>UPPSALA LÄN</t>
        </is>
      </c>
      <c r="G88" t="inlineStr">
        <is>
          <t>HEBY</t>
        </is>
      </c>
      <c r="H88" t="inlineStr">
        <is>
          <t>Bergvik skog väst AB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HYPERLINK("https://klasma.github.io/Logging_0331/artfynd/S 883-2026 artfynd.xlsx", "S 883-2026")</f>
        <v/>
      </c>
      <c r="X88">
        <f>HYPERLINK("https://klasma.github.io/Logging_0331/kartor/S 883-2026 karta.png", "S 883-2026")</f>
        <v/>
      </c>
      <c r="Y88">
        <f>HYPERLINK("https://klasma.github.io/Logging_0331/kartor_geotiff/S 883-2026 georefererad karta.tif", "S 883-2026")</f>
        <v/>
      </c>
      <c r="AA88">
        <f>HYPERLINK("https://klasma.github.io/Logging_0331/klagomål/S 883-2026 FSC-klagomål.docx", "S 883-2026")</f>
        <v/>
      </c>
      <c r="AB88">
        <f>HYPERLINK("https://klasma.github.io/Logging_0331/klagomålsmail/S 883-2026 FSC-klagomål mail.docx", "S 883-2026")</f>
        <v/>
      </c>
      <c r="AC88">
        <f>HYPERLINK("https://klasma.github.io/Logging_0331/tillsyn/S 883-2026 tillsynsbegäran.docx", "S 883-2026")</f>
        <v/>
      </c>
      <c r="AD88">
        <f>HYPERLINK("https://klasma.github.io/Logging_0331/tillsynsmail/S 883-2026 tillsynsbegäran mail.docx", "S 883-2026")</f>
        <v/>
      </c>
      <c r="AE88">
        <f>HYPERLINK("https://klasma.github.io/Logging_0331/fåglar/S 883-2026 prioriterade fågelarter.docx", "S 883-2026")</f>
        <v/>
      </c>
    </row>
    <row r="89" ht="15" customHeight="1">
      <c r="A89" t="inlineStr">
        <is>
          <t>A 29841-2022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44756</v>
      </c>
      <c r="E89" s="1" t="n">
        <v>46322</v>
      </c>
      <c r="F89" t="inlineStr">
        <is>
          <t>UPPSALA LÄN</t>
        </is>
      </c>
      <c r="G89" t="inlineStr">
        <is>
          <t>HEBY</t>
        </is>
      </c>
      <c r="H89" t="inlineStr">
        <is>
          <t>Bergvik skog öst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55191-2022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46322</v>
      </c>
      <c r="F90" t="inlineStr">
        <is>
          <t>UPPSALA LÄN</t>
        </is>
      </c>
      <c r="G90" t="inlineStr">
        <is>
          <t>HEBY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46322</v>
      </c>
      <c r="F91" t="inlineStr">
        <is>
          <t>UPPSALA LÄN</t>
        </is>
      </c>
      <c r="G91" t="inlineStr">
        <is>
          <t>HEBY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46322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46322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65623-2021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46322</v>
      </c>
      <c r="F94" t="inlineStr">
        <is>
          <t>UPPSALA LÄN</t>
        </is>
      </c>
      <c r="G94" t="inlineStr">
        <is>
          <t>HEBY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46322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44585</v>
      </c>
      <c r="E96" s="1" t="n">
        <v>46322</v>
      </c>
      <c r="F96" t="inlineStr">
        <is>
          <t>UPPSALA LÄN</t>
        </is>
      </c>
      <c r="G96" t="inlineStr">
        <is>
          <t>HEBY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46322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46322</v>
      </c>
      <c r="F98" t="inlineStr">
        <is>
          <t>UPPSALA LÄN</t>
        </is>
      </c>
      <c r="G98" t="inlineStr">
        <is>
          <t>HEBY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46322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46322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46322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46322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46322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46322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46322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46322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46322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46322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46322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46322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46322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46322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46322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46322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46322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46322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46322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46322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46322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46322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46322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46322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46322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46322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46322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46322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46322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46322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46322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46322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46322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46322</v>
      </c>
      <c r="F132" t="inlineStr">
        <is>
          <t>UPPSALA LÄN</t>
        </is>
      </c>
      <c r="G132" t="inlineStr">
        <is>
          <t>HEBY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44573</v>
      </c>
      <c r="E133" s="1" t="n">
        <v>46322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46322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46322</v>
      </c>
      <c r="F135" t="inlineStr">
        <is>
          <t>UPPSALA LÄN</t>
        </is>
      </c>
      <c r="G135" t="inlineStr">
        <is>
          <t>HEBY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19718-2023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45050</v>
      </c>
      <c r="E136" s="1" t="n">
        <v>46322</v>
      </c>
      <c r="F136" t="inlineStr">
        <is>
          <t>UPPSALA LÄN</t>
        </is>
      </c>
      <c r="G136" t="inlineStr">
        <is>
          <t>HEBY</t>
        </is>
      </c>
      <c r="H136" t="inlineStr">
        <is>
          <t>Bergvik skog väst AB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46322</v>
      </c>
      <c r="F137" t="inlineStr">
        <is>
          <t>UPPSALA LÄN</t>
        </is>
      </c>
      <c r="G137" t="inlineStr">
        <is>
          <t>HEBY</t>
        </is>
      </c>
      <c r="H137" t="inlineStr">
        <is>
          <t>Bergvik skog väst AB</t>
        </is>
      </c>
      <c r="I137" t="n">
        <v>16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46322</v>
      </c>
      <c r="F138" t="inlineStr">
        <is>
          <t>UPPSALA LÄN</t>
        </is>
      </c>
      <c r="G138" t="inlineStr">
        <is>
          <t>HEBY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46322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44978</v>
      </c>
      <c r="E140" s="1" t="n">
        <v>46322</v>
      </c>
      <c r="F140" t="inlineStr">
        <is>
          <t>UPPSALA LÄN</t>
        </is>
      </c>
      <c r="G140" t="inlineStr">
        <is>
          <t>HEBY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46322</v>
      </c>
      <c r="F141" t="inlineStr">
        <is>
          <t>UPPSALA LÄN</t>
        </is>
      </c>
      <c r="G141" t="inlineStr">
        <is>
          <t>HEBY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46322</v>
      </c>
      <c r="F142" t="inlineStr">
        <is>
          <t>UPPSALA LÄN</t>
        </is>
      </c>
      <c r="G142" t="inlineStr">
        <is>
          <t>HEBY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46322</v>
      </c>
      <c r="F143" t="inlineStr">
        <is>
          <t>UPPSALA LÄN</t>
        </is>
      </c>
      <c r="G143" t="inlineStr">
        <is>
          <t>HEBY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46322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45422</v>
      </c>
      <c r="E145" s="1" t="n">
        <v>46322</v>
      </c>
      <c r="F145" t="inlineStr">
        <is>
          <t>UPPSALA LÄN</t>
        </is>
      </c>
      <c r="G145" t="inlineStr">
        <is>
          <t>HEBY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46322</v>
      </c>
      <c r="F146" t="inlineStr">
        <is>
          <t>UPPSALA LÄN</t>
        </is>
      </c>
      <c r="G146" t="inlineStr">
        <is>
          <t>HEBY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73622-2021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46322</v>
      </c>
      <c r="F147" t="inlineStr">
        <is>
          <t>UPPSALA LÄN</t>
        </is>
      </c>
      <c r="G147" t="inlineStr">
        <is>
          <t>HEBY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46322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8182-2022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46322</v>
      </c>
      <c r="F149" t="inlineStr">
        <is>
          <t>UPPSALA LÄN</t>
        </is>
      </c>
      <c r="G149" t="inlineStr">
        <is>
          <t>HEBY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46322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46322</v>
      </c>
      <c r="F151" t="inlineStr">
        <is>
          <t>UPPSALA LÄN</t>
        </is>
      </c>
      <c r="G151" t="inlineStr">
        <is>
          <t>HEBY</t>
        </is>
      </c>
      <c r="I151" t="n">
        <v>10.3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46322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32181-2024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45511</v>
      </c>
      <c r="E153" s="1" t="n">
        <v>46322</v>
      </c>
      <c r="F153" t="inlineStr">
        <is>
          <t>UPPSALA LÄN</t>
        </is>
      </c>
      <c r="G153" t="inlineStr">
        <is>
          <t>HEBY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46322</v>
      </c>
      <c r="F154" t="inlineStr">
        <is>
          <t>UPPSALA LÄN</t>
        </is>
      </c>
      <c r="G154" t="inlineStr">
        <is>
          <t>HEBY</t>
        </is>
      </c>
      <c r="H154" t="inlineStr">
        <is>
          <t>Bergvik skog väst AB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44802</v>
      </c>
      <c r="E155" s="1" t="n">
        <v>46322</v>
      </c>
      <c r="F155" t="inlineStr">
        <is>
          <t>UPPSALA LÄN</t>
        </is>
      </c>
      <c r="G155" t="inlineStr">
        <is>
          <t>HEBY</t>
        </is>
      </c>
      <c r="I155" t="n">
        <v>12.1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44993</v>
      </c>
      <c r="E156" s="1" t="n">
        <v>46322</v>
      </c>
      <c r="F156" t="inlineStr">
        <is>
          <t>UPPSALA LÄN</t>
        </is>
      </c>
      <c r="G156" t="inlineStr">
        <is>
          <t>HEBY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46322</v>
      </c>
      <c r="F157" t="inlineStr">
        <is>
          <t>UPPSALA LÄN</t>
        </is>
      </c>
      <c r="G157" t="inlineStr">
        <is>
          <t>HEBY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45133</v>
      </c>
      <c r="E158" s="1" t="n">
        <v>46322</v>
      </c>
      <c r="F158" t="inlineStr">
        <is>
          <t>UPPSALA LÄN</t>
        </is>
      </c>
      <c r="G158" t="inlineStr">
        <is>
          <t>HEBY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45572</v>
      </c>
      <c r="E159" s="1" t="n">
        <v>46322</v>
      </c>
      <c r="F159" t="inlineStr">
        <is>
          <t>UPPSALA LÄN</t>
        </is>
      </c>
      <c r="G159" t="inlineStr">
        <is>
          <t>HEBY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45294</v>
      </c>
      <c r="E160" s="1" t="n">
        <v>46322</v>
      </c>
      <c r="F160" t="inlineStr">
        <is>
          <t>UPPSALA LÄN</t>
        </is>
      </c>
      <c r="G160" t="inlineStr">
        <is>
          <t>HEBY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46322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46322</v>
      </c>
      <c r="F162" t="inlineStr">
        <is>
          <t>UPPSALA LÄN</t>
        </is>
      </c>
      <c r="G162" t="inlineStr">
        <is>
          <t>HEBY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46322</v>
      </c>
      <c r="F163" t="inlineStr">
        <is>
          <t>UPPSALA LÄN</t>
        </is>
      </c>
      <c r="G163" t="inlineStr">
        <is>
          <t>HEBY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40533-2022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46322</v>
      </c>
      <c r="F164" t="inlineStr">
        <is>
          <t>UPPSALA LÄN</t>
        </is>
      </c>
      <c r="G164" t="inlineStr">
        <is>
          <t>HEBY</t>
        </is>
      </c>
      <c r="H164" t="inlineStr">
        <is>
          <t>Övriga Aktiebolag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46322</v>
      </c>
      <c r="F165" t="inlineStr">
        <is>
          <t>UPPSALA LÄN</t>
        </is>
      </c>
      <c r="G165" t="inlineStr">
        <is>
          <t>HEBY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44732</v>
      </c>
      <c r="E166" s="1" t="n">
        <v>46322</v>
      </c>
      <c r="F166" t="inlineStr">
        <is>
          <t>UPPSALA LÄN</t>
        </is>
      </c>
      <c r="G166" t="inlineStr">
        <is>
          <t>HEBY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45599</v>
      </c>
      <c r="E167" s="1" t="n">
        <v>46322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46322</v>
      </c>
      <c r="F168" t="inlineStr">
        <is>
          <t>UPPSALA LÄN</t>
        </is>
      </c>
      <c r="G168" t="inlineStr">
        <is>
          <t>HEBY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45118</v>
      </c>
      <c r="E169" s="1" t="n">
        <v>46322</v>
      </c>
      <c r="F169" t="inlineStr">
        <is>
          <t>UPPSALA LÄN</t>
        </is>
      </c>
      <c r="G169" t="inlineStr">
        <is>
          <t>HEBY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46322</v>
      </c>
      <c r="F170" t="inlineStr">
        <is>
          <t>UPPSALA LÄN</t>
        </is>
      </c>
      <c r="G170" t="inlineStr">
        <is>
          <t>HEBY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46322</v>
      </c>
      <c r="F171" t="inlineStr">
        <is>
          <t>UPPSALA LÄN</t>
        </is>
      </c>
      <c r="G171" t="inlineStr">
        <is>
          <t>HEBY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46322</v>
      </c>
      <c r="F172" t="inlineStr">
        <is>
          <t>UPPSALA LÄN</t>
        </is>
      </c>
      <c r="G172" t="inlineStr">
        <is>
          <t>HEBY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46322</v>
      </c>
      <c r="F173" t="inlineStr">
        <is>
          <t>UPPSALA LÄN</t>
        </is>
      </c>
      <c r="G173" t="inlineStr">
        <is>
          <t>HEBY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44849</v>
      </c>
      <c r="E174" s="1" t="n">
        <v>46322</v>
      </c>
      <c r="F174" t="inlineStr">
        <is>
          <t>UPPSALA LÄN</t>
        </is>
      </c>
      <c r="G174" t="inlineStr">
        <is>
          <t>HEBY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46322</v>
      </c>
      <c r="F175" t="inlineStr">
        <is>
          <t>UPPSALA LÄN</t>
        </is>
      </c>
      <c r="G175" t="inlineStr">
        <is>
          <t>HEBY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46322</v>
      </c>
      <c r="F176" t="inlineStr">
        <is>
          <t>UPPSALA LÄN</t>
        </is>
      </c>
      <c r="G176" t="inlineStr">
        <is>
          <t>HEBY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45195</v>
      </c>
      <c r="E177" s="1" t="n">
        <v>46322</v>
      </c>
      <c r="F177" t="inlineStr">
        <is>
          <t>UPPSALA LÄN</t>
        </is>
      </c>
      <c r="G177" t="inlineStr">
        <is>
          <t>HEBY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46322</v>
      </c>
      <c r="F178" t="inlineStr">
        <is>
          <t>UPPSALA LÄN</t>
        </is>
      </c>
      <c r="G178" t="inlineStr">
        <is>
          <t>HEBY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46322</v>
      </c>
      <c r="F179" t="inlineStr">
        <is>
          <t>UPPSALA LÄN</t>
        </is>
      </c>
      <c r="G179" t="inlineStr">
        <is>
          <t>HEBY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19654-2022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44694</v>
      </c>
      <c r="E180" s="1" t="n">
        <v>46322</v>
      </c>
      <c r="F180" t="inlineStr">
        <is>
          <t>UPPSALA LÄN</t>
        </is>
      </c>
      <c r="G180" t="inlineStr">
        <is>
          <t>HEBY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46322</v>
      </c>
      <c r="F181" t="inlineStr">
        <is>
          <t>UPPSALA LÄN</t>
        </is>
      </c>
      <c r="G181" t="inlineStr">
        <is>
          <t>HEBY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44753</v>
      </c>
      <c r="E182" s="1" t="n">
        <v>46322</v>
      </c>
      <c r="F182" t="inlineStr">
        <is>
          <t>UPPSALA LÄN</t>
        </is>
      </c>
      <c r="G182" t="inlineStr">
        <is>
          <t>HEBY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44613</v>
      </c>
      <c r="E183" s="1" t="n">
        <v>46322</v>
      </c>
      <c r="F183" t="inlineStr">
        <is>
          <t>UPPSALA LÄN</t>
        </is>
      </c>
      <c r="G183" t="inlineStr">
        <is>
          <t>HEBY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46322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44960</v>
      </c>
      <c r="E185" s="1" t="n">
        <v>46322</v>
      </c>
      <c r="F185" t="inlineStr">
        <is>
          <t>UPPSALA LÄN</t>
        </is>
      </c>
      <c r="G185" t="inlineStr">
        <is>
          <t>HEBY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46322</v>
      </c>
      <c r="F186" t="inlineStr">
        <is>
          <t>UPPSALA LÄN</t>
        </is>
      </c>
      <c r="G186" t="inlineStr">
        <is>
          <t>HEBY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44844</v>
      </c>
      <c r="E187" s="1" t="n">
        <v>46322</v>
      </c>
      <c r="F187" t="inlineStr">
        <is>
          <t>UPPSALA LÄN</t>
        </is>
      </c>
      <c r="G187" t="inlineStr">
        <is>
          <t>HEBY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44873</v>
      </c>
      <c r="E188" s="1" t="n">
        <v>46322</v>
      </c>
      <c r="F188" t="inlineStr">
        <is>
          <t>UPPSALA LÄN</t>
        </is>
      </c>
      <c r="G188" t="inlineStr">
        <is>
          <t>HEBY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46322</v>
      </c>
      <c r="F189" t="inlineStr">
        <is>
          <t>UPPSALA LÄN</t>
        </is>
      </c>
      <c r="G189" t="inlineStr">
        <is>
          <t>HEBY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70976-2021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44538</v>
      </c>
      <c r="E190" s="1" t="n">
        <v>46322</v>
      </c>
      <c r="F190" t="inlineStr">
        <is>
          <t>UPPSALA LÄN</t>
        </is>
      </c>
      <c r="G190" t="inlineStr">
        <is>
          <t>HEBY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46322</v>
      </c>
      <c r="F191" t="inlineStr">
        <is>
          <t>UPPSALA LÄN</t>
        </is>
      </c>
      <c r="G191" t="inlineStr">
        <is>
          <t>HEBY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46322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45035</v>
      </c>
      <c r="E193" s="1" t="n">
        <v>46322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46322</v>
      </c>
      <c r="F194" t="inlineStr">
        <is>
          <t>UPPSALA LÄN</t>
        </is>
      </c>
      <c r="G194" t="inlineStr">
        <is>
          <t>HEBY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46322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44981</v>
      </c>
      <c r="E196" s="1" t="n">
        <v>46322</v>
      </c>
      <c r="F196" t="inlineStr">
        <is>
          <t>UPPSALA LÄN</t>
        </is>
      </c>
      <c r="G196" t="inlineStr">
        <is>
          <t>HEBY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46322</v>
      </c>
      <c r="F197" t="inlineStr">
        <is>
          <t>UPPSALA LÄN</t>
        </is>
      </c>
      <c r="G197" t="inlineStr">
        <is>
          <t>HEBY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46322</v>
      </c>
      <c r="F198" t="inlineStr">
        <is>
          <t>UPPSALA LÄN</t>
        </is>
      </c>
      <c r="G198" t="inlineStr">
        <is>
          <t>HEBY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46322</v>
      </c>
      <c r="F199" t="inlineStr">
        <is>
          <t>UPPSALA LÄN</t>
        </is>
      </c>
      <c r="G199" t="inlineStr">
        <is>
          <t>HEBY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46322</v>
      </c>
      <c r="F200" t="inlineStr">
        <is>
          <t>UPPSALA LÄN</t>
        </is>
      </c>
      <c r="G200" t="inlineStr">
        <is>
          <t>HEBY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46322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46322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46322</v>
      </c>
      <c r="F203" t="inlineStr">
        <is>
          <t>UPPSALA LÄN</t>
        </is>
      </c>
      <c r="G203" t="inlineStr">
        <is>
          <t>HEBY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62650-2022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44925</v>
      </c>
      <c r="E204" s="1" t="n">
        <v>46322</v>
      </c>
      <c r="F204" t="inlineStr">
        <is>
          <t>UPPSALA LÄN</t>
        </is>
      </c>
      <c r="G204" t="inlineStr">
        <is>
          <t>HEBY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46322</v>
      </c>
      <c r="F205" t="inlineStr">
        <is>
          <t>UPPSALA LÄN</t>
        </is>
      </c>
      <c r="G205" t="inlineStr">
        <is>
          <t>HEBY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46322</v>
      </c>
      <c r="F206" t="inlineStr">
        <is>
          <t>UPPSALA LÄN</t>
        </is>
      </c>
      <c r="G206" t="inlineStr">
        <is>
          <t>HEBY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44620</v>
      </c>
      <c r="E207" s="1" t="n">
        <v>46322</v>
      </c>
      <c r="F207" t="inlineStr">
        <is>
          <t>UPPSALA LÄN</t>
        </is>
      </c>
      <c r="G207" t="inlineStr">
        <is>
          <t>HEBY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51333-2025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46322</v>
      </c>
      <c r="F208" t="inlineStr">
        <is>
          <t>UPPSALA LÄN</t>
        </is>
      </c>
      <c r="G208" t="inlineStr">
        <is>
          <t>HEBY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46322</v>
      </c>
      <c r="F209" t="inlineStr">
        <is>
          <t>UPPSALA LÄN</t>
        </is>
      </c>
      <c r="G209" t="inlineStr">
        <is>
          <t>HEBY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46322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72180-2021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46322</v>
      </c>
      <c r="F211" t="inlineStr">
        <is>
          <t>UPPSALA LÄN</t>
        </is>
      </c>
      <c r="G211" t="inlineStr">
        <is>
          <t>HEBY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46322</v>
      </c>
      <c r="F212" t="inlineStr">
        <is>
          <t>UPPSALA LÄN</t>
        </is>
      </c>
      <c r="G212" t="inlineStr">
        <is>
          <t>HEBY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44788</v>
      </c>
      <c r="E213" s="1" t="n">
        <v>46322</v>
      </c>
      <c r="F213" t="inlineStr">
        <is>
          <t>UPPSALA LÄN</t>
        </is>
      </c>
      <c r="G213" t="inlineStr">
        <is>
          <t>HEBY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46322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46322</v>
      </c>
      <c r="F215" t="inlineStr">
        <is>
          <t>UPPSALA LÄN</t>
        </is>
      </c>
      <c r="G215" t="inlineStr">
        <is>
          <t>HEBY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46322</v>
      </c>
      <c r="F216" t="inlineStr">
        <is>
          <t>UPPSALA LÄN</t>
        </is>
      </c>
      <c r="G216" t="inlineStr">
        <is>
          <t>HEBY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44684</v>
      </c>
      <c r="E217" s="1" t="n">
        <v>46322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46322</v>
      </c>
      <c r="F218" t="inlineStr">
        <is>
          <t>UPPSALA LÄN</t>
        </is>
      </c>
      <c r="G218" t="inlineStr">
        <is>
          <t>HEBY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44684</v>
      </c>
      <c r="E219" s="1" t="n">
        <v>46322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41.8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46322</v>
      </c>
      <c r="F220" t="inlineStr">
        <is>
          <t>UPPSALA LÄN</t>
        </is>
      </c>
      <c r="G220" t="inlineStr">
        <is>
          <t>HEBY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46322</v>
      </c>
      <c r="F221" t="inlineStr">
        <is>
          <t>UPPSALA LÄN</t>
        </is>
      </c>
      <c r="G221" t="inlineStr">
        <is>
          <t>HEBY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46322</v>
      </c>
      <c r="F222" t="inlineStr">
        <is>
          <t>UPPSALA LÄN</t>
        </is>
      </c>
      <c r="G222" t="inlineStr">
        <is>
          <t>HEBY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46322</v>
      </c>
      <c r="F223" t="inlineStr">
        <is>
          <t>UPPSALA LÄN</t>
        </is>
      </c>
      <c r="G223" t="inlineStr">
        <is>
          <t>HEBY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45394</v>
      </c>
      <c r="E224" s="1" t="n">
        <v>46322</v>
      </c>
      <c r="F224" t="inlineStr">
        <is>
          <t>UPPSALA LÄN</t>
        </is>
      </c>
      <c r="G224" t="inlineStr">
        <is>
          <t>HEBY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55488-2025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45971</v>
      </c>
      <c r="E225" s="1" t="n">
        <v>46322</v>
      </c>
      <c r="F225" t="inlineStr">
        <is>
          <t>UPPSALA LÄN</t>
        </is>
      </c>
      <c r="G225" t="inlineStr">
        <is>
          <t>HEBY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55496-2025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45971</v>
      </c>
      <c r="E226" s="1" t="n">
        <v>46322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46322</v>
      </c>
      <c r="F227" t="inlineStr">
        <is>
          <t>UPPSALA LÄN</t>
        </is>
      </c>
      <c r="G227" t="inlineStr">
        <is>
          <t>HEBY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44875</v>
      </c>
      <c r="E228" s="1" t="n">
        <v>46322</v>
      </c>
      <c r="F228" t="inlineStr">
        <is>
          <t>UPPSALA LÄN</t>
        </is>
      </c>
      <c r="G228" t="inlineStr">
        <is>
          <t>HEBY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66873-2021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44522</v>
      </c>
      <c r="E229" s="1" t="n">
        <v>46322</v>
      </c>
      <c r="F229" t="inlineStr">
        <is>
          <t>UPPSALA LÄN</t>
        </is>
      </c>
      <c r="G229" t="inlineStr">
        <is>
          <t>HEBY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44644</v>
      </c>
      <c r="E230" s="1" t="n">
        <v>46322</v>
      </c>
      <c r="F230" t="inlineStr">
        <is>
          <t>UPPSALA LÄN</t>
        </is>
      </c>
      <c r="G230" t="inlineStr">
        <is>
          <t>HEBY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46322</v>
      </c>
      <c r="F231" t="inlineStr">
        <is>
          <t>UPPSALA LÄN</t>
        </is>
      </c>
      <c r="G231" t="inlineStr">
        <is>
          <t>HEBY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45390</v>
      </c>
      <c r="E232" s="1" t="n">
        <v>46322</v>
      </c>
      <c r="F232" t="inlineStr">
        <is>
          <t>UPPSALA LÄN</t>
        </is>
      </c>
      <c r="G232" t="inlineStr">
        <is>
          <t>HEBY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46322</v>
      </c>
      <c r="F233" t="inlineStr">
        <is>
          <t>UPPSALA LÄN</t>
        </is>
      </c>
      <c r="G233" t="inlineStr">
        <is>
          <t>HEBY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50859-2022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44862</v>
      </c>
      <c r="E234" s="1" t="n">
        <v>46322</v>
      </c>
      <c r="F234" t="inlineStr">
        <is>
          <t>UPPSALA LÄN</t>
        </is>
      </c>
      <c r="G234" t="inlineStr">
        <is>
          <t>HEBY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46322</v>
      </c>
      <c r="F235" t="inlineStr">
        <is>
          <t>UPPSALA LÄN</t>
        </is>
      </c>
      <c r="G235" t="inlineStr">
        <is>
          <t>HEBY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46322</v>
      </c>
      <c r="F236" t="inlineStr">
        <is>
          <t>UPPSALA LÄN</t>
        </is>
      </c>
      <c r="G236" t="inlineStr">
        <is>
          <t>HEBY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46322</v>
      </c>
      <c r="F237" t="inlineStr">
        <is>
          <t>UPPSALA LÄN</t>
        </is>
      </c>
      <c r="G237" t="inlineStr">
        <is>
          <t>HEBY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60722-2022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44913</v>
      </c>
      <c r="E238" s="1" t="n">
        <v>46322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46322</v>
      </c>
      <c r="F239" t="inlineStr">
        <is>
          <t>UPPSALA LÄN</t>
        </is>
      </c>
      <c r="G239" t="inlineStr">
        <is>
          <t>HEBY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46322</v>
      </c>
      <c r="F240" t="inlineStr">
        <is>
          <t>UPPSALA LÄN</t>
        </is>
      </c>
      <c r="G240" t="inlineStr">
        <is>
          <t>HEBY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46322</v>
      </c>
      <c r="F241" t="inlineStr">
        <is>
          <t>UPPSALA LÄN</t>
        </is>
      </c>
      <c r="G241" t="inlineStr">
        <is>
          <t>HEBY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45133</v>
      </c>
      <c r="E242" s="1" t="n">
        <v>46322</v>
      </c>
      <c r="F242" t="inlineStr">
        <is>
          <t>UPPSALA LÄN</t>
        </is>
      </c>
      <c r="G242" t="inlineStr">
        <is>
          <t>HEBY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46322</v>
      </c>
      <c r="F243" t="inlineStr">
        <is>
          <t>UPPSALA LÄN</t>
        </is>
      </c>
      <c r="G243" t="inlineStr">
        <is>
          <t>HEBY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45519</v>
      </c>
      <c r="E244" s="1" t="n">
        <v>46322</v>
      </c>
      <c r="F244" t="inlineStr">
        <is>
          <t>UPPSALA LÄN</t>
        </is>
      </c>
      <c r="G244" t="inlineStr">
        <is>
          <t>HEBY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45112</v>
      </c>
      <c r="E245" s="1" t="n">
        <v>46322</v>
      </c>
      <c r="F245" t="inlineStr">
        <is>
          <t>UPPSALA LÄN</t>
        </is>
      </c>
      <c r="G245" t="inlineStr">
        <is>
          <t>HEBY</t>
        </is>
      </c>
      <c r="H245" t="inlineStr">
        <is>
          <t>Bergvik skog väst AB</t>
        </is>
      </c>
      <c r="I245" t="n">
        <v>12.3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45439</v>
      </c>
      <c r="E246" s="1" t="n">
        <v>46322</v>
      </c>
      <c r="F246" t="inlineStr">
        <is>
          <t>UPPSALA LÄN</t>
        </is>
      </c>
      <c r="G246" t="inlineStr">
        <is>
          <t>HEBY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45797</v>
      </c>
      <c r="E247" s="1" t="n">
        <v>46322</v>
      </c>
      <c r="F247" t="inlineStr">
        <is>
          <t>UPPSALA LÄN</t>
        </is>
      </c>
      <c r="G247" t="inlineStr">
        <is>
          <t>HEBY</t>
        </is>
      </c>
      <c r="H247" t="inlineStr">
        <is>
          <t>Kyrkan</t>
        </is>
      </c>
      <c r="I247" t="n">
        <v>10.6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45175</v>
      </c>
      <c r="E248" s="1" t="n">
        <v>46322</v>
      </c>
      <c r="F248" t="inlineStr">
        <is>
          <t>UPPSALA LÄN</t>
        </is>
      </c>
      <c r="G248" t="inlineStr">
        <is>
          <t>HEBY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46322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öst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46322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öst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46322</v>
      </c>
      <c r="F251" t="inlineStr">
        <is>
          <t>UPPSALA LÄN</t>
        </is>
      </c>
      <c r="G251" t="inlineStr">
        <is>
          <t>HEBY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46322</v>
      </c>
      <c r="F252" t="inlineStr">
        <is>
          <t>UPPSALA LÄN</t>
        </is>
      </c>
      <c r="G252" t="inlineStr">
        <is>
          <t>HEBY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46322</v>
      </c>
      <c r="F253" t="inlineStr">
        <is>
          <t>UPPSALA LÄN</t>
        </is>
      </c>
      <c r="G253" t="inlineStr">
        <is>
          <t>HEBY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44574</v>
      </c>
      <c r="E254" s="1" t="n">
        <v>46322</v>
      </c>
      <c r="F254" t="inlineStr">
        <is>
          <t>UPPSALA LÄN</t>
        </is>
      </c>
      <c r="G254" t="inlineStr">
        <is>
          <t>HEBY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46322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45803</v>
      </c>
      <c r="E256" s="1" t="n">
        <v>46322</v>
      </c>
      <c r="F256" t="inlineStr">
        <is>
          <t>UPPSALA LÄN</t>
        </is>
      </c>
      <c r="G256" t="inlineStr">
        <is>
          <t>HEBY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46322</v>
      </c>
      <c r="F257" t="inlineStr">
        <is>
          <t>UPPSALA LÄN</t>
        </is>
      </c>
      <c r="G257" t="inlineStr">
        <is>
          <t>HEBY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45705</v>
      </c>
      <c r="E258" s="1" t="n">
        <v>46322</v>
      </c>
      <c r="F258" t="inlineStr">
        <is>
          <t>UPPSALA LÄN</t>
        </is>
      </c>
      <c r="G258" t="inlineStr">
        <is>
          <t>HEBY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45321</v>
      </c>
      <c r="E259" s="1" t="n">
        <v>46322</v>
      </c>
      <c r="F259" t="inlineStr">
        <is>
          <t>UPPSALA LÄN</t>
        </is>
      </c>
      <c r="G259" t="inlineStr">
        <is>
          <t>HEBY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45804</v>
      </c>
      <c r="E260" s="1" t="n">
        <v>46322</v>
      </c>
      <c r="F260" t="inlineStr">
        <is>
          <t>UPPSALA LÄN</t>
        </is>
      </c>
      <c r="G260" t="inlineStr">
        <is>
          <t>HEBY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44886</v>
      </c>
      <c r="E261" s="1" t="n">
        <v>46322</v>
      </c>
      <c r="F261" t="inlineStr">
        <is>
          <t>UPPSALA LÄN</t>
        </is>
      </c>
      <c r="G261" t="inlineStr">
        <is>
          <t>HEBY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45804</v>
      </c>
      <c r="E262" s="1" t="n">
        <v>46322</v>
      </c>
      <c r="F262" t="inlineStr">
        <is>
          <t>UPPSALA LÄN</t>
        </is>
      </c>
      <c r="G262" t="inlineStr">
        <is>
          <t>HEBY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46322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46.8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45390</v>
      </c>
      <c r="E264" s="1" t="n">
        <v>46322</v>
      </c>
      <c r="F264" t="inlineStr">
        <is>
          <t>UPPSALA LÄN</t>
        </is>
      </c>
      <c r="G264" t="inlineStr">
        <is>
          <t>HEBY</t>
        </is>
      </c>
      <c r="I264" t="n">
        <v>15.8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45708</v>
      </c>
      <c r="E265" s="1" t="n">
        <v>46322</v>
      </c>
      <c r="F265" t="inlineStr">
        <is>
          <t>UPPSALA LÄN</t>
        </is>
      </c>
      <c r="G265" t="inlineStr">
        <is>
          <t>HEBY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46322</v>
      </c>
      <c r="F266" t="inlineStr">
        <is>
          <t>UPPSALA LÄN</t>
        </is>
      </c>
      <c r="G266" t="inlineStr">
        <is>
          <t>HEBY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46322</v>
      </c>
      <c r="F267" t="inlineStr">
        <is>
          <t>UPPSALA LÄN</t>
        </is>
      </c>
      <c r="G267" t="inlineStr">
        <is>
          <t>HEBY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46322</v>
      </c>
      <c r="F268" t="inlineStr">
        <is>
          <t>UPPSALA LÄN</t>
        </is>
      </c>
      <c r="G268" t="inlineStr">
        <is>
          <t>HEBY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45680</v>
      </c>
      <c r="E269" s="1" t="n">
        <v>46322</v>
      </c>
      <c r="F269" t="inlineStr">
        <is>
          <t>UPPSALA LÄN</t>
        </is>
      </c>
      <c r="G269" t="inlineStr">
        <is>
          <t>HEBY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45596</v>
      </c>
      <c r="E270" s="1" t="n">
        <v>46322</v>
      </c>
      <c r="F270" t="inlineStr">
        <is>
          <t>UPPSALA LÄN</t>
        </is>
      </c>
      <c r="G270" t="inlineStr">
        <is>
          <t>HEBY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46322</v>
      </c>
      <c r="F271" t="inlineStr">
        <is>
          <t>UPPSALA LÄN</t>
        </is>
      </c>
      <c r="G271" t="inlineStr">
        <is>
          <t>HEBY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46322</v>
      </c>
      <c r="F272" t="inlineStr">
        <is>
          <t>UPPSALA LÄN</t>
        </is>
      </c>
      <c r="G272" t="inlineStr">
        <is>
          <t>HEBY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46322</v>
      </c>
      <c r="F273" t="inlineStr">
        <is>
          <t>UPPSALA LÄN</t>
        </is>
      </c>
      <c r="G273" t="inlineStr">
        <is>
          <t>HEBY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45089</v>
      </c>
      <c r="E274" s="1" t="n">
        <v>46322</v>
      </c>
      <c r="F274" t="inlineStr">
        <is>
          <t>UPPSALA LÄN</t>
        </is>
      </c>
      <c r="G274" t="inlineStr">
        <is>
          <t>HEBY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46322</v>
      </c>
      <c r="F275" t="inlineStr">
        <is>
          <t>UPPSALA LÄN</t>
        </is>
      </c>
      <c r="G275" t="inlineStr">
        <is>
          <t>HEBY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46322</v>
      </c>
      <c r="F276" t="inlineStr">
        <is>
          <t>UPPSALA LÄN</t>
        </is>
      </c>
      <c r="G276" t="inlineStr">
        <is>
          <t>HEBY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46322</v>
      </c>
      <c r="F277" t="inlineStr">
        <is>
          <t>UPPSALA LÄN</t>
        </is>
      </c>
      <c r="G277" t="inlineStr">
        <is>
          <t>HEBY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45058</v>
      </c>
      <c r="E278" s="1" t="n">
        <v>46322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45453</v>
      </c>
      <c r="E279" s="1" t="n">
        <v>46322</v>
      </c>
      <c r="F279" t="inlineStr">
        <is>
          <t>UPPSALA LÄN</t>
        </is>
      </c>
      <c r="G279" t="inlineStr">
        <is>
          <t>HEBY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62042-2025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46005</v>
      </c>
      <c r="E280" s="1" t="n">
        <v>46322</v>
      </c>
      <c r="F280" t="inlineStr">
        <is>
          <t>UPPSALA LÄN</t>
        </is>
      </c>
      <c r="G280" t="inlineStr">
        <is>
          <t>HEBY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45818</v>
      </c>
      <c r="E281" s="1" t="n">
        <v>46322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46322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28558-2025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45818</v>
      </c>
      <c r="E283" s="1" t="n">
        <v>46322</v>
      </c>
      <c r="F283" t="inlineStr">
        <is>
          <t>UPPSALA LÄN</t>
        </is>
      </c>
      <c r="G283" t="inlineStr">
        <is>
          <t>HEBY</t>
        </is>
      </c>
      <c r="H283" t="inlineStr">
        <is>
          <t>Kyrkan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46322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46322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46322</v>
      </c>
      <c r="F286" t="inlineStr">
        <is>
          <t>UPPSALA LÄN</t>
        </is>
      </c>
      <c r="G286" t="inlineStr">
        <is>
          <t>HEBY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45502</v>
      </c>
      <c r="E287" s="1" t="n">
        <v>46322</v>
      </c>
      <c r="F287" t="inlineStr">
        <is>
          <t>UPPSALA LÄN</t>
        </is>
      </c>
      <c r="G287" t="inlineStr">
        <is>
          <t>HEBY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46322</v>
      </c>
      <c r="F288" t="inlineStr">
        <is>
          <t>UPPSALA LÄN</t>
        </is>
      </c>
      <c r="G288" t="inlineStr">
        <is>
          <t>HEBY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45006</v>
      </c>
      <c r="E289" s="1" t="n">
        <v>46322</v>
      </c>
      <c r="F289" t="inlineStr">
        <is>
          <t>UPPSALA LÄN</t>
        </is>
      </c>
      <c r="G289" t="inlineStr">
        <is>
          <t>HEBY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46322</v>
      </c>
      <c r="F290" t="inlineStr">
        <is>
          <t>UPPSALA LÄN</t>
        </is>
      </c>
      <c r="G290" t="inlineStr">
        <is>
          <t>HEBY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44609</v>
      </c>
      <c r="E291" s="1" t="n">
        <v>46322</v>
      </c>
      <c r="F291" t="inlineStr">
        <is>
          <t>UPPSALA LÄN</t>
        </is>
      </c>
      <c r="G291" t="inlineStr">
        <is>
          <t>HEBY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46322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46322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43.4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45567</v>
      </c>
      <c r="E294" s="1" t="n">
        <v>46322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46322</v>
      </c>
      <c r="F295" t="inlineStr">
        <is>
          <t>UPPSALA LÄN</t>
        </is>
      </c>
      <c r="G295" t="inlineStr">
        <is>
          <t>HEBY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62132-2022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44914</v>
      </c>
      <c r="E296" s="1" t="n">
        <v>46322</v>
      </c>
      <c r="F296" t="inlineStr">
        <is>
          <t>UPPSALA LÄN</t>
        </is>
      </c>
      <c r="G296" t="inlineStr">
        <is>
          <t>HEBY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51091-2023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45218</v>
      </c>
      <c r="E297" s="1" t="n">
        <v>46322</v>
      </c>
      <c r="F297" t="inlineStr">
        <is>
          <t>UPPSALA LÄN</t>
        </is>
      </c>
      <c r="G297" t="inlineStr">
        <is>
          <t>HEBY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46023</v>
      </c>
      <c r="E298" s="1" t="n">
        <v>46322</v>
      </c>
      <c r="F298" t="inlineStr">
        <is>
          <t>UPPSALA LÄN</t>
        </is>
      </c>
      <c r="G298" t="inlineStr">
        <is>
          <t>HEBY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44781</v>
      </c>
      <c r="E299" s="1" t="n">
        <v>46322</v>
      </c>
      <c r="F299" t="inlineStr">
        <is>
          <t>UPPSALA LÄN</t>
        </is>
      </c>
      <c r="G299" t="inlineStr">
        <is>
          <t>HEBY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46322</v>
      </c>
      <c r="F300" t="inlineStr">
        <is>
          <t>UPPSALA LÄN</t>
        </is>
      </c>
      <c r="G300" t="inlineStr">
        <is>
          <t>HEBY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44984</v>
      </c>
      <c r="E301" s="1" t="n">
        <v>46322</v>
      </c>
      <c r="F301" t="inlineStr">
        <is>
          <t>UPPSALA LÄN</t>
        </is>
      </c>
      <c r="G301" t="inlineStr">
        <is>
          <t>HEBY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46322</v>
      </c>
      <c r="F302" t="inlineStr">
        <is>
          <t>UPPSALA LÄN</t>
        </is>
      </c>
      <c r="G302" t="inlineStr">
        <is>
          <t>HEBY</t>
        </is>
      </c>
      <c r="H302" t="inlineStr">
        <is>
          <t>Allmännings- och besparingsskogar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44623</v>
      </c>
      <c r="E303" s="1" t="n">
        <v>46322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44601</v>
      </c>
      <c r="E304" s="1" t="n">
        <v>46322</v>
      </c>
      <c r="F304" t="inlineStr">
        <is>
          <t>UPPSALA LÄN</t>
        </is>
      </c>
      <c r="G304" t="inlineStr">
        <is>
          <t>HEBY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45825</v>
      </c>
      <c r="E305" s="1" t="n">
        <v>46322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väst AB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46322</v>
      </c>
      <c r="F306" t="inlineStr">
        <is>
          <t>UPPSALA LÄN</t>
        </is>
      </c>
      <c r="G306" t="inlineStr">
        <is>
          <t>HEBY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34072-2025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45845</v>
      </c>
      <c r="E307" s="1" t="n">
        <v>46322</v>
      </c>
      <c r="F307" t="inlineStr">
        <is>
          <t>UPPSALA LÄN</t>
        </is>
      </c>
      <c r="G307" t="inlineStr">
        <is>
          <t>HEBY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46322</v>
      </c>
      <c r="F308" t="inlineStr">
        <is>
          <t>UPPSALA LÄN</t>
        </is>
      </c>
      <c r="G308" t="inlineStr">
        <is>
          <t>HEBY</t>
        </is>
      </c>
      <c r="H308" t="inlineStr">
        <is>
          <t>Kyrkan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45852</v>
      </c>
      <c r="E309" s="1" t="n">
        <v>46322</v>
      </c>
      <c r="F309" t="inlineStr">
        <is>
          <t>UPPSALA LÄN</t>
        </is>
      </c>
      <c r="G309" t="inlineStr">
        <is>
          <t>HEBY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45339</v>
      </c>
      <c r="E310" s="1" t="n">
        <v>46322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46322</v>
      </c>
      <c r="F311" t="inlineStr">
        <is>
          <t>UPPSALA LÄN</t>
        </is>
      </c>
      <c r="G311" t="inlineStr">
        <is>
          <t>HEBY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45331</v>
      </c>
      <c r="E312" s="1" t="n">
        <v>46322</v>
      </c>
      <c r="F312" t="inlineStr">
        <is>
          <t>UPPSALA LÄN</t>
        </is>
      </c>
      <c r="G312" t="inlineStr">
        <is>
          <t>HEBY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54594-2024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45617</v>
      </c>
      <c r="E313" s="1" t="n">
        <v>46322</v>
      </c>
      <c r="F313" t="inlineStr">
        <is>
          <t>UPPSALA LÄN</t>
        </is>
      </c>
      <c r="G313" t="inlineStr">
        <is>
          <t>HEBY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44614</v>
      </c>
      <c r="E314" s="1" t="n">
        <v>46322</v>
      </c>
      <c r="F314" t="inlineStr">
        <is>
          <t>UPPSALA LÄN</t>
        </is>
      </c>
      <c r="G314" t="inlineStr">
        <is>
          <t>HEBY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46322</v>
      </c>
      <c r="F315" t="inlineStr">
        <is>
          <t>UPPSALA LÄN</t>
        </is>
      </c>
      <c r="G315" t="inlineStr">
        <is>
          <t>HEBY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45519</v>
      </c>
      <c r="E316" s="1" t="n">
        <v>46322</v>
      </c>
      <c r="F316" t="inlineStr">
        <is>
          <t>UPPSALA LÄN</t>
        </is>
      </c>
      <c r="G316" t="inlineStr">
        <is>
          <t>HEBY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45519</v>
      </c>
      <c r="E317" s="1" t="n">
        <v>46322</v>
      </c>
      <c r="F317" t="inlineStr">
        <is>
          <t>UPPSALA LÄN</t>
        </is>
      </c>
      <c r="G317" t="inlineStr">
        <is>
          <t>HEBY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45586</v>
      </c>
      <c r="E318" s="1" t="n">
        <v>46322</v>
      </c>
      <c r="F318" t="inlineStr">
        <is>
          <t>UPPSALA LÄN</t>
        </is>
      </c>
      <c r="G318" t="inlineStr">
        <is>
          <t>HEBY</t>
        </is>
      </c>
      <c r="H318" t="inlineStr">
        <is>
          <t>Kyrkan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21000-2022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44701</v>
      </c>
      <c r="E319" s="1" t="n">
        <v>46322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46322</v>
      </c>
      <c r="F320" t="inlineStr">
        <is>
          <t>UPPSALA LÄN</t>
        </is>
      </c>
      <c r="G320" t="inlineStr">
        <is>
          <t>HEBY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46322</v>
      </c>
      <c r="F321" t="inlineStr">
        <is>
          <t>UPPSALA LÄN</t>
        </is>
      </c>
      <c r="G321" t="inlineStr">
        <is>
          <t>HEBY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46322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46322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46322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66.90000000000001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45132</v>
      </c>
      <c r="E325" s="1" t="n">
        <v>46322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45342</v>
      </c>
      <c r="E326" s="1" t="n">
        <v>46322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46051</v>
      </c>
      <c r="E327" s="1" t="n">
        <v>46322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46322</v>
      </c>
      <c r="F328" t="inlineStr">
        <is>
          <t>UPPSALA LÄN</t>
        </is>
      </c>
      <c r="G328" t="inlineStr">
        <is>
          <t>HEBY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46322</v>
      </c>
      <c r="F329" t="inlineStr">
        <is>
          <t>UPPSALA LÄN</t>
        </is>
      </c>
      <c r="G329" t="inlineStr">
        <is>
          <t>HEBY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11555-2026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46084</v>
      </c>
      <c r="E330" s="1" t="n">
        <v>46322</v>
      </c>
      <c r="F330" t="inlineStr">
        <is>
          <t>UPPSALA LÄN</t>
        </is>
      </c>
      <c r="G330" t="inlineStr">
        <is>
          <t>HEBY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46205</v>
      </c>
      <c r="E331" s="1" t="n">
        <v>46322</v>
      </c>
      <c r="F331" t="inlineStr">
        <is>
          <t>UPPSALA LÄN</t>
        </is>
      </c>
      <c r="G331" t="inlineStr">
        <is>
          <t>HEBY</t>
        </is>
      </c>
      <c r="H331" t="inlineStr">
        <is>
          <t>Kyrkan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46322</v>
      </c>
      <c r="F332" t="inlineStr">
        <is>
          <t>UPPSALA LÄN</t>
        </is>
      </c>
      <c r="G332" t="inlineStr">
        <is>
          <t>HEBY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46322</v>
      </c>
      <c r="F333" t="inlineStr">
        <is>
          <t>UPPSALA LÄN</t>
        </is>
      </c>
      <c r="G333" t="inlineStr">
        <is>
          <t>HEBY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46322</v>
      </c>
      <c r="F334" t="inlineStr">
        <is>
          <t>UPPSALA LÄN</t>
        </is>
      </c>
      <c r="G334" t="inlineStr">
        <is>
          <t>HEBY</t>
        </is>
      </c>
      <c r="H334" t="inlineStr">
        <is>
          <t>Kommuner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20995-2025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45777</v>
      </c>
      <c r="E335" s="1" t="n">
        <v>46322</v>
      </c>
      <c r="F335" t="inlineStr">
        <is>
          <t>UPPSALA LÄN</t>
        </is>
      </c>
      <c r="G335" t="inlineStr">
        <is>
          <t>HEBY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46322</v>
      </c>
      <c r="F336" t="inlineStr">
        <is>
          <t>UPPSALA LÄN</t>
        </is>
      </c>
      <c r="G336" t="inlineStr">
        <is>
          <t>HEBY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46322</v>
      </c>
      <c r="F337" t="inlineStr">
        <is>
          <t>UPPSALA LÄN</t>
        </is>
      </c>
      <c r="G337" t="inlineStr">
        <is>
          <t>HEBY</t>
        </is>
      </c>
      <c r="H337" t="inlineStr">
        <is>
          <t>Kommuner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46322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46322</v>
      </c>
      <c r="F339" t="inlineStr">
        <is>
          <t>UPPSALA LÄN</t>
        </is>
      </c>
      <c r="G339" t="inlineStr">
        <is>
          <t>HEBY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46322</v>
      </c>
      <c r="F340" t="inlineStr">
        <is>
          <t>UPPSALA LÄN</t>
        </is>
      </c>
      <c r="G340" t="inlineStr">
        <is>
          <t>HEBY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46322</v>
      </c>
      <c r="F341" t="inlineStr">
        <is>
          <t>UPPSALA LÄN</t>
        </is>
      </c>
      <c r="G341" t="inlineStr">
        <is>
          <t>HEBY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46322</v>
      </c>
      <c r="F342" t="inlineStr">
        <is>
          <t>UPPSALA LÄN</t>
        </is>
      </c>
      <c r="G342" t="inlineStr">
        <is>
          <t>HEBY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45674</v>
      </c>
      <c r="E343" s="1" t="n">
        <v>46322</v>
      </c>
      <c r="F343" t="inlineStr">
        <is>
          <t>UPPSALA LÄN</t>
        </is>
      </c>
      <c r="G343" t="inlineStr">
        <is>
          <t>HEBY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46322</v>
      </c>
      <c r="F344" t="inlineStr">
        <is>
          <t>UPPSALA LÄN</t>
        </is>
      </c>
      <c r="G344" t="inlineStr">
        <is>
          <t>HEBY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8003-2026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46063</v>
      </c>
      <c r="E345" s="1" t="n">
        <v>46322</v>
      </c>
      <c r="F345" t="inlineStr">
        <is>
          <t>UPPSALA LÄN</t>
        </is>
      </c>
      <c r="G345" t="inlineStr">
        <is>
          <t>HEBY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70158-2021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44533</v>
      </c>
      <c r="E346" s="1" t="n">
        <v>46322</v>
      </c>
      <c r="F346" t="inlineStr">
        <is>
          <t>UPPSALA LÄN</t>
        </is>
      </c>
      <c r="G346" t="inlineStr">
        <is>
          <t>HEBY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46322</v>
      </c>
      <c r="F347" t="inlineStr">
        <is>
          <t>UPPSALA LÄN</t>
        </is>
      </c>
      <c r="G347" t="inlineStr">
        <is>
          <t>HEBY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29570-2022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44754</v>
      </c>
      <c r="E348" s="1" t="n">
        <v>46322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öst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19990-2022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44697</v>
      </c>
      <c r="E349" s="1" t="n">
        <v>46322</v>
      </c>
      <c r="F349" t="inlineStr">
        <is>
          <t>UPPSALA LÄN</t>
        </is>
      </c>
      <c r="G349" t="inlineStr">
        <is>
          <t>HEBY</t>
        </is>
      </c>
      <c r="H349" t="inlineStr">
        <is>
          <t>Bergvik skog väst AB</t>
        </is>
      </c>
      <c r="I349" t="n">
        <v>14.3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46322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46322</v>
      </c>
      <c r="F351" t="inlineStr">
        <is>
          <t>UPPSALA LÄN</t>
        </is>
      </c>
      <c r="G351" t="inlineStr">
        <is>
          <t>HEBY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58124-2022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46322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44701</v>
      </c>
      <c r="E353" s="1" t="n">
        <v>46322</v>
      </c>
      <c r="F353" t="inlineStr">
        <is>
          <t>UPPSALA LÄN</t>
        </is>
      </c>
      <c r="G353" t="inlineStr">
        <is>
          <t>HEBY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46322</v>
      </c>
      <c r="F354" t="inlineStr">
        <is>
          <t>UPPSALA LÄN</t>
        </is>
      </c>
      <c r="G354" t="inlineStr">
        <is>
          <t>HEBY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46322</v>
      </c>
      <c r="F355" t="inlineStr">
        <is>
          <t>UPPSALA LÄN</t>
        </is>
      </c>
      <c r="G355" t="inlineStr">
        <is>
          <t>HEBY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46322</v>
      </c>
      <c r="F356" t="inlineStr">
        <is>
          <t>UPPSALA LÄN</t>
        </is>
      </c>
      <c r="G356" t="inlineStr">
        <is>
          <t>HEBY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45006</v>
      </c>
      <c r="E357" s="1" t="n">
        <v>46322</v>
      </c>
      <c r="F357" t="inlineStr">
        <is>
          <t>UPPSALA LÄN</t>
        </is>
      </c>
      <c r="G357" t="inlineStr">
        <is>
          <t>HEBY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46322</v>
      </c>
      <c r="F358" t="inlineStr">
        <is>
          <t>UPPSALA LÄN</t>
        </is>
      </c>
      <c r="G358" t="inlineStr">
        <is>
          <t>HEBY</t>
        </is>
      </c>
      <c r="I358" t="n">
        <v>11.5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46322</v>
      </c>
      <c r="F359" t="inlineStr">
        <is>
          <t>UPPSALA LÄN</t>
        </is>
      </c>
      <c r="G359" t="inlineStr">
        <is>
          <t>HEBY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46220</v>
      </c>
      <c r="E360" s="1" t="n">
        <v>46322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55.9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46223</v>
      </c>
      <c r="E361" s="1" t="n">
        <v>46322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väst AB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46322</v>
      </c>
      <c r="F362" t="inlineStr">
        <is>
          <t>UPPSALA LÄN</t>
        </is>
      </c>
      <c r="G362" t="inlineStr">
        <is>
          <t>HEBY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42938-2022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44833</v>
      </c>
      <c r="E363" s="1" t="n">
        <v>46322</v>
      </c>
      <c r="F363" t="inlineStr">
        <is>
          <t>UPPSALA LÄN</t>
        </is>
      </c>
      <c r="G363" t="inlineStr">
        <is>
          <t>HEBY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44978</v>
      </c>
      <c r="E364" s="1" t="n">
        <v>46322</v>
      </c>
      <c r="F364" t="inlineStr">
        <is>
          <t>UPPSALA LÄN</t>
        </is>
      </c>
      <c r="G364" t="inlineStr">
        <is>
          <t>HEBY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46224</v>
      </c>
      <c r="E365" s="1" t="n">
        <v>46322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44568</v>
      </c>
      <c r="E366" s="1" t="n">
        <v>46322</v>
      </c>
      <c r="F366" t="inlineStr">
        <is>
          <t>UPPSALA LÄN</t>
        </is>
      </c>
      <c r="G366" t="inlineStr">
        <is>
          <t>HEBY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46322</v>
      </c>
      <c r="F367" t="inlineStr">
        <is>
          <t>UPPSALA LÄN</t>
        </is>
      </c>
      <c r="G367" t="inlineStr">
        <is>
          <t>HEBY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44939</v>
      </c>
      <c r="E368" s="1" t="n">
        <v>46322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45321</v>
      </c>
      <c r="E369" s="1" t="n">
        <v>46322</v>
      </c>
      <c r="F369" t="inlineStr">
        <is>
          <t>UPPSALA LÄN</t>
        </is>
      </c>
      <c r="G369" t="inlineStr">
        <is>
          <t>HEBY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46231</v>
      </c>
      <c r="E370" s="1" t="n">
        <v>46322</v>
      </c>
      <c r="F370" t="inlineStr">
        <is>
          <t>UPPSALA LÄN</t>
        </is>
      </c>
      <c r="G370" t="inlineStr">
        <is>
          <t>HEBY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46231</v>
      </c>
      <c r="E371" s="1" t="n">
        <v>46322</v>
      </c>
      <c r="F371" t="inlineStr">
        <is>
          <t>UPPSALA LÄN</t>
        </is>
      </c>
      <c r="G371" t="inlineStr">
        <is>
          <t>HEBY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46322</v>
      </c>
      <c r="F372" t="inlineStr">
        <is>
          <t>UPPSALA LÄN</t>
        </is>
      </c>
      <c r="G372" t="inlineStr">
        <is>
          <t>HEBY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46322</v>
      </c>
      <c r="F373" t="inlineStr">
        <is>
          <t>UPPSALA LÄN</t>
        </is>
      </c>
      <c r="G373" t="inlineStr">
        <is>
          <t>HEBY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46322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46322</v>
      </c>
      <c r="F375" t="inlineStr">
        <is>
          <t>UPPSALA LÄN</t>
        </is>
      </c>
      <c r="G375" t="inlineStr">
        <is>
          <t>HEBY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46322</v>
      </c>
      <c r="F376" t="inlineStr">
        <is>
          <t>UPPSALA LÄN</t>
        </is>
      </c>
      <c r="G376" t="inlineStr">
        <is>
          <t>HEBY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46322</v>
      </c>
      <c r="F377" t="inlineStr">
        <is>
          <t>UPPSALA LÄN</t>
        </is>
      </c>
      <c r="G377" t="inlineStr">
        <is>
          <t>HEBY</t>
        </is>
      </c>
      <c r="H377" t="inlineStr">
        <is>
          <t>Kyrkan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46237</v>
      </c>
      <c r="E378" s="1" t="n">
        <v>46322</v>
      </c>
      <c r="F378" t="inlineStr">
        <is>
          <t>UPPSALA LÄN</t>
        </is>
      </c>
      <c r="G378" t="inlineStr">
        <is>
          <t>HEBY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45090</v>
      </c>
      <c r="E379" s="1" t="n">
        <v>46322</v>
      </c>
      <c r="F379" t="inlineStr">
        <is>
          <t>UPPSALA LÄN</t>
        </is>
      </c>
      <c r="G379" t="inlineStr">
        <is>
          <t>HEBY</t>
        </is>
      </c>
      <c r="H379" t="inlineStr">
        <is>
          <t>Övriga Aktiebolag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46237</v>
      </c>
      <c r="E380" s="1" t="n">
        <v>46322</v>
      </c>
      <c r="F380" t="inlineStr">
        <is>
          <t>UPPSALA LÄN</t>
        </is>
      </c>
      <c r="G380" t="inlineStr">
        <is>
          <t>HEBY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46237</v>
      </c>
      <c r="E381" s="1" t="n">
        <v>46322</v>
      </c>
      <c r="F381" t="inlineStr">
        <is>
          <t>UPPSALA LÄN</t>
        </is>
      </c>
      <c r="G381" t="inlineStr">
        <is>
          <t>HEBY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45058</v>
      </c>
      <c r="E382" s="1" t="n">
        <v>46322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45390</v>
      </c>
      <c r="E383" s="1" t="n">
        <v>46322</v>
      </c>
      <c r="F383" t="inlineStr">
        <is>
          <t>UPPSALA LÄN</t>
        </is>
      </c>
      <c r="G383" t="inlineStr">
        <is>
          <t>HEBY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46322</v>
      </c>
      <c r="F384" t="inlineStr">
        <is>
          <t>UPPSALA LÄN</t>
        </is>
      </c>
      <c r="G384" t="inlineStr">
        <is>
          <t>HEBY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45181</v>
      </c>
      <c r="E385" s="1" t="n">
        <v>46322</v>
      </c>
      <c r="F385" t="inlineStr">
        <is>
          <t>UPPSALA LÄN</t>
        </is>
      </c>
      <c r="G385" t="inlineStr">
        <is>
          <t>HEBY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45351</v>
      </c>
      <c r="E386" s="1" t="n">
        <v>46322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46280</v>
      </c>
      <c r="E387" s="1" t="n">
        <v>46322</v>
      </c>
      <c r="F387" t="inlineStr">
        <is>
          <t>UPPSALA LÄN</t>
        </is>
      </c>
      <c r="G387" t="inlineStr">
        <is>
          <t>HEBY</t>
        </is>
      </c>
      <c r="H387" t="inlineStr">
        <is>
          <t>Sveaskog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46280</v>
      </c>
      <c r="E388" s="1" t="n">
        <v>46322</v>
      </c>
      <c r="F388" t="inlineStr">
        <is>
          <t>UPPSALA LÄN</t>
        </is>
      </c>
      <c r="G388" t="inlineStr">
        <is>
          <t>HEBY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46280</v>
      </c>
      <c r="E389" s="1" t="n">
        <v>46322</v>
      </c>
      <c r="F389" t="inlineStr">
        <is>
          <t>UPPSALA LÄN</t>
        </is>
      </c>
      <c r="G389" t="inlineStr">
        <is>
          <t>HEBY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46110</v>
      </c>
      <c r="E390" s="1" t="n">
        <v>46322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46322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46322</v>
      </c>
      <c r="F392" t="inlineStr">
        <is>
          <t>UPPSALA LÄN</t>
        </is>
      </c>
      <c r="G392" t="inlineStr">
        <is>
          <t>HEBY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31407-2023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45114</v>
      </c>
      <c r="E393" s="1" t="n">
        <v>46322</v>
      </c>
      <c r="F393" t="inlineStr">
        <is>
          <t>UPPSALA LÄN</t>
        </is>
      </c>
      <c r="G393" t="inlineStr">
        <is>
          <t>HEBY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46322</v>
      </c>
      <c r="F394" t="inlineStr">
        <is>
          <t>UPPSALA LÄN</t>
        </is>
      </c>
      <c r="G394" t="inlineStr">
        <is>
          <t>HEBY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16506-2026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46112</v>
      </c>
      <c r="E395" s="1" t="n">
        <v>46322</v>
      </c>
      <c r="F395" t="inlineStr">
        <is>
          <t>UPPSALA LÄN</t>
        </is>
      </c>
      <c r="G395" t="inlineStr">
        <is>
          <t>HEBY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46322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46322</v>
      </c>
      <c r="F397" t="inlineStr">
        <is>
          <t>UPPSALA LÄN</t>
        </is>
      </c>
      <c r="G397" t="inlineStr">
        <is>
          <t>HEBY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46322</v>
      </c>
      <c r="F398" t="inlineStr">
        <is>
          <t>UPPSALA LÄN</t>
        </is>
      </c>
      <c r="G398" t="inlineStr">
        <is>
          <t>HEBY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19721-2022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46322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46281</v>
      </c>
      <c r="E400" s="1" t="n">
        <v>46322</v>
      </c>
      <c r="F400" t="inlineStr">
        <is>
          <t>UPPSALA LÄN</t>
        </is>
      </c>
      <c r="G400" t="inlineStr">
        <is>
          <t>HEBY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48956-2023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45209</v>
      </c>
      <c r="E401" s="1" t="n">
        <v>46322</v>
      </c>
      <c r="F401" t="inlineStr">
        <is>
          <t>UPPSALA LÄN</t>
        </is>
      </c>
      <c r="G401" t="inlineStr">
        <is>
          <t>HEBY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45197</v>
      </c>
      <c r="E402" s="1" t="n">
        <v>46322</v>
      </c>
      <c r="F402" t="inlineStr">
        <is>
          <t>UPPSALA LÄN</t>
        </is>
      </c>
      <c r="G402" t="inlineStr">
        <is>
          <t>HEBY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41599-2023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46322</v>
      </c>
      <c r="F403" t="inlineStr">
        <is>
          <t>UPPSALA LÄN</t>
        </is>
      </c>
      <c r="G403" t="inlineStr">
        <is>
          <t>HEBY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46322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46322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45740</v>
      </c>
      <c r="E406" s="1" t="n">
        <v>46322</v>
      </c>
      <c r="F406" t="inlineStr">
        <is>
          <t>UPPSALA LÄN</t>
        </is>
      </c>
      <c r="G406" t="inlineStr">
        <is>
          <t>HEBY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46133</v>
      </c>
      <c r="E407" s="1" t="n">
        <v>46322</v>
      </c>
      <c r="F407" t="inlineStr">
        <is>
          <t>UPPSALA LÄN</t>
        </is>
      </c>
      <c r="G407" t="inlineStr">
        <is>
          <t>HEBY</t>
        </is>
      </c>
      <c r="H407" t="inlineStr">
        <is>
          <t>Kyrkan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46322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45218</v>
      </c>
      <c r="E409" s="1" t="n">
        <v>46322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46322</v>
      </c>
      <c r="F410" t="inlineStr">
        <is>
          <t>UPPSALA LÄN</t>
        </is>
      </c>
      <c r="G410" t="inlineStr">
        <is>
          <t>HEBY</t>
        </is>
      </c>
      <c r="H410" t="inlineStr">
        <is>
          <t>Bergvik skog väst AB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58332-2023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45250</v>
      </c>
      <c r="E411" s="1" t="n">
        <v>46322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69377-2021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44531</v>
      </c>
      <c r="E412" s="1" t="n">
        <v>46322</v>
      </c>
      <c r="F412" t="inlineStr">
        <is>
          <t>UPPSALA LÄN</t>
        </is>
      </c>
      <c r="G412" t="inlineStr">
        <is>
          <t>HEBY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64364-2021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44511</v>
      </c>
      <c r="E413" s="1" t="n">
        <v>46322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45904</v>
      </c>
      <c r="E414" s="1" t="n">
        <v>46322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öst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39536-2024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46322</v>
      </c>
      <c r="F415" t="inlineStr">
        <is>
          <t>UPPSALA LÄN</t>
        </is>
      </c>
      <c r="G415" t="inlineStr">
        <is>
          <t>HEBY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45884</v>
      </c>
      <c r="E416" s="1" t="n">
        <v>46322</v>
      </c>
      <c r="F416" t="inlineStr">
        <is>
          <t>UPPSALA LÄN</t>
        </is>
      </c>
      <c r="G416" t="inlineStr">
        <is>
          <t>HEBY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45029</v>
      </c>
      <c r="E417" s="1" t="n">
        <v>46322</v>
      </c>
      <c r="F417" t="inlineStr">
        <is>
          <t>UPPSALA LÄN</t>
        </is>
      </c>
      <c r="G417" t="inlineStr">
        <is>
          <t>HEBY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45932</v>
      </c>
      <c r="E418" s="1" t="n">
        <v>46322</v>
      </c>
      <c r="F418" t="inlineStr">
        <is>
          <t>UPPSALA LÄN</t>
        </is>
      </c>
      <c r="G418" t="inlineStr">
        <is>
          <t>HEBY</t>
        </is>
      </c>
      <c r="H418" t="inlineStr">
        <is>
          <t>Allmännings- och besparingsskogar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45317</v>
      </c>
      <c r="E419" s="1" t="n">
        <v>46322</v>
      </c>
      <c r="F419" t="inlineStr">
        <is>
          <t>UPPSALA LÄN</t>
        </is>
      </c>
      <c r="G419" t="inlineStr">
        <is>
          <t>HEBY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45406</v>
      </c>
      <c r="E420" s="1" t="n">
        <v>46322</v>
      </c>
      <c r="F420" t="inlineStr">
        <is>
          <t>UPPSALA LÄN</t>
        </is>
      </c>
      <c r="G420" t="inlineStr">
        <is>
          <t>HEBY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45599</v>
      </c>
      <c r="E421" s="1" t="n">
        <v>46322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46322</v>
      </c>
      <c r="F422" t="inlineStr">
        <is>
          <t>UPPSALA LÄN</t>
        </is>
      </c>
      <c r="G422" t="inlineStr">
        <is>
          <t>HEBY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39831-2025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45891</v>
      </c>
      <c r="E423" s="1" t="n">
        <v>46322</v>
      </c>
      <c r="F423" t="inlineStr">
        <is>
          <t>UPPSALA LÄN</t>
        </is>
      </c>
      <c r="G423" t="inlineStr">
        <is>
          <t>HEBY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44568</v>
      </c>
      <c r="E424" s="1" t="n">
        <v>46322</v>
      </c>
      <c r="F424" t="inlineStr">
        <is>
          <t>UPPSALA LÄN</t>
        </is>
      </c>
      <c r="G424" t="inlineStr">
        <is>
          <t>HEBY</t>
        </is>
      </c>
      <c r="I424" t="n">
        <v>10.6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46322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46322</v>
      </c>
      <c r="F426" t="inlineStr">
        <is>
          <t>UPPSALA LÄN</t>
        </is>
      </c>
      <c r="G426" t="inlineStr">
        <is>
          <t>HEBY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45932</v>
      </c>
      <c r="E427" s="1" t="n">
        <v>46322</v>
      </c>
      <c r="F427" t="inlineStr">
        <is>
          <t>UPPSALA LÄN</t>
        </is>
      </c>
      <c r="G427" t="inlineStr">
        <is>
          <t>HEBY</t>
        </is>
      </c>
      <c r="H427" t="inlineStr">
        <is>
          <t>Allmännings- och besparingsskogar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46281</v>
      </c>
      <c r="E428" s="1" t="n">
        <v>46322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46289</v>
      </c>
      <c r="E429" s="1" t="n">
        <v>46322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öst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46322</v>
      </c>
      <c r="F430" t="inlineStr">
        <is>
          <t>UPPSALA LÄN</t>
        </is>
      </c>
      <c r="G430" t="inlineStr">
        <is>
          <t>HEBY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46322</v>
      </c>
      <c r="F431" t="inlineStr">
        <is>
          <t>UPPSALA LÄN</t>
        </is>
      </c>
      <c r="G431" t="inlineStr">
        <is>
          <t>HEBY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45128</v>
      </c>
      <c r="E432" s="1" t="n">
        <v>46322</v>
      </c>
      <c r="F432" t="inlineStr">
        <is>
          <t>UPPSALA LÄN</t>
        </is>
      </c>
      <c r="G432" t="inlineStr">
        <is>
          <t>HEBY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44644</v>
      </c>
      <c r="E433" s="1" t="n">
        <v>46322</v>
      </c>
      <c r="F433" t="inlineStr">
        <is>
          <t>UPPSALA LÄN</t>
        </is>
      </c>
      <c r="G433" t="inlineStr">
        <is>
          <t>HEBY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44942</v>
      </c>
      <c r="E434" s="1" t="n">
        <v>46322</v>
      </c>
      <c r="F434" t="inlineStr">
        <is>
          <t>UPPSALA LÄN</t>
        </is>
      </c>
      <c r="G434" t="inlineStr">
        <is>
          <t>HEBY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46289</v>
      </c>
      <c r="E435" s="1" t="n">
        <v>46322</v>
      </c>
      <c r="F435" t="inlineStr">
        <is>
          <t>UPPSALA LÄN</t>
        </is>
      </c>
      <c r="G435" t="inlineStr">
        <is>
          <t>HEBY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45411</v>
      </c>
      <c r="E436" s="1" t="n">
        <v>46322</v>
      </c>
      <c r="F436" t="inlineStr">
        <is>
          <t>UPPSALA LÄN</t>
        </is>
      </c>
      <c r="G436" t="inlineStr">
        <is>
          <t>HEBY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46322</v>
      </c>
      <c r="F437" t="inlineStr">
        <is>
          <t>UPPSALA LÄN</t>
        </is>
      </c>
      <c r="G437" t="inlineStr">
        <is>
          <t>HEBY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45884</v>
      </c>
      <c r="E438" s="1" t="n">
        <v>46322</v>
      </c>
      <c r="F438" t="inlineStr">
        <is>
          <t>UPPSALA LÄN</t>
        </is>
      </c>
      <c r="G438" t="inlineStr">
        <is>
          <t>HEBY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39683-2026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46289</v>
      </c>
      <c r="E439" s="1" t="n">
        <v>46322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öst AB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39690-2026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46289</v>
      </c>
      <c r="E440" s="1" t="n">
        <v>46322</v>
      </c>
      <c r="F440" t="inlineStr">
        <is>
          <t>UPPSALA LÄN</t>
        </is>
      </c>
      <c r="G440" t="inlineStr">
        <is>
          <t>HEBY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45092</v>
      </c>
      <c r="E441" s="1" t="n">
        <v>46322</v>
      </c>
      <c r="F441" t="inlineStr">
        <is>
          <t>UPPSALA LÄN</t>
        </is>
      </c>
      <c r="G441" t="inlineStr">
        <is>
          <t>HEBY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39688-2026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46289</v>
      </c>
      <c r="E442" s="1" t="n">
        <v>46322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39686-2026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46289</v>
      </c>
      <c r="E443" s="1" t="n">
        <v>46322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öst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15326-2022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44659</v>
      </c>
      <c r="E444" s="1" t="n">
        <v>46322</v>
      </c>
      <c r="F444" t="inlineStr">
        <is>
          <t>UPPSALA LÄN</t>
        </is>
      </c>
      <c r="G444" t="inlineStr">
        <is>
          <t>HEBY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46289</v>
      </c>
      <c r="E445" s="1" t="n">
        <v>46322</v>
      </c>
      <c r="F445" t="inlineStr">
        <is>
          <t>UPPSALA LÄN</t>
        </is>
      </c>
      <c r="G445" t="inlineStr">
        <is>
          <t>HEBY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19683-2022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44694</v>
      </c>
      <c r="E446" s="1" t="n">
        <v>46322</v>
      </c>
      <c r="F446" t="inlineStr">
        <is>
          <t>UPPSALA LÄN</t>
        </is>
      </c>
      <c r="G446" t="inlineStr">
        <is>
          <t>HEBY</t>
        </is>
      </c>
      <c r="I446" t="n">
        <v>22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40455-2025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45895</v>
      </c>
      <c r="E447" s="1" t="n">
        <v>46322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öst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46322</v>
      </c>
      <c r="F448" t="inlineStr">
        <is>
          <t>UPPSALA LÄN</t>
        </is>
      </c>
      <c r="G448" t="inlineStr">
        <is>
          <t>HEBY</t>
        </is>
      </c>
      <c r="H448" t="inlineStr">
        <is>
          <t>Kyrkan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46322</v>
      </c>
      <c r="F449" t="inlineStr">
        <is>
          <t>UPPSALA LÄN</t>
        </is>
      </c>
      <c r="G449" t="inlineStr">
        <is>
          <t>HEBY</t>
        </is>
      </c>
      <c r="H449" t="inlineStr">
        <is>
          <t>Övriga Aktiebolag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46322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46293</v>
      </c>
      <c r="E451" s="1" t="n">
        <v>46322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öst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46322</v>
      </c>
      <c r="F452" t="inlineStr">
        <is>
          <t>UPPSALA LÄN</t>
        </is>
      </c>
      <c r="G452" t="inlineStr">
        <is>
          <t>HEBY</t>
        </is>
      </c>
      <c r="H452" t="inlineStr">
        <is>
          <t>Övriga Aktiebolag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46322</v>
      </c>
      <c r="F453" t="inlineStr">
        <is>
          <t>UPPSALA LÄN</t>
        </is>
      </c>
      <c r="G453" t="inlineStr">
        <is>
          <t>HEBY</t>
        </is>
      </c>
      <c r="H453" t="inlineStr">
        <is>
          <t>Övriga Aktiebolag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46322</v>
      </c>
      <c r="F454" t="inlineStr">
        <is>
          <t>UPPSALA LÄN</t>
        </is>
      </c>
      <c r="G454" t="inlineStr">
        <is>
          <t>HEBY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45639</v>
      </c>
      <c r="E455" s="1" t="n">
        <v>46322</v>
      </c>
      <c r="F455" t="inlineStr">
        <is>
          <t>UPPSALA LÄN</t>
        </is>
      </c>
      <c r="G455" t="inlineStr">
        <is>
          <t>HEBY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45337</v>
      </c>
      <c r="E456" s="1" t="n">
        <v>46322</v>
      </c>
      <c r="F456" t="inlineStr">
        <is>
          <t>UPPSALA LÄN</t>
        </is>
      </c>
      <c r="G456" t="inlineStr">
        <is>
          <t>HEBY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26100-2025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45805</v>
      </c>
      <c r="E457" s="1" t="n">
        <v>46322</v>
      </c>
      <c r="F457" t="inlineStr">
        <is>
          <t>UPPSALA LÄN</t>
        </is>
      </c>
      <c r="G457" t="inlineStr">
        <is>
          <t>HEBY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46322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45589</v>
      </c>
      <c r="E459" s="1" t="n">
        <v>46322</v>
      </c>
      <c r="F459" t="inlineStr">
        <is>
          <t>UPPSALA LÄN</t>
        </is>
      </c>
      <c r="G459" t="inlineStr">
        <is>
          <t>HEBY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46290</v>
      </c>
      <c r="E460" s="1" t="n">
        <v>46322</v>
      </c>
      <c r="F460" t="inlineStr">
        <is>
          <t>UPPSALA LÄN</t>
        </is>
      </c>
      <c r="G460" t="inlineStr">
        <is>
          <t>HEBY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46140</v>
      </c>
      <c r="E461" s="1" t="n">
        <v>46322</v>
      </c>
      <c r="F461" t="inlineStr">
        <is>
          <t>UPPSALA LÄN</t>
        </is>
      </c>
      <c r="G461" t="inlineStr">
        <is>
          <t>HEBY</t>
        </is>
      </c>
      <c r="H461" t="inlineStr">
        <is>
          <t>Övriga Aktiebolag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42731-2023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45181</v>
      </c>
      <c r="E462" s="1" t="n">
        <v>46322</v>
      </c>
      <c r="F462" t="inlineStr">
        <is>
          <t>UPPSALA LÄN</t>
        </is>
      </c>
      <c r="G462" t="inlineStr">
        <is>
          <t>HEBY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46322</v>
      </c>
      <c r="F463" t="inlineStr">
        <is>
          <t>UPPSALA LÄN</t>
        </is>
      </c>
      <c r="G463" t="inlineStr">
        <is>
          <t>HEBY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45135</v>
      </c>
      <c r="E464" s="1" t="n">
        <v>46322</v>
      </c>
      <c r="F464" t="inlineStr">
        <is>
          <t>UPPSALA LÄN</t>
        </is>
      </c>
      <c r="G464" t="inlineStr">
        <is>
          <t>HEBY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46322</v>
      </c>
      <c r="F465" t="inlineStr">
        <is>
          <t>UPPSALA LÄN</t>
        </is>
      </c>
      <c r="G465" t="inlineStr">
        <is>
          <t>HEBY</t>
        </is>
      </c>
      <c r="H465" t="inlineStr">
        <is>
          <t>Allmännings- och besparingsskogar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46293</v>
      </c>
      <c r="E466" s="1" t="n">
        <v>46322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öst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10069-2024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45364</v>
      </c>
      <c r="E467" s="1" t="n">
        <v>46322</v>
      </c>
      <c r="F467" t="inlineStr">
        <is>
          <t>UPPSALA LÄN</t>
        </is>
      </c>
      <c r="G467" t="inlineStr">
        <is>
          <t>HEBY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26099-2025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45805</v>
      </c>
      <c r="E468" s="1" t="n">
        <v>46322</v>
      </c>
      <c r="F468" t="inlineStr">
        <is>
          <t>UPPSALA LÄN</t>
        </is>
      </c>
      <c r="G468" t="inlineStr">
        <is>
          <t>HEBY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64899-2021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44512</v>
      </c>
      <c r="E469" s="1" t="n">
        <v>46322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öst AB</t>
        </is>
      </c>
      <c r="I469" t="n">
        <v>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45770</v>
      </c>
      <c r="E470" s="1" t="n">
        <v>46322</v>
      </c>
      <c r="F470" t="inlineStr">
        <is>
          <t>UPPSALA LÄN</t>
        </is>
      </c>
      <c r="G470" t="inlineStr">
        <is>
          <t>HEBY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44903</v>
      </c>
      <c r="E471" s="1" t="n">
        <v>46322</v>
      </c>
      <c r="F471" t="inlineStr">
        <is>
          <t>UPPSALA LÄN</t>
        </is>
      </c>
      <c r="G471" t="inlineStr">
        <is>
          <t>HEBY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44802</v>
      </c>
      <c r="E472" s="1" t="n">
        <v>46322</v>
      </c>
      <c r="F472" t="inlineStr">
        <is>
          <t>UPPSALA LÄN</t>
        </is>
      </c>
      <c r="G472" t="inlineStr">
        <is>
          <t>HEBY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35868-2022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44802</v>
      </c>
      <c r="E473" s="1" t="n">
        <v>46322</v>
      </c>
      <c r="F473" t="inlineStr">
        <is>
          <t>UPPSALA LÄN</t>
        </is>
      </c>
      <c r="G473" t="inlineStr">
        <is>
          <t>HEBY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44734</v>
      </c>
      <c r="E474" s="1" t="n">
        <v>46322</v>
      </c>
      <c r="F474" t="inlineStr">
        <is>
          <t>UPPSALA LÄN</t>
        </is>
      </c>
      <c r="G474" t="inlineStr">
        <is>
          <t>HEBY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66055-2021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44517</v>
      </c>
      <c r="E475" s="1" t="n">
        <v>46322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öst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46253</v>
      </c>
      <c r="E476" s="1" t="n">
        <v>46322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74215-2021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44558</v>
      </c>
      <c r="E477" s="1" t="n">
        <v>46322</v>
      </c>
      <c r="F477" t="inlineStr">
        <is>
          <t>UPPSALA LÄN</t>
        </is>
      </c>
      <c r="G477" t="inlineStr">
        <is>
          <t>HEBY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46322</v>
      </c>
      <c r="F478" t="inlineStr">
        <is>
          <t>UPPSALA LÄN</t>
        </is>
      </c>
      <c r="G478" t="inlineStr">
        <is>
          <t>HEBY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46160</v>
      </c>
      <c r="E479" s="1" t="n">
        <v>46322</v>
      </c>
      <c r="F479" t="inlineStr">
        <is>
          <t>UPPSALA LÄN</t>
        </is>
      </c>
      <c r="G479" t="inlineStr">
        <is>
          <t>HEBY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40610-2026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46295</v>
      </c>
      <c r="E480" s="1" t="n">
        <v>46322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öst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46322</v>
      </c>
      <c r="F481" t="inlineStr">
        <is>
          <t>UPPSALA LÄN</t>
        </is>
      </c>
      <c r="G481" t="inlineStr">
        <is>
          <t>HEBY</t>
        </is>
      </c>
      <c r="H481" t="inlineStr">
        <is>
          <t>Kyrkan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45243</v>
      </c>
      <c r="E482" s="1" t="n">
        <v>46322</v>
      </c>
      <c r="F482" t="inlineStr">
        <is>
          <t>UPPSALA LÄN</t>
        </is>
      </c>
      <c r="G482" t="inlineStr">
        <is>
          <t>HEBY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34146-2022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44791</v>
      </c>
      <c r="E483" s="1" t="n">
        <v>46322</v>
      </c>
      <c r="F483" t="inlineStr">
        <is>
          <t>UPPSALA LÄN</t>
        </is>
      </c>
      <c r="G483" t="inlineStr">
        <is>
          <t>HEBY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46322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44945</v>
      </c>
      <c r="E485" s="1" t="n">
        <v>46322</v>
      </c>
      <c r="F485" t="inlineStr">
        <is>
          <t>UPPSALA LÄN</t>
        </is>
      </c>
      <c r="G485" t="inlineStr">
        <is>
          <t>HEBY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40994-2026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46297</v>
      </c>
      <c r="E486" s="1" t="n">
        <v>46322</v>
      </c>
      <c r="F486" t="inlineStr">
        <is>
          <t>UPPSALA LÄN</t>
        </is>
      </c>
      <c r="G486" t="inlineStr">
        <is>
          <t>HEBY</t>
        </is>
      </c>
      <c r="I486" t="n">
        <v>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24067-2026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46322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35.2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40746-2026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46296</v>
      </c>
      <c r="E488" s="1" t="n">
        <v>46322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öst AB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46322</v>
      </c>
      <c r="F489" t="inlineStr">
        <is>
          <t>UPPSALA LÄN</t>
        </is>
      </c>
      <c r="G489" t="inlineStr">
        <is>
          <t>HEBY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46322</v>
      </c>
      <c r="F490" t="inlineStr">
        <is>
          <t>UPPSALA LÄN</t>
        </is>
      </c>
      <c r="G490" t="inlineStr">
        <is>
          <t>HEBY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55019-2025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45967</v>
      </c>
      <c r="E491" s="1" t="n">
        <v>46322</v>
      </c>
      <c r="F491" t="inlineStr">
        <is>
          <t>UPPSALA LÄN</t>
        </is>
      </c>
      <c r="G491" t="inlineStr">
        <is>
          <t>HEBY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46322</v>
      </c>
      <c r="F492" t="inlineStr">
        <is>
          <t>UPPSALA LÄN</t>
        </is>
      </c>
      <c r="G492" t="inlineStr">
        <is>
          <t>HEBY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46322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46322</v>
      </c>
      <c r="F494" t="inlineStr">
        <is>
          <t>UPPSALA LÄN</t>
        </is>
      </c>
      <c r="G494" t="inlineStr">
        <is>
          <t>HEBY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46322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46296</v>
      </c>
      <c r="E496" s="1" t="n">
        <v>46322</v>
      </c>
      <c r="F496" t="inlineStr">
        <is>
          <t>UPPSALA LÄN</t>
        </is>
      </c>
      <c r="G496" t="inlineStr">
        <is>
          <t>HEBY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46322</v>
      </c>
      <c r="F497" t="inlineStr">
        <is>
          <t>UPPSALA LÄN</t>
        </is>
      </c>
      <c r="G497" t="inlineStr">
        <is>
          <t>HEBY</t>
        </is>
      </c>
      <c r="H497" t="inlineStr">
        <is>
          <t>Övriga Aktiebolag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46322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46322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33707-2023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46322</v>
      </c>
      <c r="F500" t="inlineStr">
        <is>
          <t>UPPSALA LÄN</t>
        </is>
      </c>
      <c r="G500" t="inlineStr">
        <is>
          <t>HEBY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46322</v>
      </c>
      <c r="F501" t="inlineStr">
        <is>
          <t>UPPSALA LÄN</t>
        </is>
      </c>
      <c r="G501" t="inlineStr">
        <is>
          <t>HEBY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46322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46322</v>
      </c>
      <c r="F503" t="inlineStr">
        <is>
          <t>UPPSALA LÄN</t>
        </is>
      </c>
      <c r="G503" t="inlineStr">
        <is>
          <t>HEBY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19764-2023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45050</v>
      </c>
      <c r="E504" s="1" t="n">
        <v>46322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40741-2026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46296</v>
      </c>
      <c r="E505" s="1" t="n">
        <v>46322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öst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40742-2026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46296</v>
      </c>
      <c r="E506" s="1" t="n">
        <v>46322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öst AB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34381-2026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46254</v>
      </c>
      <c r="E507" s="1" t="n">
        <v>46322</v>
      </c>
      <c r="F507" t="inlineStr">
        <is>
          <t>UPPSALA LÄN</t>
        </is>
      </c>
      <c r="G507" t="inlineStr">
        <is>
          <t>HEBY</t>
        </is>
      </c>
      <c r="H507" t="inlineStr">
        <is>
          <t>Kyrkan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44944</v>
      </c>
      <c r="E508" s="1" t="n">
        <v>46322</v>
      </c>
      <c r="F508" t="inlineStr">
        <is>
          <t>UPPSALA LÄN</t>
        </is>
      </c>
      <c r="G508" t="inlineStr">
        <is>
          <t>HEBY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46296</v>
      </c>
      <c r="E509" s="1" t="n">
        <v>46322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46322</v>
      </c>
      <c r="F510" t="inlineStr">
        <is>
          <t>UPPSALA LÄN</t>
        </is>
      </c>
      <c r="G510" t="inlineStr">
        <is>
          <t>HEBY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45030</v>
      </c>
      <c r="E511" s="1" t="n">
        <v>46322</v>
      </c>
      <c r="F511" t="inlineStr">
        <is>
          <t>UPPSALA LÄN</t>
        </is>
      </c>
      <c r="G511" t="inlineStr">
        <is>
          <t>HEBY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46253</v>
      </c>
      <c r="E512" s="1" t="n">
        <v>46322</v>
      </c>
      <c r="F512" t="inlineStr">
        <is>
          <t>UPPSALA LÄN</t>
        </is>
      </c>
      <c r="G512" t="inlineStr">
        <is>
          <t>HEBY</t>
        </is>
      </c>
      <c r="H512" t="inlineStr">
        <is>
          <t>Allmännings- och besparingsskogar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45006</v>
      </c>
      <c r="E513" s="1" t="n">
        <v>46322</v>
      </c>
      <c r="F513" t="inlineStr">
        <is>
          <t>UPPSALA LÄN</t>
        </is>
      </c>
      <c r="G513" t="inlineStr">
        <is>
          <t>HEBY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46322</v>
      </c>
      <c r="F514" t="inlineStr">
        <is>
          <t>UPPSALA LÄN</t>
        </is>
      </c>
      <c r="G514" t="inlineStr">
        <is>
          <t>HEBY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46322</v>
      </c>
      <c r="F515" t="inlineStr">
        <is>
          <t>UPPSALA LÄN</t>
        </is>
      </c>
      <c r="G515" t="inlineStr">
        <is>
          <t>HEBY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46322</v>
      </c>
      <c r="F516" t="inlineStr">
        <is>
          <t>UPPSALA LÄN</t>
        </is>
      </c>
      <c r="G516" t="inlineStr">
        <is>
          <t>HEBY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46322</v>
      </c>
      <c r="F517" t="inlineStr">
        <is>
          <t>UPPSALA LÄN</t>
        </is>
      </c>
      <c r="G517" t="inlineStr">
        <is>
          <t>HEBY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45821-2023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45195</v>
      </c>
      <c r="E518" s="1" t="n">
        <v>46322</v>
      </c>
      <c r="F518" t="inlineStr">
        <is>
          <t>UPPSALA LÄN</t>
        </is>
      </c>
      <c r="G518" t="inlineStr">
        <is>
          <t>HEBY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40743-2026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46322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öst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45317</v>
      </c>
      <c r="E520" s="1" t="n">
        <v>46322</v>
      </c>
      <c r="F520" t="inlineStr">
        <is>
          <t>UPPSALA LÄN</t>
        </is>
      </c>
      <c r="G520" t="inlineStr">
        <is>
          <t>HEBY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46322</v>
      </c>
      <c r="F521" t="inlineStr">
        <is>
          <t>UPPSALA LÄN</t>
        </is>
      </c>
      <c r="G521" t="inlineStr">
        <is>
          <t>HEBY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34593-2023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45138</v>
      </c>
      <c r="E522" s="1" t="n">
        <v>46322</v>
      </c>
      <c r="F522" t="inlineStr">
        <is>
          <t>UPPSALA LÄN</t>
        </is>
      </c>
      <c r="G522" t="inlineStr">
        <is>
          <t>HEBY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41312-2026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46300</v>
      </c>
      <c r="E523" s="1" t="n">
        <v>46322</v>
      </c>
      <c r="F523" t="inlineStr">
        <is>
          <t>UPPSALA LÄN</t>
        </is>
      </c>
      <c r="G523" t="inlineStr">
        <is>
          <t>HEBY</t>
        </is>
      </c>
      <c r="I523" t="n">
        <v>17.5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41332-2026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46301</v>
      </c>
      <c r="E524" s="1" t="n">
        <v>46322</v>
      </c>
      <c r="F524" t="inlineStr">
        <is>
          <t>UPPSALA LÄN</t>
        </is>
      </c>
      <c r="G524" t="inlineStr">
        <is>
          <t>HEBY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46322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46322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41331-2026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46301</v>
      </c>
      <c r="E527" s="1" t="n">
        <v>46322</v>
      </c>
      <c r="F527" t="inlineStr">
        <is>
          <t>UPPSALA LÄN</t>
        </is>
      </c>
      <c r="G527" t="inlineStr">
        <is>
          <t>HEBY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34727-2026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46322</v>
      </c>
      <c r="F528" t="inlineStr">
        <is>
          <t>UPPSALA LÄN</t>
        </is>
      </c>
      <c r="G528" t="inlineStr">
        <is>
          <t>HEBY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46322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46280</v>
      </c>
      <c r="E530" s="1" t="n">
        <v>46322</v>
      </c>
      <c r="F530" t="inlineStr">
        <is>
          <t>UPPSALA LÄN</t>
        </is>
      </c>
      <c r="G530" t="inlineStr">
        <is>
          <t>HEBY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46322</v>
      </c>
      <c r="F531" t="inlineStr">
        <is>
          <t>UPPSALA LÄN</t>
        </is>
      </c>
      <c r="G531" t="inlineStr">
        <is>
          <t>HEBY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45373</v>
      </c>
      <c r="E532" s="1" t="n">
        <v>46322</v>
      </c>
      <c r="F532" t="inlineStr">
        <is>
          <t>UPPSALA LÄN</t>
        </is>
      </c>
      <c r="G532" t="inlineStr">
        <is>
          <t>HEBY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50281-2023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45216</v>
      </c>
      <c r="E533" s="1" t="n">
        <v>46322</v>
      </c>
      <c r="F533" t="inlineStr">
        <is>
          <t>UPPSALA LÄN</t>
        </is>
      </c>
      <c r="G533" t="inlineStr">
        <is>
          <t>HEBY</t>
        </is>
      </c>
      <c r="I533" t="n">
        <v>10.9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34696-2026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46322</v>
      </c>
      <c r="F534" t="inlineStr">
        <is>
          <t>UPPSALA LÄN</t>
        </is>
      </c>
      <c r="G534" t="inlineStr">
        <is>
          <t>HEBY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46322</v>
      </c>
      <c r="F535" t="inlineStr">
        <is>
          <t>UPPSALA LÄN</t>
        </is>
      </c>
      <c r="G535" t="inlineStr">
        <is>
          <t>HEBY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41344-2026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46301</v>
      </c>
      <c r="E536" s="1" t="n">
        <v>46322</v>
      </c>
      <c r="F536" t="inlineStr">
        <is>
          <t>UPPSALA LÄN</t>
        </is>
      </c>
      <c r="G536" t="inlineStr">
        <is>
          <t>HEBY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46301</v>
      </c>
      <c r="E537" s="1" t="n">
        <v>46322</v>
      </c>
      <c r="F537" t="inlineStr">
        <is>
          <t>UPPSALA LÄN</t>
        </is>
      </c>
      <c r="G537" t="inlineStr">
        <is>
          <t>HEBY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46322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46322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45376</v>
      </c>
      <c r="E540" s="1" t="n">
        <v>46322</v>
      </c>
      <c r="F540" t="inlineStr">
        <is>
          <t>UPPSALA LÄN</t>
        </is>
      </c>
      <c r="G540" t="inlineStr">
        <is>
          <t>HEBY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46322</v>
      </c>
      <c r="F541" t="inlineStr">
        <is>
          <t>UPPSALA LÄN</t>
        </is>
      </c>
      <c r="G541" t="inlineStr">
        <is>
          <t>HEBY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46322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46322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45083</v>
      </c>
      <c r="E544" s="1" t="n">
        <v>46322</v>
      </c>
      <c r="F544" t="inlineStr">
        <is>
          <t>UPPSALA LÄN</t>
        </is>
      </c>
      <c r="G544" t="inlineStr">
        <is>
          <t>HEBY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44944</v>
      </c>
      <c r="E545" s="1" t="n">
        <v>46322</v>
      </c>
      <c r="F545" t="inlineStr">
        <is>
          <t>UPPSALA LÄN</t>
        </is>
      </c>
      <c r="G545" t="inlineStr">
        <is>
          <t>HEBY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46302</v>
      </c>
      <c r="E546" s="1" t="n">
        <v>46322</v>
      </c>
      <c r="F546" t="inlineStr">
        <is>
          <t>UPPSALA LÄN</t>
        </is>
      </c>
      <c r="G546" t="inlineStr">
        <is>
          <t>HEBY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46302</v>
      </c>
      <c r="E547" s="1" t="n">
        <v>46322</v>
      </c>
      <c r="F547" t="inlineStr">
        <is>
          <t>UPPSALA LÄN</t>
        </is>
      </c>
      <c r="G547" t="inlineStr">
        <is>
          <t>HEBY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46322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30418-2025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45827</v>
      </c>
      <c r="E549" s="1" t="n">
        <v>46322</v>
      </c>
      <c r="F549" t="inlineStr">
        <is>
          <t>UPPSALA LÄN</t>
        </is>
      </c>
      <c r="G549" t="inlineStr">
        <is>
          <t>HEBY</t>
        </is>
      </c>
      <c r="H549" t="inlineStr">
        <is>
          <t>Övriga Aktiebolag</t>
        </is>
      </c>
      <c r="I549" t="n">
        <v>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41599-2026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46302</v>
      </c>
      <c r="E550" s="1" t="n">
        <v>46322</v>
      </c>
      <c r="F550" t="inlineStr">
        <is>
          <t>UPPSALA LÄN</t>
        </is>
      </c>
      <c r="G550" t="inlineStr">
        <is>
          <t>HEBY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12489-2024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45379</v>
      </c>
      <c r="E551" s="1" t="n">
        <v>46322</v>
      </c>
      <c r="F551" t="inlineStr">
        <is>
          <t>UPPSALA LÄN</t>
        </is>
      </c>
      <c r="G551" t="inlineStr">
        <is>
          <t>HEBY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44574</v>
      </c>
      <c r="E552" s="1" t="n">
        <v>46322</v>
      </c>
      <c r="F552" t="inlineStr">
        <is>
          <t>UPPSALA LÄN</t>
        </is>
      </c>
      <c r="G552" t="inlineStr">
        <is>
          <t>HEBY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56398-2023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45243</v>
      </c>
      <c r="E553" s="1" t="n">
        <v>46322</v>
      </c>
      <c r="F553" t="inlineStr">
        <is>
          <t>UPPSALA LÄN</t>
        </is>
      </c>
      <c r="G553" t="inlineStr">
        <is>
          <t>HEBY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42240-2026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46307</v>
      </c>
      <c r="E554" s="1" t="n">
        <v>46322</v>
      </c>
      <c r="F554" t="inlineStr">
        <is>
          <t>UPPSALA LÄN</t>
        </is>
      </c>
      <c r="G554" t="inlineStr">
        <is>
          <t>HEBY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3641-2022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44586</v>
      </c>
      <c r="E555" s="1" t="n">
        <v>46322</v>
      </c>
      <c r="F555" t="inlineStr">
        <is>
          <t>UPPSALA LÄN</t>
        </is>
      </c>
      <c r="G555" t="inlineStr">
        <is>
          <t>HEBY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45898</v>
      </c>
      <c r="E556" s="1" t="n">
        <v>46322</v>
      </c>
      <c r="F556" t="inlineStr">
        <is>
          <t>UPPSALA LÄN</t>
        </is>
      </c>
      <c r="G556" t="inlineStr">
        <is>
          <t>HEBY</t>
        </is>
      </c>
      <c r="I556" t="n">
        <v>14.8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60461-2022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44911</v>
      </c>
      <c r="E557" s="1" t="n">
        <v>46322</v>
      </c>
      <c r="F557" t="inlineStr">
        <is>
          <t>UPPSALA LÄN</t>
        </is>
      </c>
      <c r="G557" t="inlineStr">
        <is>
          <t>HEBY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42334-2026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46307</v>
      </c>
      <c r="E558" s="1" t="n">
        <v>46322</v>
      </c>
      <c r="F558" t="inlineStr">
        <is>
          <t>UPPSALA LÄN</t>
        </is>
      </c>
      <c r="G558" t="inlineStr">
        <is>
          <t>HEBY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3368-2024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45317</v>
      </c>
      <c r="E559" s="1" t="n">
        <v>46322</v>
      </c>
      <c r="F559" t="inlineStr">
        <is>
          <t>UPPSALA LÄN</t>
        </is>
      </c>
      <c r="G559" t="inlineStr">
        <is>
          <t>HEBY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44979</v>
      </c>
      <c r="E560" s="1" t="n">
        <v>46322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27879-2023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45098</v>
      </c>
      <c r="E561" s="1" t="n">
        <v>46322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46262</v>
      </c>
      <c r="E562" s="1" t="n">
        <v>46322</v>
      </c>
      <c r="F562" t="inlineStr">
        <is>
          <t>UPPSALA LÄN</t>
        </is>
      </c>
      <c r="G562" t="inlineStr">
        <is>
          <t>HEBY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41912-2026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46303</v>
      </c>
      <c r="E563" s="1" t="n">
        <v>46322</v>
      </c>
      <c r="F563" t="inlineStr">
        <is>
          <t>UPPSALA LÄN</t>
        </is>
      </c>
      <c r="G563" t="inlineStr">
        <is>
          <t>HEBY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56884-2022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46322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35773-2026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46265</v>
      </c>
      <c r="E565" s="1" t="n">
        <v>46322</v>
      </c>
      <c r="F565" t="inlineStr">
        <is>
          <t>UPPSALA LÄN</t>
        </is>
      </c>
      <c r="G565" t="inlineStr">
        <is>
          <t>HEBY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44978</v>
      </c>
      <c r="E566" s="1" t="n">
        <v>46322</v>
      </c>
      <c r="F566" t="inlineStr">
        <is>
          <t>UPPSALA LÄN</t>
        </is>
      </c>
      <c r="G566" t="inlineStr">
        <is>
          <t>HEBY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45294</v>
      </c>
      <c r="E567" s="1" t="n">
        <v>46322</v>
      </c>
      <c r="F567" t="inlineStr">
        <is>
          <t>UPPSALA LÄN</t>
        </is>
      </c>
      <c r="G567" t="inlineStr">
        <is>
          <t>HEBY</t>
        </is>
      </c>
      <c r="H567" t="inlineStr">
        <is>
          <t>Kommuner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45726</v>
      </c>
      <c r="E568" s="1" t="n">
        <v>46322</v>
      </c>
      <c r="F568" t="inlineStr">
        <is>
          <t>UPPSALA LÄN</t>
        </is>
      </c>
      <c r="G568" t="inlineStr">
        <is>
          <t>HEBY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38818-2026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46286</v>
      </c>
      <c r="E569" s="1" t="n">
        <v>46322</v>
      </c>
      <c r="F569" t="inlineStr">
        <is>
          <t>UPPSALA LÄN</t>
        </is>
      </c>
      <c r="G569" t="inlineStr">
        <is>
          <t>HEBY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45532</v>
      </c>
      <c r="E570" s="1" t="n">
        <v>46322</v>
      </c>
      <c r="F570" t="inlineStr">
        <is>
          <t>UPPSALA LÄN</t>
        </is>
      </c>
      <c r="G570" t="inlineStr">
        <is>
          <t>HEBY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46311</v>
      </c>
      <c r="E571" s="1" t="n">
        <v>46322</v>
      </c>
      <c r="F571" t="inlineStr">
        <is>
          <t>UPPSALA LÄN</t>
        </is>
      </c>
      <c r="G571" t="inlineStr">
        <is>
          <t>HEBY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46311</v>
      </c>
      <c r="E572" s="1" t="n">
        <v>46322</v>
      </c>
      <c r="F572" t="inlineStr">
        <is>
          <t>UPPSALA LÄN</t>
        </is>
      </c>
      <c r="G572" t="inlineStr">
        <is>
          <t>HEBY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46322</v>
      </c>
      <c r="F573" t="inlineStr">
        <is>
          <t>UPPSALA LÄN</t>
        </is>
      </c>
      <c r="G573" t="inlineStr">
        <is>
          <t>HEBY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9766-2023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44984</v>
      </c>
      <c r="E574" s="1" t="n">
        <v>46322</v>
      </c>
      <c r="F574" t="inlineStr">
        <is>
          <t>UPPSALA LÄN</t>
        </is>
      </c>
      <c r="G574" t="inlineStr">
        <is>
          <t>HEBY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44943</v>
      </c>
      <c r="E575" s="1" t="n">
        <v>46322</v>
      </c>
      <c r="F575" t="inlineStr">
        <is>
          <t>UPPSALA LÄN</t>
        </is>
      </c>
      <c r="G575" t="inlineStr">
        <is>
          <t>HEBY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44943</v>
      </c>
      <c r="E576" s="1" t="n">
        <v>46322</v>
      </c>
      <c r="F576" t="inlineStr">
        <is>
          <t>UPPSALA LÄN</t>
        </is>
      </c>
      <c r="G576" t="inlineStr">
        <is>
          <t>HEBY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44944</v>
      </c>
      <c r="E577" s="1" t="n">
        <v>46322</v>
      </c>
      <c r="F577" t="inlineStr">
        <is>
          <t>UPPSALA LÄN</t>
        </is>
      </c>
      <c r="G577" t="inlineStr">
        <is>
          <t>HEBY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59207-2023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45252</v>
      </c>
      <c r="E578" s="1" t="n">
        <v>46322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43039-2026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46311</v>
      </c>
      <c r="E579" s="1" t="n">
        <v>46322</v>
      </c>
      <c r="F579" t="inlineStr">
        <is>
          <t>UPPSALA LÄN</t>
        </is>
      </c>
      <c r="G579" t="inlineStr">
        <is>
          <t>HEBY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43139-2026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46311</v>
      </c>
      <c r="E580" s="1" t="n">
        <v>46322</v>
      </c>
      <c r="F580" t="inlineStr">
        <is>
          <t>UPPSALA LÄN</t>
        </is>
      </c>
      <c r="G580" t="inlineStr">
        <is>
          <t>HEBY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36359-2026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46268</v>
      </c>
      <c r="E581" s="1" t="n">
        <v>46322</v>
      </c>
      <c r="F581" t="inlineStr">
        <is>
          <t>UPPSALA LÄN</t>
        </is>
      </c>
      <c r="G581" t="inlineStr">
        <is>
          <t>HEBY</t>
        </is>
      </c>
      <c r="H581" t="inlineStr">
        <is>
          <t>Kyrkan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62145-2022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44914</v>
      </c>
      <c r="E582" s="1" t="n">
        <v>46322</v>
      </c>
      <c r="F582" t="inlineStr">
        <is>
          <t>UPPSALA LÄN</t>
        </is>
      </c>
      <c r="G582" t="inlineStr">
        <is>
          <t>HEBY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8046-2023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44974</v>
      </c>
      <c r="E583" s="1" t="n">
        <v>46322</v>
      </c>
      <c r="F583" t="inlineStr">
        <is>
          <t>UPPSALA LÄN</t>
        </is>
      </c>
      <c r="G583" t="inlineStr">
        <is>
          <t>HEBY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36367-2026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46268</v>
      </c>
      <c r="E584" s="1" t="n">
        <v>46322</v>
      </c>
      <c r="F584" t="inlineStr">
        <is>
          <t>UPPSALA LÄN</t>
        </is>
      </c>
      <c r="G584" t="inlineStr">
        <is>
          <t>HEBY</t>
        </is>
      </c>
      <c r="H584" t="inlineStr">
        <is>
          <t>Kyrkan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40924-2023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45173</v>
      </c>
      <c r="E585" s="1" t="n">
        <v>46322</v>
      </c>
      <c r="F585" t="inlineStr">
        <is>
          <t>UPPSALA LÄN</t>
        </is>
      </c>
      <c r="G585" t="inlineStr">
        <is>
          <t>HEBY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40926-2023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45173</v>
      </c>
      <c r="E586" s="1" t="n">
        <v>46322</v>
      </c>
      <c r="F586" t="inlineStr">
        <is>
          <t>UPPSALA LÄN</t>
        </is>
      </c>
      <c r="G586" t="inlineStr">
        <is>
          <t>HEBY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43560-2026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46315</v>
      </c>
      <c r="E587" s="1" t="n">
        <v>46322</v>
      </c>
      <c r="F587" t="inlineStr">
        <is>
          <t>UPPSALA LÄN</t>
        </is>
      </c>
      <c r="G587" t="inlineStr">
        <is>
          <t>HEBY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46322</v>
      </c>
      <c r="F588" t="inlineStr">
        <is>
          <t>UPPSALA LÄN</t>
        </is>
      </c>
      <c r="G588" t="inlineStr">
        <is>
          <t>HEBY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4487-2023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44956</v>
      </c>
      <c r="E589" s="1" t="n">
        <v>46322</v>
      </c>
      <c r="F589" t="inlineStr">
        <is>
          <t>UPPSALA LÄN</t>
        </is>
      </c>
      <c r="G589" t="inlineStr">
        <is>
          <t>HEBY</t>
        </is>
      </c>
      <c r="H589" t="inlineStr">
        <is>
          <t>Kyrkan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43244-2026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46314</v>
      </c>
      <c r="E590" s="1" t="n">
        <v>46322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öst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46314</v>
      </c>
      <c r="E591" s="1" t="n">
        <v>46322</v>
      </c>
      <c r="F591" t="inlineStr">
        <is>
          <t>UPPSALA LÄN</t>
        </is>
      </c>
      <c r="G591" t="inlineStr">
        <is>
          <t>HEBY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43184-2026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46312</v>
      </c>
      <c r="E592" s="1" t="n">
        <v>46322</v>
      </c>
      <c r="F592" t="inlineStr">
        <is>
          <t>UPPSALA LÄN</t>
        </is>
      </c>
      <c r="G592" t="inlineStr">
        <is>
          <t>HEBY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15427-2025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45747</v>
      </c>
      <c r="E593" s="1" t="n">
        <v>46322</v>
      </c>
      <c r="F593" t="inlineStr">
        <is>
          <t>UPPSALA LÄN</t>
        </is>
      </c>
      <c r="G593" t="inlineStr">
        <is>
          <t>HEBY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7173-2024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45344</v>
      </c>
      <c r="E594" s="1" t="n">
        <v>46322</v>
      </c>
      <c r="F594" t="inlineStr">
        <is>
          <t>UPPSALA LÄN</t>
        </is>
      </c>
      <c r="G594" t="inlineStr">
        <is>
          <t>HEBY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43555-2026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46315</v>
      </c>
      <c r="E595" s="1" t="n">
        <v>46322</v>
      </c>
      <c r="F595" t="inlineStr">
        <is>
          <t>UPPSALA LÄN</t>
        </is>
      </c>
      <c r="G595" t="inlineStr">
        <is>
          <t>HEBY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43562-2026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46315</v>
      </c>
      <c r="E596" s="1" t="n">
        <v>46322</v>
      </c>
      <c r="F596" t="inlineStr">
        <is>
          <t>UPPSALA LÄN</t>
        </is>
      </c>
      <c r="G596" t="inlineStr">
        <is>
          <t>HEBY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9623-2026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46322</v>
      </c>
      <c r="F597" t="inlineStr">
        <is>
          <t>UPPSALA LÄN</t>
        </is>
      </c>
      <c r="G597" t="inlineStr">
        <is>
          <t>HEBY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43292-2026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46314</v>
      </c>
      <c r="E598" s="1" t="n">
        <v>46322</v>
      </c>
      <c r="F598" t="inlineStr">
        <is>
          <t>UPPSALA LÄN</t>
        </is>
      </c>
      <c r="G598" t="inlineStr">
        <is>
          <t>HEBY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46272</v>
      </c>
      <c r="E599" s="1" t="n">
        <v>46322</v>
      </c>
      <c r="F599" t="inlineStr">
        <is>
          <t>UPPSALA LÄN</t>
        </is>
      </c>
      <c r="G599" t="inlineStr">
        <is>
          <t>HEBY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29340-2022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44752</v>
      </c>
      <c r="E600" s="1" t="n">
        <v>46322</v>
      </c>
      <c r="F600" t="inlineStr">
        <is>
          <t>UPPSALA LÄN</t>
        </is>
      </c>
      <c r="G600" t="inlineStr">
        <is>
          <t>HEBY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45693</v>
      </c>
      <c r="E601" s="1" t="n">
        <v>46322</v>
      </c>
      <c r="F601" t="inlineStr">
        <is>
          <t>UPPSALA LÄN</t>
        </is>
      </c>
      <c r="G601" t="inlineStr">
        <is>
          <t>HEBY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46312</v>
      </c>
      <c r="E602" s="1" t="n">
        <v>46322</v>
      </c>
      <c r="F602" t="inlineStr">
        <is>
          <t>UPPSALA LÄN</t>
        </is>
      </c>
      <c r="G602" t="inlineStr">
        <is>
          <t>HEBY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36738-2026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46272</v>
      </c>
      <c r="E603" s="1" t="n">
        <v>46322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46314</v>
      </c>
      <c r="E604" s="1" t="n">
        <v>46322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öst AB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46273</v>
      </c>
      <c r="E605" s="1" t="n">
        <v>46322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45008</v>
      </c>
      <c r="E606" s="1" t="n">
        <v>46322</v>
      </c>
      <c r="F606" t="inlineStr">
        <is>
          <t>UPPSALA LÄN</t>
        </is>
      </c>
      <c r="G606" t="inlineStr">
        <is>
          <t>HEBY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43270-2026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46314</v>
      </c>
      <c r="E607" s="1" t="n">
        <v>46322</v>
      </c>
      <c r="F607" t="inlineStr">
        <is>
          <t>UPPSALA LÄN</t>
        </is>
      </c>
      <c r="G607" t="inlineStr">
        <is>
          <t>HEBY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43282-2026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46314</v>
      </c>
      <c r="E608" s="1" t="n">
        <v>46322</v>
      </c>
      <c r="F608" t="inlineStr">
        <is>
          <t>UPPSALA LÄN</t>
        </is>
      </c>
      <c r="G608" t="inlineStr">
        <is>
          <t>HEBY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46314</v>
      </c>
      <c r="E609" s="1" t="n">
        <v>46322</v>
      </c>
      <c r="F609" t="inlineStr">
        <is>
          <t>UPPSALA LÄN</t>
        </is>
      </c>
      <c r="G609" t="inlineStr">
        <is>
          <t>HEBY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46322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43242-2026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46314</v>
      </c>
      <c r="E611" s="1" t="n">
        <v>46322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öst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43518-2026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46315</v>
      </c>
      <c r="E612" s="1" t="n">
        <v>46322</v>
      </c>
      <c r="F612" t="inlineStr">
        <is>
          <t>UPPSALA LÄN</t>
        </is>
      </c>
      <c r="G612" t="inlineStr">
        <is>
          <t>HEBY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36754-2026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46322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40491-2026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46295</v>
      </c>
      <c r="E614" s="1" t="n">
        <v>46322</v>
      </c>
      <c r="F614" t="inlineStr">
        <is>
          <t>UPPSALA LÄN</t>
        </is>
      </c>
      <c r="G614" t="inlineStr">
        <is>
          <t>HEBY</t>
        </is>
      </c>
      <c r="H614" t="inlineStr">
        <is>
          <t>Allmännings- och besparingsskogar</t>
        </is>
      </c>
      <c r="I614" t="n">
        <v>10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46322</v>
      </c>
      <c r="F615" t="inlineStr">
        <is>
          <t>UPPSALA LÄN</t>
        </is>
      </c>
      <c r="G615" t="inlineStr">
        <is>
          <t>HEBY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44268-2026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46318</v>
      </c>
      <c r="E616" s="1" t="n">
        <v>46322</v>
      </c>
      <c r="F616" t="inlineStr">
        <is>
          <t>UPPSALA LÄN</t>
        </is>
      </c>
      <c r="G616" t="inlineStr">
        <is>
          <t>HEBY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37784-2026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46279</v>
      </c>
      <c r="E617" s="1" t="n">
        <v>46322</v>
      </c>
      <c r="F617" t="inlineStr">
        <is>
          <t>UPPSALA LÄN</t>
        </is>
      </c>
      <c r="G617" t="inlineStr">
        <is>
          <t>HEBY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46278</v>
      </c>
      <c r="E618" s="1" t="n">
        <v>46322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väst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46318</v>
      </c>
      <c r="E619" s="1" t="n">
        <v>46322</v>
      </c>
      <c r="F619" t="inlineStr">
        <is>
          <t>UPPSALA LÄN</t>
        </is>
      </c>
      <c r="G619" t="inlineStr">
        <is>
          <t>HEBY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44275-2026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46318</v>
      </c>
      <c r="E620" s="1" t="n">
        <v>46322</v>
      </c>
      <c r="F620" t="inlineStr">
        <is>
          <t>UPPSALA LÄN</t>
        </is>
      </c>
      <c r="G620" t="inlineStr">
        <is>
          <t>HEBY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39154-2023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45166</v>
      </c>
      <c r="E621" s="1" t="n">
        <v>46322</v>
      </c>
      <c r="F621" t="inlineStr">
        <is>
          <t>UPPSALA LÄN</t>
        </is>
      </c>
      <c r="G621" t="inlineStr">
        <is>
          <t>HEBY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18380-2026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46126</v>
      </c>
      <c r="E622" s="1" t="n">
        <v>46322</v>
      </c>
      <c r="F622" t="inlineStr">
        <is>
          <t>UPPSALA LÄN</t>
        </is>
      </c>
      <c r="G622" t="inlineStr">
        <is>
          <t>HEBY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52106-2025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45952</v>
      </c>
      <c r="E623" s="1" t="n">
        <v>46322</v>
      </c>
      <c r="F623" t="inlineStr">
        <is>
          <t>UPPSALA LÄN</t>
        </is>
      </c>
      <c r="G623" t="inlineStr">
        <is>
          <t>HEBY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32347-2026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46238</v>
      </c>
      <c r="E624" s="1" t="n">
        <v>46322</v>
      </c>
      <c r="F624" t="inlineStr">
        <is>
          <t>UPPSALA LÄN</t>
        </is>
      </c>
      <c r="G624" t="inlineStr">
        <is>
          <t>HEBY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44269-2026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46318</v>
      </c>
      <c r="E625" s="1" t="n">
        <v>46322</v>
      </c>
      <c r="F625" t="inlineStr">
        <is>
          <t>UPPSALA LÄN</t>
        </is>
      </c>
      <c r="G625" t="inlineStr">
        <is>
          <t>HEBY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1334-2022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44629</v>
      </c>
      <c r="E626" s="1" t="n">
        <v>46322</v>
      </c>
      <c r="F626" t="inlineStr">
        <is>
          <t>UPPSALA LÄN</t>
        </is>
      </c>
      <c r="G626" t="inlineStr">
        <is>
          <t>HEBY</t>
        </is>
      </c>
      <c r="I626" t="n">
        <v>6.9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10324-2021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44546</v>
      </c>
      <c r="E627" s="1" t="n">
        <v>46322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väst AB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3256-2023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45191</v>
      </c>
      <c r="E628" s="1" t="n">
        <v>46322</v>
      </c>
      <c r="F628" t="inlineStr">
        <is>
          <t>UPPSALA LÄN</t>
        </is>
      </c>
      <c r="G628" t="inlineStr">
        <is>
          <t>HEBY</t>
        </is>
      </c>
      <c r="H628" t="inlineStr">
        <is>
          <t>Bergvik skog väst AB</t>
        </is>
      </c>
      <c r="I628" t="n">
        <v>20.9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517-2022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44588</v>
      </c>
      <c r="E629" s="1" t="n">
        <v>46322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öst AB</t>
        </is>
      </c>
      <c r="I629" t="n">
        <v>30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4466-2022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44788</v>
      </c>
      <c r="E630" s="1" t="n">
        <v>46322</v>
      </c>
      <c r="F630" t="inlineStr">
        <is>
          <t>UPPSALA LÄN</t>
        </is>
      </c>
      <c r="G630" t="inlineStr">
        <is>
          <t>HEBY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2310-2022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44684</v>
      </c>
      <c r="E631" s="1" t="n">
        <v>46322</v>
      </c>
      <c r="F631" t="inlineStr">
        <is>
          <t>UPPSALA LÄN</t>
        </is>
      </c>
      <c r="G631" t="inlineStr">
        <is>
          <t>HEBY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4423-2024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45590</v>
      </c>
      <c r="E632" s="1" t="n">
        <v>46322</v>
      </c>
      <c r="F632" t="inlineStr">
        <is>
          <t>UPPSALA LÄN</t>
        </is>
      </c>
      <c r="G632" t="inlineStr">
        <is>
          <t>HEBY</t>
        </is>
      </c>
      <c r="H632" t="inlineStr">
        <is>
          <t>Bergvik skog väst AB</t>
        </is>
      </c>
      <c r="I632" t="n">
        <v>47.6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1385-2024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45411</v>
      </c>
      <c r="E633" s="1" t="n">
        <v>46322</v>
      </c>
      <c r="F633" t="inlineStr">
        <is>
          <t>UPPSALA LÄN</t>
        </is>
      </c>
      <c r="G633" t="inlineStr">
        <is>
          <t>HEBY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2797-2024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45485</v>
      </c>
      <c r="E634" s="1" t="n">
        <v>46322</v>
      </c>
      <c r="F634" t="inlineStr">
        <is>
          <t>UPPSALA LÄN</t>
        </is>
      </c>
      <c r="G634" t="inlineStr">
        <is>
          <t>HEBY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398-2025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45699</v>
      </c>
      <c r="E635" s="1" t="n">
        <v>46322</v>
      </c>
      <c r="F635" t="inlineStr">
        <is>
          <t>UPPSALA LÄN</t>
        </is>
      </c>
      <c r="G635" t="inlineStr">
        <is>
          <t>HEBY</t>
        </is>
      </c>
      <c r="H635" t="inlineStr">
        <is>
          <t>Bergvik skog öst AB</t>
        </is>
      </c>
      <c r="I635" t="n">
        <v>23.3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1386-2024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45411</v>
      </c>
      <c r="E636" s="1" t="n">
        <v>46322</v>
      </c>
      <c r="F636" t="inlineStr">
        <is>
          <t>UPPSALA LÄN</t>
        </is>
      </c>
      <c r="G636" t="inlineStr">
        <is>
          <t>HEBY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4464-2022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44788</v>
      </c>
      <c r="E637" s="1" t="n">
        <v>46322</v>
      </c>
      <c r="F637" t="inlineStr">
        <is>
          <t>UPPSALA LÄN</t>
        </is>
      </c>
      <c r="G637" t="inlineStr">
        <is>
          <t>HEBY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1330-2022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44629</v>
      </c>
      <c r="E638" s="1" t="n">
        <v>46322</v>
      </c>
      <c r="F638" t="inlineStr">
        <is>
          <t>UPPSALA LÄN</t>
        </is>
      </c>
      <c r="G638" t="inlineStr">
        <is>
          <t>HEBY</t>
        </is>
      </c>
      <c r="I638" t="n">
        <v>25.1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  <c r="Z638">
        <f>HYPERLINK("https://klasma.github.io/Logging_0331/knärot/S 1330-2022 karta knärot.png", "S 1330-2022")</f>
        <v/>
      </c>
      <c r="AA638">
        <f>HYPERLINK("https://klasma.github.io/Logging_0331/klagomål/S 1330-2022 FSC-klagomål.docx", "S 1330-2022")</f>
        <v/>
      </c>
      <c r="AB638">
        <f>HYPERLINK("https://klasma.github.io/Logging_0331/klagomålsmail/S 1330-2022 FSC-klagomål mail.docx", "S 1330-2022")</f>
        <v/>
      </c>
      <c r="AC638">
        <f>HYPERLINK("https://klasma.github.io/Logging_0331/tillsyn/S 1330-2022 tillsynsbegäran.docx", "S 1330-2022")</f>
        <v/>
      </c>
      <c r="AD638">
        <f>HYPERLINK("https://klasma.github.io/Logging_0331/tillsynsmail/S 1330-2022 tillsynsbegäran mail.docx", "S 1330-2022")</f>
        <v/>
      </c>
    </row>
    <row r="639" ht="15" customHeight="1">
      <c r="A639" t="inlineStr">
        <is>
          <t>S 3301-2025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45987</v>
      </c>
      <c r="E639" s="1" t="n">
        <v>46322</v>
      </c>
      <c r="F639" t="inlineStr">
        <is>
          <t>UPPSALA LÄN</t>
        </is>
      </c>
      <c r="G639" t="inlineStr">
        <is>
          <t>HEBY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3478-2025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46000</v>
      </c>
      <c r="E640" s="1" t="n">
        <v>46322</v>
      </c>
      <c r="F640" t="inlineStr">
        <is>
          <t>UPPSALA LÄN</t>
        </is>
      </c>
      <c r="G640" t="inlineStr">
        <is>
          <t>HEBY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598-2026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46085</v>
      </c>
      <c r="E641" s="1" t="n">
        <v>46322</v>
      </c>
      <c r="F641" t="inlineStr">
        <is>
          <t>UPPSALA LÄN</t>
        </is>
      </c>
      <c r="G641" t="inlineStr">
        <is>
          <t>HEBY</t>
        </is>
      </c>
      <c r="H641" t="inlineStr">
        <is>
          <t>Bergvik skog väst AB</t>
        </is>
      </c>
      <c r="I641" t="n">
        <v>43.4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1818-2026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46190</v>
      </c>
      <c r="E642" s="1" t="n">
        <v>46322</v>
      </c>
      <c r="F642" t="inlineStr">
        <is>
          <t>UPPSALA LÄN</t>
        </is>
      </c>
      <c r="G642" t="inlineStr">
        <is>
          <t>HEBY</t>
        </is>
      </c>
      <c r="H642" t="inlineStr">
        <is>
          <t>Kommuner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2346-2026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46273</v>
      </c>
      <c r="E643" s="1" t="n">
        <v>46322</v>
      </c>
      <c r="F643" t="inlineStr">
        <is>
          <t>UPPSALA LÄN</t>
        </is>
      </c>
      <c r="G643" t="inlineStr">
        <is>
          <t>HEBY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2026-10-27T03:12:42Z</dcterms:created>
  <dcterms:modified xmlns:dcterms="http://purl.org/dc/terms/" xmlns:xsi="http://www.w3.org/2001/XMLSchema-instance" xsi:type="dcterms:W3CDTF">2026-10-27T03:12:43Z</dcterms:modified>
</cp:coreProperties>
</file>
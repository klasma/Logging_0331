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46298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46298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46298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46298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46298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46298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46298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46298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46298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46298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46298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46298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46298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46298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46298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46298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46298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46298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46298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46298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46298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46298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46298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46298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46298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46298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46298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46298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46298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46298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46298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46298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46298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46298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46298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46298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46298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46298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46298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46298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46298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46298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46298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46298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46298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46298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46298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46298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46298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46298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46298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46298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9358-2026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46298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9358-2026 artfynd.xlsx", "A 9358-2026")</f>
        <v/>
      </c>
      <c r="X59">
        <f>HYPERLINK("https://klasma.github.io/Logging_0331/kartor/A 9358-2026 karta.png", "A 9358-2026")</f>
        <v/>
      </c>
      <c r="Y59">
        <f>HYPERLINK("https://klasma.github.io/Logging_0331/kartor_geotiff/A 9358-2026 georefererad karta.tif", "A 9358-2026")</f>
        <v/>
      </c>
      <c r="AA59">
        <f>HYPERLINK("https://klasma.github.io/Logging_0331/klagomål/A 9358-2026 FSC-klagomål.docx", "A 9358-2026")</f>
        <v/>
      </c>
      <c r="AB59">
        <f>HYPERLINK("https://klasma.github.io/Logging_0331/klagomålsmail/A 9358-2026 FSC-klagomål mail.docx", "A 9358-2026")</f>
        <v/>
      </c>
      <c r="AC59">
        <f>HYPERLINK("https://klasma.github.io/Logging_0331/tillsyn/A 9358-2026 tillsynsbegäran.docx", "A 9358-2026")</f>
        <v/>
      </c>
      <c r="AD59">
        <f>HYPERLINK("https://klasma.github.io/Logging_0331/tillsynsmail/A 9358-2026 tillsynsbegäran mail.docx", "A 9358-2026")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46298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46298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46298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3374-2024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45317</v>
      </c>
      <c r="E63" s="1" t="n">
        <v>46298</v>
      </c>
      <c r="F63" t="inlineStr">
        <is>
          <t>UPPSALA LÄN</t>
        </is>
      </c>
      <c r="G63" t="inlineStr">
        <is>
          <t>HEBY</t>
        </is>
      </c>
      <c r="I63" t="n">
        <v>8.4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Berggräsfjäril</t>
        </is>
      </c>
      <c r="W63">
        <f>HYPERLINK("https://klasma.github.io/Logging_0331/artfynd/A 3374-2024 artfynd.xlsx", "A 3374-2024")</f>
        <v/>
      </c>
      <c r="X63">
        <f>HYPERLINK("https://klasma.github.io/Logging_0331/kartor/A 3374-2024 karta.png", "A 3374-2024")</f>
        <v/>
      </c>
      <c r="Y63">
        <f>HYPERLINK("https://klasma.github.io/Logging_0331/kartor_geotiff/A 3374-2024 georefererad karta.tif", "A 3374-2024")</f>
        <v/>
      </c>
      <c r="AA63">
        <f>HYPERLINK("https://klasma.github.io/Logging_0331/klagomål/A 3374-2024 FSC-klagomål.docx", "A 3374-2024")</f>
        <v/>
      </c>
      <c r="AB63">
        <f>HYPERLINK("https://klasma.github.io/Logging_0331/klagomålsmail/A 3374-2024 FSC-klagomål mail.docx", "A 3374-2024")</f>
        <v/>
      </c>
      <c r="AC63">
        <f>HYPERLINK("https://klasma.github.io/Logging_0331/tillsyn/A 3374-2024 tillsynsbegäran.docx", "A 3374-2024")</f>
        <v/>
      </c>
      <c r="AD63">
        <f>HYPERLINK("https://klasma.github.io/Logging_0331/tillsynsmail/A 3374-2024 tillsynsbegäran mail.docx", "A 3374-2024")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46298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46298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20530-2026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46298</v>
      </c>
      <c r="F66" t="inlineStr">
        <is>
          <t>UPPSALA LÄN</t>
        </is>
      </c>
      <c r="G66" t="inlineStr">
        <is>
          <t>HEBY</t>
        </is>
      </c>
      <c r="I66" t="n">
        <v>5.3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Björksplintborre</t>
        </is>
      </c>
      <c r="W66">
        <f>HYPERLINK("https://klasma.github.io/Logging_0331/artfynd/A 20530-2026 artfynd.xlsx", "A 20530-2026")</f>
        <v/>
      </c>
      <c r="X66">
        <f>HYPERLINK("https://klasma.github.io/Logging_0331/kartor/A 20530-2026 karta.png", "A 20530-2026")</f>
        <v/>
      </c>
      <c r="Y66">
        <f>HYPERLINK("https://klasma.github.io/Logging_0331/kartor_geotiff/A 20530-2026 georefererad karta.tif", "A 20530-2026")</f>
        <v/>
      </c>
      <c r="AA66">
        <f>HYPERLINK("https://klasma.github.io/Logging_0331/klagomål/A 20530-2026 FSC-klagomål.docx", "A 20530-2026")</f>
        <v/>
      </c>
      <c r="AB66">
        <f>HYPERLINK("https://klasma.github.io/Logging_0331/klagomålsmail/A 20530-2026 FSC-klagomål mail.docx", "A 20530-2026")</f>
        <v/>
      </c>
      <c r="AC66">
        <f>HYPERLINK("https://klasma.github.io/Logging_0331/tillsyn/A 20530-2026 tillsynsbegäran.docx", "A 20530-2026")</f>
        <v/>
      </c>
      <c r="AD66">
        <f>HYPERLINK("https://klasma.github.io/Logging_0331/tillsynsmail/A 20530-2026 tillsynsbegäran mail.docx", "A 20530-2026")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46298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46298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46298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38417-2025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46298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8.300000000000001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HYPERLINK("https://klasma.github.io/Logging_0331/artfynd/A 38417-2025 artfynd.xlsx", "A 38417-2025")</f>
        <v/>
      </c>
      <c r="X70">
        <f>HYPERLINK("https://klasma.github.io/Logging_0331/kartor/A 38417-2025 karta.png", "A 38417-2025")</f>
        <v/>
      </c>
      <c r="Y70">
        <f>HYPERLINK("https://klasma.github.io/Logging_0331/kartor_geotiff/A 38417-2025 georefererad karta.tif", "A 38417-2025")</f>
        <v/>
      </c>
      <c r="Z70">
        <f>HYPERLINK("https://klasma.github.io/Logging_0331/knärot/A 38417-2025 karta knärot.png", "A 38417-2025")</f>
        <v/>
      </c>
      <c r="AA70">
        <f>HYPERLINK("https://klasma.github.io/Logging_0331/klagomål/A 38417-2025 FSC-klagomål.docx", "A 38417-2025")</f>
        <v/>
      </c>
      <c r="AB70">
        <f>HYPERLINK("https://klasma.github.io/Logging_0331/klagomålsmail/A 38417-2025 FSC-klagomål mail.docx", "A 38417-2025")</f>
        <v/>
      </c>
      <c r="AC70">
        <f>HYPERLINK("https://klasma.github.io/Logging_0331/tillsyn/A 38417-2025 tillsynsbegäran.docx", "A 38417-2025")</f>
        <v/>
      </c>
      <c r="AD70">
        <f>HYPERLINK("https://klasma.github.io/Logging_0331/tillsynsmail/A 38417-2025 tillsynsbegäran mail.docx", "A 38417-2025")</f>
        <v/>
      </c>
    </row>
    <row r="71" ht="15" customHeight="1">
      <c r="A71" t="inlineStr">
        <is>
          <t>A 9618-2026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46298</v>
      </c>
      <c r="F71" t="inlineStr">
        <is>
          <t>UPPSALA LÄN</t>
        </is>
      </c>
      <c r="G71" t="inlineStr">
        <is>
          <t>HEBY</t>
        </is>
      </c>
      <c r="I71" t="n">
        <v>2.3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HYPERLINK("https://klasma.github.io/Logging_0331/artfynd/A 9618-2026 artfynd.xlsx", "A 9618-2026")</f>
        <v/>
      </c>
      <c r="X71">
        <f>HYPERLINK("https://klasma.github.io/Logging_0331/kartor/A 9618-2026 karta.png", "A 9618-2026")</f>
        <v/>
      </c>
      <c r="Y71">
        <f>HYPERLINK("https://klasma.github.io/Logging_0331/kartor_geotiff/A 9618-2026 georefererad karta.tif", "A 9618-2026")</f>
        <v/>
      </c>
      <c r="AA71">
        <f>HYPERLINK("https://klasma.github.io/Logging_0331/klagomål/A 9618-2026 FSC-klagomål.docx", "A 9618-2026")</f>
        <v/>
      </c>
      <c r="AB71">
        <f>HYPERLINK("https://klasma.github.io/Logging_0331/klagomålsmail/A 9618-2026 FSC-klagomål mail.docx", "A 9618-2026")</f>
        <v/>
      </c>
      <c r="AC71">
        <f>HYPERLINK("https://klasma.github.io/Logging_0331/tillsyn/A 9618-2026 tillsynsbegäran.docx", "A 9618-2026")</f>
        <v/>
      </c>
      <c r="AD71">
        <f>HYPERLINK("https://klasma.github.io/Logging_0331/tillsynsmail/A 9618-2026 tillsynsbegäran mail.docx", "A 9618-2026")</f>
        <v/>
      </c>
    </row>
    <row r="72" ht="15" customHeight="1">
      <c r="A72" t="inlineStr">
        <is>
          <t>A 55763-2025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45972</v>
      </c>
      <c r="E72" s="1" t="n">
        <v>46298</v>
      </c>
      <c r="F72" t="inlineStr">
        <is>
          <t>UPPSALA LÄN</t>
        </is>
      </c>
      <c r="G72" t="inlineStr">
        <is>
          <t>HEBY</t>
        </is>
      </c>
      <c r="I72" t="n">
        <v>4.5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Kandelabersvamp</t>
        </is>
      </c>
      <c r="W72">
        <f>HYPERLINK("https://klasma.github.io/Logging_0331/artfynd/A 55763-2025 artfynd.xlsx", "A 55763-2025")</f>
        <v/>
      </c>
      <c r="X72">
        <f>HYPERLINK("https://klasma.github.io/Logging_0331/kartor/A 55763-2025 karta.png", "A 55763-2025")</f>
        <v/>
      </c>
      <c r="Y72">
        <f>HYPERLINK("https://klasma.github.io/Logging_0331/kartor_geotiff/A 55763-2025 georefererad karta.tif", "A 55763-2025")</f>
        <v/>
      </c>
      <c r="AA72">
        <f>HYPERLINK("https://klasma.github.io/Logging_0331/klagomål/A 55763-2025 FSC-klagomål.docx", "A 55763-2025")</f>
        <v/>
      </c>
      <c r="AB72">
        <f>HYPERLINK("https://klasma.github.io/Logging_0331/klagomålsmail/A 55763-2025 FSC-klagomål mail.docx", "A 55763-2025")</f>
        <v/>
      </c>
      <c r="AC72">
        <f>HYPERLINK("https://klasma.github.io/Logging_0331/tillsyn/A 55763-2025 tillsynsbegäran.docx", "A 55763-2025")</f>
        <v/>
      </c>
      <c r="AD72">
        <f>HYPERLINK("https://klasma.github.io/Logging_0331/tillsynsmail/A 55763-2025 tillsynsbegäran mail.docx", "A 55763-2025")</f>
        <v/>
      </c>
    </row>
    <row r="73" ht="15" customHeight="1">
      <c r="A73" t="inlineStr">
        <is>
          <t>A 61598-2021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46298</v>
      </c>
      <c r="F73" t="inlineStr">
        <is>
          <t>UPPSALA LÄN</t>
        </is>
      </c>
      <c r="G73" t="inlineStr">
        <is>
          <t>HEBY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HYPERLINK("https://klasma.github.io/Logging_0331/artfynd/A 61598-2021 artfynd.xlsx", "A 61598-2021")</f>
        <v/>
      </c>
      <c r="X73">
        <f>HYPERLINK("https://klasma.github.io/Logging_0331/kartor/A 61598-2021 karta.png", "A 61598-2021")</f>
        <v/>
      </c>
      <c r="Y73">
        <f>HYPERLINK("https://klasma.github.io/Logging_0331/kartor_geotiff/A 61598-2021 georefererad karta.tif", "A 61598-2021")</f>
        <v/>
      </c>
      <c r="AA73">
        <f>HYPERLINK("https://klasma.github.io/Logging_0331/klagomål/A 61598-2021 FSC-klagomål.docx", "A 61598-2021")</f>
        <v/>
      </c>
      <c r="AB73">
        <f>HYPERLINK("https://klasma.github.io/Logging_0331/klagomålsmail/A 61598-2021 FSC-klagomål mail.docx", "A 61598-2021")</f>
        <v/>
      </c>
      <c r="AC73">
        <f>HYPERLINK("https://klasma.github.io/Logging_0331/tillsyn/A 61598-2021 tillsynsbegäran.docx", "A 61598-2021")</f>
        <v/>
      </c>
      <c r="AD73">
        <f>HYPERLINK("https://klasma.github.io/Logging_0331/tillsynsmail/A 61598-2021 tillsynsbegäran mail.docx", "A 61598-2021")</f>
        <v/>
      </c>
      <c r="AE73">
        <f>HYPERLINK("https://klasma.github.io/Logging_0331/fåglar/A 61598-2021 prioriterade fågelarter.docx", "A 61598-2021")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46298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46298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31885-2026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46231</v>
      </c>
      <c r="E76" s="1" t="n">
        <v>46298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 spretmossa</t>
        </is>
      </c>
      <c r="W76">
        <f>HYPERLINK("https://klasma.github.io/Logging_0331/artfynd/A 31885-2026 artfynd.xlsx", "A 31885-2026")</f>
        <v/>
      </c>
      <c r="X76">
        <f>HYPERLINK("https://klasma.github.io/Logging_0331/kartor/A 31885-2026 karta.png", "A 31885-2026")</f>
        <v/>
      </c>
      <c r="Y76">
        <f>HYPERLINK("https://klasma.github.io/Logging_0331/kartor_geotiff/A 31885-2026 georefererad karta.tif", "A 31885-2026")</f>
        <v/>
      </c>
      <c r="AA76">
        <f>HYPERLINK("https://klasma.github.io/Logging_0331/klagomål/A 31885-2026 FSC-klagomål.docx", "A 31885-2026")</f>
        <v/>
      </c>
      <c r="AB76">
        <f>HYPERLINK("https://klasma.github.io/Logging_0331/klagomålsmail/A 31885-2026 FSC-klagomål mail.docx", "A 31885-2026")</f>
        <v/>
      </c>
      <c r="AC76">
        <f>HYPERLINK("https://klasma.github.io/Logging_0331/tillsyn/A 31885-2026 tillsynsbegäran.docx", "A 31885-2026")</f>
        <v/>
      </c>
      <c r="AD76">
        <f>HYPERLINK("https://klasma.github.io/Logging_0331/tillsynsmail/A 31885-2026 tillsynsbegäran mail.docx", "A 31885-2026")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46298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26596-2024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45469</v>
      </c>
      <c r="E78" s="1" t="n">
        <v>46298</v>
      </c>
      <c r="F78" t="inlineStr">
        <is>
          <t>UPPSALA LÄN</t>
        </is>
      </c>
      <c r="G78" t="inlineStr">
        <is>
          <t>HEBY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Stenichnus poweri</t>
        </is>
      </c>
      <c r="W78">
        <f>HYPERLINK("https://klasma.github.io/Logging_0331/artfynd/A 26596-2024 artfynd.xlsx", "A 26596-2024")</f>
        <v/>
      </c>
      <c r="X78">
        <f>HYPERLINK("https://klasma.github.io/Logging_0331/kartor/A 26596-2024 karta.png", "A 26596-2024")</f>
        <v/>
      </c>
      <c r="Y78">
        <f>HYPERLINK("https://klasma.github.io/Logging_0331/kartor_geotiff/A 26596-2024 georefererad karta.tif", "A 26596-2024")</f>
        <v/>
      </c>
      <c r="AA78">
        <f>HYPERLINK("https://klasma.github.io/Logging_0331/klagomål/A 26596-2024 FSC-klagomål.docx", "A 26596-2024")</f>
        <v/>
      </c>
      <c r="AB78">
        <f>HYPERLINK("https://klasma.github.io/Logging_0331/klagomålsmail/A 26596-2024 FSC-klagomål mail.docx", "A 26596-2024")</f>
        <v/>
      </c>
      <c r="AC78">
        <f>HYPERLINK("https://klasma.github.io/Logging_0331/tillsyn/A 26596-2024 tillsynsbegäran.docx", "A 26596-2024")</f>
        <v/>
      </c>
      <c r="AD78">
        <f>HYPERLINK("https://klasma.github.io/Logging_0331/tillsynsmail/A 26596-2024 tillsynsbegäran mail.docx", "A 26596-2024")</f>
        <v/>
      </c>
    </row>
    <row r="79" ht="15" customHeight="1">
      <c r="A79" t="inlineStr">
        <is>
          <t>A 53992-2023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46298</v>
      </c>
      <c r="F79" t="inlineStr">
        <is>
          <t>UPPSALA LÄN</t>
        </is>
      </c>
      <c r="G79" t="inlineStr">
        <is>
          <t>HEBY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Igelkott</t>
        </is>
      </c>
      <c r="W79">
        <f>HYPERLINK("https://klasma.github.io/Logging_0331/artfynd/A 53992-2023 artfynd.xlsx", "A 53992-2023")</f>
        <v/>
      </c>
      <c r="X79">
        <f>HYPERLINK("https://klasma.github.io/Logging_0331/kartor/A 53992-2023 karta.png", "A 53992-2023")</f>
        <v/>
      </c>
      <c r="Y79">
        <f>HYPERLINK("https://klasma.github.io/Logging_0331/kartor_geotiff/A 53992-2023 georefererad karta.tif", "A 53992-2023")</f>
        <v/>
      </c>
      <c r="AA79">
        <f>HYPERLINK("https://klasma.github.io/Logging_0331/klagomål/A 53992-2023 FSC-klagomål.docx", "A 53992-2023")</f>
        <v/>
      </c>
      <c r="AB79">
        <f>HYPERLINK("https://klasma.github.io/Logging_0331/klagomålsmail/A 53992-2023 FSC-klagomål mail.docx", "A 53992-2023")</f>
        <v/>
      </c>
      <c r="AC79">
        <f>HYPERLINK("https://klasma.github.io/Logging_0331/tillsyn/A 53992-2023 tillsynsbegäran.docx", "A 53992-2023")</f>
        <v/>
      </c>
      <c r="AD79">
        <f>HYPERLINK("https://klasma.github.io/Logging_0331/tillsynsmail/A 53992-2023 tillsynsbegäran mail.docx", "A 53992-2023")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46298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Granbarkgnagare</t>
        </is>
      </c>
      <c r="W80">
        <f>HYPERLINK("https://klasma.github.io/Logging_0331/artfynd/A 49707-2023 artfynd.xlsx", "A 49707-2023")</f>
        <v/>
      </c>
      <c r="X80">
        <f>HYPERLINK("https://klasma.github.io/Logging_0331/kartor/A 49707-2023 karta.png", "A 49707-2023")</f>
        <v/>
      </c>
      <c r="Y80">
        <f>HYPERLINK("https://klasma.github.io/Logging_0331/kartor_geotiff/A 49707-2023 georefererad karta.tif", "A 49707-2023")</f>
        <v/>
      </c>
      <c r="AA80">
        <f>HYPERLINK("https://klasma.github.io/Logging_0331/klagomål/A 49707-2023 FSC-klagomål.docx", "A 49707-2023")</f>
        <v/>
      </c>
      <c r="AB80">
        <f>HYPERLINK("https://klasma.github.io/Logging_0331/klagomålsmail/A 49707-2023 FSC-klagomål mail.docx", "A 49707-2023")</f>
        <v/>
      </c>
      <c r="AC80">
        <f>HYPERLINK("https://klasma.github.io/Logging_0331/tillsyn/A 49707-2023 tillsynsbegäran.docx", "A 49707-2023")</f>
        <v/>
      </c>
      <c r="AD80">
        <f>HYPERLINK("https://klasma.github.io/Logging_0331/tillsynsmail/A 49707-2023 tillsynsbegäran mail.docx", "A 49707-2023")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46298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46298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46298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46298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46298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46298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46298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46298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56138-2021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46298</v>
      </c>
      <c r="F89" t="inlineStr">
        <is>
          <t>UPPSALA LÄN</t>
        </is>
      </c>
      <c r="G89" t="inlineStr">
        <is>
          <t>HEBY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46298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46298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46298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46298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46298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46298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46298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46298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46298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46298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46298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46298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46298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46298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46298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46298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46298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46298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46298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46298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46298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46298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46298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46298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46298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46298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46298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46298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46298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46298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46298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46298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46298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46298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46298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46298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46298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46298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46298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46298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46298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46298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46298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46298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46298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46298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46298</v>
      </c>
      <c r="F136" t="inlineStr">
        <is>
          <t>UPPSALA LÄN</t>
        </is>
      </c>
      <c r="G136" t="inlineStr">
        <is>
          <t>HEBY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44841</v>
      </c>
      <c r="E137" s="1" t="n">
        <v>46298</v>
      </c>
      <c r="F137" t="inlineStr">
        <is>
          <t>UPPSALA LÄN</t>
        </is>
      </c>
      <c r="G137" t="inlineStr">
        <is>
          <t>HEBY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46298</v>
      </c>
      <c r="F138" t="inlineStr">
        <is>
          <t>UPPSALA LÄN</t>
        </is>
      </c>
      <c r="G138" t="inlineStr">
        <is>
          <t>HEBY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46298</v>
      </c>
      <c r="F139" t="inlineStr">
        <is>
          <t>UPPSALA LÄN</t>
        </is>
      </c>
      <c r="G139" t="inlineStr">
        <is>
          <t>HEBY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73622-2021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46298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46298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46298</v>
      </c>
      <c r="F142" t="inlineStr">
        <is>
          <t>UPPSALA LÄN</t>
        </is>
      </c>
      <c r="G142" t="inlineStr">
        <is>
          <t>HEBY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45599</v>
      </c>
      <c r="E143" s="1" t="n">
        <v>46298</v>
      </c>
      <c r="F143" t="inlineStr">
        <is>
          <t>UPPSALA LÄN</t>
        </is>
      </c>
      <c r="G143" t="inlineStr">
        <is>
          <t>HEBY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46298</v>
      </c>
      <c r="F144" t="inlineStr">
        <is>
          <t>UPPSALA LÄN</t>
        </is>
      </c>
      <c r="G144" t="inlineStr">
        <is>
          <t>HEBY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46298</v>
      </c>
      <c r="F145" t="inlineStr">
        <is>
          <t>UPPSALA LÄN</t>
        </is>
      </c>
      <c r="G145" t="inlineStr">
        <is>
          <t>HEBY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45786</v>
      </c>
      <c r="E146" s="1" t="n">
        <v>46298</v>
      </c>
      <c r="F146" t="inlineStr">
        <is>
          <t>UPPSALA LÄN</t>
        </is>
      </c>
      <c r="G146" t="inlineStr">
        <is>
          <t>HEBY</t>
        </is>
      </c>
      <c r="H146" t="inlineStr">
        <is>
          <t>Kyrkan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45786</v>
      </c>
      <c r="E147" s="1" t="n">
        <v>46298</v>
      </c>
      <c r="F147" t="inlineStr">
        <is>
          <t>UPPSALA LÄN</t>
        </is>
      </c>
      <c r="G147" t="inlineStr">
        <is>
          <t>HEBY</t>
        </is>
      </c>
      <c r="H147" t="inlineStr">
        <is>
          <t>Kyrkan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44849</v>
      </c>
      <c r="E148" s="1" t="n">
        <v>46298</v>
      </c>
      <c r="F148" t="inlineStr">
        <is>
          <t>UPPSALA LÄN</t>
        </is>
      </c>
      <c r="G148" t="inlineStr">
        <is>
          <t>HEBY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46298</v>
      </c>
      <c r="F149" t="inlineStr">
        <is>
          <t>UPPSALA LÄN</t>
        </is>
      </c>
      <c r="G149" t="inlineStr">
        <is>
          <t>HEBY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45786</v>
      </c>
      <c r="E150" s="1" t="n">
        <v>46298</v>
      </c>
      <c r="F150" t="inlineStr">
        <is>
          <t>UPPSALA LÄN</t>
        </is>
      </c>
      <c r="G150" t="inlineStr">
        <is>
          <t>HEBY</t>
        </is>
      </c>
      <c r="H150" t="inlineStr">
        <is>
          <t>Kyrkan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45786</v>
      </c>
      <c r="E151" s="1" t="n">
        <v>46298</v>
      </c>
      <c r="F151" t="inlineStr">
        <is>
          <t>UPPSALA LÄN</t>
        </is>
      </c>
      <c r="G151" t="inlineStr">
        <is>
          <t>HEBY</t>
        </is>
      </c>
      <c r="H151" t="inlineStr">
        <is>
          <t>Kyrkan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46298</v>
      </c>
      <c r="F152" t="inlineStr">
        <is>
          <t>UPPSALA LÄN</t>
        </is>
      </c>
      <c r="G152" t="inlineStr">
        <is>
          <t>HEBY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46298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46298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46298</v>
      </c>
      <c r="F155" t="inlineStr">
        <is>
          <t>UPPSALA LÄN</t>
        </is>
      </c>
      <c r="G155" t="inlineStr">
        <is>
          <t>HEBY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46298</v>
      </c>
      <c r="F156" t="inlineStr">
        <is>
          <t>UPPSALA LÄN</t>
        </is>
      </c>
      <c r="G156" t="inlineStr">
        <is>
          <t>HEBY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46298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46298</v>
      </c>
      <c r="F158" t="inlineStr">
        <is>
          <t>UPPSALA LÄN</t>
        </is>
      </c>
      <c r="G158" t="inlineStr">
        <is>
          <t>HEBY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46298</v>
      </c>
      <c r="F159" t="inlineStr">
        <is>
          <t>UPPSALA LÄN</t>
        </is>
      </c>
      <c r="G159" t="inlineStr">
        <is>
          <t>HEBY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46298</v>
      </c>
      <c r="F160" t="inlineStr">
        <is>
          <t>UPPSALA LÄN</t>
        </is>
      </c>
      <c r="G160" t="inlineStr">
        <is>
          <t>HEBY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70976-2021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44538</v>
      </c>
      <c r="E161" s="1" t="n">
        <v>46298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46298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46298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62042-2025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46005</v>
      </c>
      <c r="E164" s="1" t="n">
        <v>46298</v>
      </c>
      <c r="F164" t="inlineStr">
        <is>
          <t>UPPSALA LÄN</t>
        </is>
      </c>
      <c r="G164" t="inlineStr">
        <is>
          <t>HEBY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46007</v>
      </c>
      <c r="E165" s="1" t="n">
        <v>46298</v>
      </c>
      <c r="F165" t="inlineStr">
        <is>
          <t>UPPSALA LÄN</t>
        </is>
      </c>
      <c r="G165" t="inlineStr">
        <is>
          <t>HEBY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46298</v>
      </c>
      <c r="F166" t="inlineStr">
        <is>
          <t>UPPSALA LÄN</t>
        </is>
      </c>
      <c r="G166" t="inlineStr">
        <is>
          <t>HEBY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46298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45688</v>
      </c>
      <c r="E168" s="1" t="n">
        <v>46298</v>
      </c>
      <c r="F168" t="inlineStr">
        <is>
          <t>UPPSALA LÄN</t>
        </is>
      </c>
      <c r="G168" t="inlineStr">
        <is>
          <t>HEBY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46298</v>
      </c>
      <c r="F169" t="inlineStr">
        <is>
          <t>UPPSALA LÄN</t>
        </is>
      </c>
      <c r="G169" t="inlineStr">
        <is>
          <t>HEBY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46298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16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72180-2021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46298</v>
      </c>
      <c r="F171" t="inlineStr">
        <is>
          <t>UPPSALA LÄN</t>
        </is>
      </c>
      <c r="G171" t="inlineStr">
        <is>
          <t>HEBY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44788</v>
      </c>
      <c r="E172" s="1" t="n">
        <v>46298</v>
      </c>
      <c r="F172" t="inlineStr">
        <is>
          <t>UPPSALA LÄN</t>
        </is>
      </c>
      <c r="G172" t="inlineStr">
        <is>
          <t>HEBY</t>
        </is>
      </c>
      <c r="I172" t="n">
        <v>18.8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46023</v>
      </c>
      <c r="E173" s="1" t="n">
        <v>46298</v>
      </c>
      <c r="F173" t="inlineStr">
        <is>
          <t>UPPSALA LÄN</t>
        </is>
      </c>
      <c r="G173" t="inlineStr">
        <is>
          <t>HEBY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46298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46298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46298</v>
      </c>
      <c r="F176" t="inlineStr">
        <is>
          <t>UPPSALA LÄN</t>
        </is>
      </c>
      <c r="G176" t="inlineStr">
        <is>
          <t>HEBY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46298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46298</v>
      </c>
      <c r="F178" t="inlineStr">
        <is>
          <t>UPPSALA LÄN</t>
        </is>
      </c>
      <c r="G178" t="inlineStr">
        <is>
          <t>HEBY</t>
        </is>
      </c>
      <c r="I178" t="n">
        <v>14.8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46298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41.8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46298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46298</v>
      </c>
      <c r="F181" t="inlineStr">
        <is>
          <t>UPPSALA LÄN</t>
        </is>
      </c>
      <c r="G181" t="inlineStr">
        <is>
          <t>HEBY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46298</v>
      </c>
      <c r="F182" t="inlineStr">
        <is>
          <t>UPPSALA LÄN</t>
        </is>
      </c>
      <c r="G182" t="inlineStr">
        <is>
          <t>HEBY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46298</v>
      </c>
      <c r="F183" t="inlineStr">
        <is>
          <t>UPPSALA LÄN</t>
        </is>
      </c>
      <c r="G183" t="inlineStr">
        <is>
          <t>HEBY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45328</v>
      </c>
      <c r="E184" s="1" t="n">
        <v>46298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45133</v>
      </c>
      <c r="E185" s="1" t="n">
        <v>46298</v>
      </c>
      <c r="F185" t="inlineStr">
        <is>
          <t>UPPSALA LÄN</t>
        </is>
      </c>
      <c r="G185" t="inlineStr">
        <is>
          <t>HEBY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48948-2023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46298</v>
      </c>
      <c r="F186" t="inlineStr">
        <is>
          <t>UPPSALA LÄN</t>
        </is>
      </c>
      <c r="G186" t="inlineStr">
        <is>
          <t>HEBY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46298</v>
      </c>
      <c r="F187" t="inlineStr">
        <is>
          <t>UPPSALA LÄN</t>
        </is>
      </c>
      <c r="G187" t="inlineStr">
        <is>
          <t>HEBY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46298</v>
      </c>
      <c r="F188" t="inlineStr">
        <is>
          <t>UPPSALA LÄN</t>
        </is>
      </c>
      <c r="G188" t="inlineStr">
        <is>
          <t>HEBY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46298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46298</v>
      </c>
      <c r="F190" t="inlineStr">
        <is>
          <t>UPPSALA LÄN</t>
        </is>
      </c>
      <c r="G190" t="inlineStr">
        <is>
          <t>HEBY</t>
        </is>
      </c>
      <c r="H190" t="inlineStr">
        <is>
          <t>Kyrkan</t>
        </is>
      </c>
      <c r="I190" t="n">
        <v>10.6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45175</v>
      </c>
      <c r="E191" s="1" t="n">
        <v>46298</v>
      </c>
      <c r="F191" t="inlineStr">
        <is>
          <t>UPPSALA LÄN</t>
        </is>
      </c>
      <c r="G191" t="inlineStr">
        <is>
          <t>HEBY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46298</v>
      </c>
      <c r="F192" t="inlineStr">
        <is>
          <t>UPPSALA LÄN</t>
        </is>
      </c>
      <c r="G192" t="inlineStr">
        <is>
          <t>HEBY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46298</v>
      </c>
      <c r="F193" t="inlineStr">
        <is>
          <t>UPPSALA LÄN</t>
        </is>
      </c>
      <c r="G193" t="inlineStr">
        <is>
          <t>HEBY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46298</v>
      </c>
      <c r="F194" t="inlineStr">
        <is>
          <t>UPPSALA LÄN</t>
        </is>
      </c>
      <c r="G194" t="inlineStr">
        <is>
          <t>HEBY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44477</v>
      </c>
      <c r="E195" s="1" t="n">
        <v>46298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45111</v>
      </c>
      <c r="E196" s="1" t="n">
        <v>46298</v>
      </c>
      <c r="F196" t="inlineStr">
        <is>
          <t>UPPSALA LÄN</t>
        </is>
      </c>
      <c r="G196" t="inlineStr">
        <is>
          <t>HEBY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45294</v>
      </c>
      <c r="E197" s="1" t="n">
        <v>46298</v>
      </c>
      <c r="F197" t="inlineStr">
        <is>
          <t>UPPSALA LÄN</t>
        </is>
      </c>
      <c r="G197" t="inlineStr">
        <is>
          <t>HEBY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46298</v>
      </c>
      <c r="F198" t="inlineStr">
        <is>
          <t>UPPSALA LÄN</t>
        </is>
      </c>
      <c r="G198" t="inlineStr">
        <is>
          <t>HEBY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46298</v>
      </c>
      <c r="F199" t="inlineStr">
        <is>
          <t>UPPSALA LÄN</t>
        </is>
      </c>
      <c r="G199" t="inlineStr">
        <is>
          <t>HEBY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46298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50859-2022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44862</v>
      </c>
      <c r="E201" s="1" t="n">
        <v>46298</v>
      </c>
      <c r="F201" t="inlineStr">
        <is>
          <t>UPPSALA LÄN</t>
        </is>
      </c>
      <c r="G201" t="inlineStr">
        <is>
          <t>HEBY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46298</v>
      </c>
      <c r="F202" t="inlineStr">
        <is>
          <t>UPPSALA LÄN</t>
        </is>
      </c>
      <c r="G202" t="inlineStr">
        <is>
          <t>HEBY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45092</v>
      </c>
      <c r="E203" s="1" t="n">
        <v>46298</v>
      </c>
      <c r="F203" t="inlineStr">
        <is>
          <t>UPPSALA LÄN</t>
        </is>
      </c>
      <c r="G203" t="inlineStr">
        <is>
          <t>HEBY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45803</v>
      </c>
      <c r="E204" s="1" t="n">
        <v>46298</v>
      </c>
      <c r="F204" t="inlineStr">
        <is>
          <t>UPPSALA LÄN</t>
        </is>
      </c>
      <c r="G204" t="inlineStr">
        <is>
          <t>HEBY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46298</v>
      </c>
      <c r="F205" t="inlineStr">
        <is>
          <t>UPPSALA LÄN</t>
        </is>
      </c>
      <c r="G205" t="inlineStr">
        <is>
          <t>HEBY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46298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46298</v>
      </c>
      <c r="F207" t="inlineStr">
        <is>
          <t>UPPSALA LÄN</t>
        </is>
      </c>
      <c r="G207" t="inlineStr">
        <is>
          <t>HEBY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25968-2025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45804</v>
      </c>
      <c r="E208" s="1" t="n">
        <v>46298</v>
      </c>
      <c r="F208" t="inlineStr">
        <is>
          <t>UPPSALA LÄN</t>
        </is>
      </c>
      <c r="G208" t="inlineStr">
        <is>
          <t>HEBY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46298</v>
      </c>
      <c r="F209" t="inlineStr">
        <is>
          <t>UPPSALA LÄN</t>
        </is>
      </c>
      <c r="G209" t="inlineStr">
        <is>
          <t>HEBY</t>
        </is>
      </c>
      <c r="I209" t="n">
        <v>15.8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46298</v>
      </c>
      <c r="F210" t="inlineStr">
        <is>
          <t>UPPSALA LÄN</t>
        </is>
      </c>
      <c r="G210" t="inlineStr">
        <is>
          <t>HEBY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46298</v>
      </c>
      <c r="F211" t="inlineStr">
        <is>
          <t>UPPSALA LÄN</t>
        </is>
      </c>
      <c r="G211" t="inlineStr">
        <is>
          <t>HEBY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46298</v>
      </c>
      <c r="F212" t="inlineStr">
        <is>
          <t>UPPSALA LÄN</t>
        </is>
      </c>
      <c r="G212" t="inlineStr">
        <is>
          <t>HEBY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44984</v>
      </c>
      <c r="E213" s="1" t="n">
        <v>46298</v>
      </c>
      <c r="F213" t="inlineStr">
        <is>
          <t>UPPSALA LÄN</t>
        </is>
      </c>
      <c r="G213" t="inlineStr">
        <is>
          <t>HEBY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46298</v>
      </c>
      <c r="F214" t="inlineStr">
        <is>
          <t>UPPSALA LÄN</t>
        </is>
      </c>
      <c r="G214" t="inlineStr">
        <is>
          <t>HEBY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46298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46298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11555-2026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46084</v>
      </c>
      <c r="E217" s="1" t="n">
        <v>46298</v>
      </c>
      <c r="F217" t="inlineStr">
        <is>
          <t>UPPSALA LÄN</t>
        </is>
      </c>
      <c r="G217" t="inlineStr">
        <is>
          <t>HEBY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60722-2022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44913</v>
      </c>
      <c r="E218" s="1" t="n">
        <v>46298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46298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46298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46298</v>
      </c>
      <c r="F221" t="inlineStr">
        <is>
          <t>UPPSALA LÄN</t>
        </is>
      </c>
      <c r="G221" t="inlineStr">
        <is>
          <t>HEBY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46298</v>
      </c>
      <c r="F222" t="inlineStr">
        <is>
          <t>UPPSALA LÄN</t>
        </is>
      </c>
      <c r="G222" t="inlineStr">
        <is>
          <t>HEBY</t>
        </is>
      </c>
      <c r="H222" t="inlineStr">
        <is>
          <t>Kommuner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46298</v>
      </c>
      <c r="F223" t="inlineStr">
        <is>
          <t>UPPSALA LÄN</t>
        </is>
      </c>
      <c r="G223" t="inlineStr">
        <is>
          <t>HEBY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46298</v>
      </c>
      <c r="F224" t="inlineStr">
        <is>
          <t>UPPSALA LÄN</t>
        </is>
      </c>
      <c r="G224" t="inlineStr">
        <is>
          <t>HEBY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45519</v>
      </c>
      <c r="E225" s="1" t="n">
        <v>46298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45439</v>
      </c>
      <c r="E226" s="1" t="n">
        <v>46298</v>
      </c>
      <c r="F226" t="inlineStr">
        <is>
          <t>UPPSALA LÄN</t>
        </is>
      </c>
      <c r="G226" t="inlineStr">
        <is>
          <t>HEBY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46298</v>
      </c>
      <c r="F227" t="inlineStr">
        <is>
          <t>UPPSALA LÄN</t>
        </is>
      </c>
      <c r="G227" t="inlineStr">
        <is>
          <t>HEBY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46298</v>
      </c>
      <c r="F228" t="inlineStr">
        <is>
          <t>UPPSALA LÄN</t>
        </is>
      </c>
      <c r="G228" t="inlineStr">
        <is>
          <t>HEBY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46298</v>
      </c>
      <c r="F229" t="inlineStr">
        <is>
          <t>UPPSALA LÄN</t>
        </is>
      </c>
      <c r="G229" t="inlineStr">
        <is>
          <t>HEBY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46298</v>
      </c>
      <c r="F230" t="inlineStr">
        <is>
          <t>UPPSALA LÄN</t>
        </is>
      </c>
      <c r="G230" t="inlineStr">
        <is>
          <t>HEBY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46298</v>
      </c>
      <c r="F231" t="inlineStr">
        <is>
          <t>UPPSALA LÄN</t>
        </is>
      </c>
      <c r="G231" t="inlineStr">
        <is>
          <t>HEBY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8003-2026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46298</v>
      </c>
      <c r="F232" t="inlineStr">
        <is>
          <t>UPPSALA LÄN</t>
        </is>
      </c>
      <c r="G232" t="inlineStr">
        <is>
          <t>HEBY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46298</v>
      </c>
      <c r="F233" t="inlineStr">
        <is>
          <t>UPPSALA LÄN</t>
        </is>
      </c>
      <c r="G233" t="inlineStr">
        <is>
          <t>HEBY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46298</v>
      </c>
      <c r="F234" t="inlineStr">
        <is>
          <t>UPPSALA LÄN</t>
        </is>
      </c>
      <c r="G234" t="inlineStr">
        <is>
          <t>HEBY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44574</v>
      </c>
      <c r="E235" s="1" t="n">
        <v>46298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46298</v>
      </c>
      <c r="F236" t="inlineStr">
        <is>
          <t>UPPSALA LÄN</t>
        </is>
      </c>
      <c r="G236" t="inlineStr">
        <is>
          <t>HEBY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46298</v>
      </c>
      <c r="F237" t="inlineStr">
        <is>
          <t>UPPSALA LÄN</t>
        </is>
      </c>
      <c r="G237" t="inlineStr">
        <is>
          <t>HEBY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46298</v>
      </c>
      <c r="F238" t="inlineStr">
        <is>
          <t>UPPSALA LÄN</t>
        </is>
      </c>
      <c r="G238" t="inlineStr">
        <is>
          <t>HEBY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46056</v>
      </c>
      <c r="E239" s="1" t="n">
        <v>46298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46298</v>
      </c>
      <c r="F240" t="inlineStr">
        <is>
          <t>UPPSALA LÄN</t>
        </is>
      </c>
      <c r="G240" t="inlineStr">
        <is>
          <t>HEBY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46073</v>
      </c>
      <c r="E241" s="1" t="n">
        <v>46298</v>
      </c>
      <c r="F241" t="inlineStr">
        <is>
          <t>UPPSALA LÄN</t>
        </is>
      </c>
      <c r="G241" t="inlineStr">
        <is>
          <t>HEBY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46298</v>
      </c>
      <c r="F242" t="inlineStr">
        <is>
          <t>UPPSALA LÄN</t>
        </is>
      </c>
      <c r="G242" t="inlineStr">
        <is>
          <t>HEBY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46298</v>
      </c>
      <c r="F243" t="inlineStr">
        <is>
          <t>UPPSALA LÄN</t>
        </is>
      </c>
      <c r="G243" t="inlineStr">
        <is>
          <t>HEBY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46298</v>
      </c>
      <c r="F244" t="inlineStr">
        <is>
          <t>UPPSALA LÄN</t>
        </is>
      </c>
      <c r="G244" t="inlineStr">
        <is>
          <t>HEBY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46298</v>
      </c>
      <c r="F245" t="inlineStr">
        <is>
          <t>UPPSALA LÄN</t>
        </is>
      </c>
      <c r="G245" t="inlineStr">
        <is>
          <t>HEBY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46298</v>
      </c>
      <c r="F246" t="inlineStr">
        <is>
          <t>UPPSALA LÄN</t>
        </is>
      </c>
      <c r="G246" t="inlineStr">
        <is>
          <t>HEBY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46298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33366-2024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45519</v>
      </c>
      <c r="E248" s="1" t="n">
        <v>46298</v>
      </c>
      <c r="F248" t="inlineStr">
        <is>
          <t>UPPSALA LÄN</t>
        </is>
      </c>
      <c r="G248" t="inlineStr">
        <is>
          <t>HEBY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46298</v>
      </c>
      <c r="F249" t="inlineStr">
        <is>
          <t>UPPSALA LÄN</t>
        </is>
      </c>
      <c r="G249" t="inlineStr">
        <is>
          <t>HEBY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64191-2023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46298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46298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45687</v>
      </c>
      <c r="E252" s="1" t="n">
        <v>46298</v>
      </c>
      <c r="F252" t="inlineStr">
        <is>
          <t>UPPSALA LÄN</t>
        </is>
      </c>
      <c r="G252" t="inlineStr">
        <is>
          <t>HEBY</t>
        </is>
      </c>
      <c r="H252" t="inlineStr">
        <is>
          <t>Övriga Aktiebolag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45089</v>
      </c>
      <c r="E253" s="1" t="n">
        <v>46298</v>
      </c>
      <c r="F253" t="inlineStr">
        <is>
          <t>UPPSALA LÄN</t>
        </is>
      </c>
      <c r="G253" t="inlineStr">
        <is>
          <t>HEBY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46298</v>
      </c>
      <c r="F254" t="inlineStr">
        <is>
          <t>UPPSALA LÄN</t>
        </is>
      </c>
      <c r="G254" t="inlineStr">
        <is>
          <t>HEBY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46298</v>
      </c>
      <c r="F255" t="inlineStr">
        <is>
          <t>UPPSALA LÄN</t>
        </is>
      </c>
      <c r="G255" t="inlineStr">
        <is>
          <t>HEBY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46298</v>
      </c>
      <c r="F256" t="inlineStr">
        <is>
          <t>UPPSALA LÄN</t>
        </is>
      </c>
      <c r="G256" t="inlineStr">
        <is>
          <t>HEBY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46298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45952</v>
      </c>
      <c r="E258" s="1" t="n">
        <v>46298</v>
      </c>
      <c r="F258" t="inlineStr">
        <is>
          <t>UPPSALA LÄN</t>
        </is>
      </c>
      <c r="G258" t="inlineStr">
        <is>
          <t>HEBY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46298</v>
      </c>
      <c r="F259" t="inlineStr">
        <is>
          <t>UPPSALA LÄN</t>
        </is>
      </c>
      <c r="G259" t="inlineStr">
        <is>
          <t>HEBY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46298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46298</v>
      </c>
      <c r="F261" t="inlineStr">
        <is>
          <t>UPPSALA LÄN</t>
        </is>
      </c>
      <c r="G261" t="inlineStr">
        <is>
          <t>HEBY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46298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46298</v>
      </c>
      <c r="F263" t="inlineStr">
        <is>
          <t>UPPSALA LÄN</t>
        </is>
      </c>
      <c r="G263" t="inlineStr">
        <is>
          <t>HEBY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46298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45502</v>
      </c>
      <c r="E265" s="1" t="n">
        <v>46298</v>
      </c>
      <c r="F265" t="inlineStr">
        <is>
          <t>UPPSALA LÄN</t>
        </is>
      </c>
      <c r="G265" t="inlineStr">
        <is>
          <t>HEBY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46298</v>
      </c>
      <c r="F266" t="inlineStr">
        <is>
          <t>UPPSALA LÄN</t>
        </is>
      </c>
      <c r="G266" t="inlineStr">
        <is>
          <t>HEBY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13302-2026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46298</v>
      </c>
      <c r="F267" t="inlineStr">
        <is>
          <t>UPPSALA LÄN</t>
        </is>
      </c>
      <c r="G267" t="inlineStr">
        <is>
          <t>HEBY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46298</v>
      </c>
      <c r="F268" t="inlineStr">
        <is>
          <t>UPPSALA LÄN</t>
        </is>
      </c>
      <c r="G268" t="inlineStr">
        <is>
          <t>HEBY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45567</v>
      </c>
      <c r="E269" s="1" t="n">
        <v>46298</v>
      </c>
      <c r="F269" t="inlineStr">
        <is>
          <t>UPPSALA LÄN</t>
        </is>
      </c>
      <c r="G269" t="inlineStr">
        <is>
          <t>HEBY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46298</v>
      </c>
      <c r="F270" t="inlineStr">
        <is>
          <t>UPPSALA LÄN</t>
        </is>
      </c>
      <c r="G270" t="inlineStr">
        <is>
          <t>HEBY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46298</v>
      </c>
      <c r="F271" t="inlineStr">
        <is>
          <t>UPPSALA LÄN</t>
        </is>
      </c>
      <c r="G271" t="inlineStr">
        <is>
          <t>HEBY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46298</v>
      </c>
      <c r="F272" t="inlineStr">
        <is>
          <t>UPPSALA LÄN</t>
        </is>
      </c>
      <c r="G272" t="inlineStr">
        <is>
          <t>HEBY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46298</v>
      </c>
      <c r="F273" t="inlineStr">
        <is>
          <t>UPPSALA LÄN</t>
        </is>
      </c>
      <c r="G273" t="inlineStr">
        <is>
          <t>HEBY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46298</v>
      </c>
      <c r="F274" t="inlineStr">
        <is>
          <t>UPPSALA LÄN</t>
        </is>
      </c>
      <c r="G274" t="inlineStr">
        <is>
          <t>HEBY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46298</v>
      </c>
      <c r="F275" t="inlineStr">
        <is>
          <t>UPPSALA LÄN</t>
        </is>
      </c>
      <c r="G275" t="inlineStr">
        <is>
          <t>HEBY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62132-2022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44914</v>
      </c>
      <c r="E276" s="1" t="n">
        <v>46298</v>
      </c>
      <c r="F276" t="inlineStr">
        <is>
          <t>UPPSALA LÄN</t>
        </is>
      </c>
      <c r="G276" t="inlineStr">
        <is>
          <t>HEBY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51091-2023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45218</v>
      </c>
      <c r="E277" s="1" t="n">
        <v>46298</v>
      </c>
      <c r="F277" t="inlineStr">
        <is>
          <t>UPPSALA LÄN</t>
        </is>
      </c>
      <c r="G277" t="inlineStr">
        <is>
          <t>HEBY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55488-2025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45971</v>
      </c>
      <c r="E278" s="1" t="n">
        <v>46298</v>
      </c>
      <c r="F278" t="inlineStr">
        <is>
          <t>UPPSALA LÄN</t>
        </is>
      </c>
      <c r="G278" t="inlineStr">
        <is>
          <t>HEBY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55496-2025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45971</v>
      </c>
      <c r="E279" s="1" t="n">
        <v>46298</v>
      </c>
      <c r="F279" t="inlineStr">
        <is>
          <t>UPPSALA LÄN</t>
        </is>
      </c>
      <c r="G279" t="inlineStr">
        <is>
          <t>HEBY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46298</v>
      </c>
      <c r="F280" t="inlineStr">
        <is>
          <t>UPPSALA LÄN</t>
        </is>
      </c>
      <c r="G280" t="inlineStr">
        <is>
          <t>HEBY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44781</v>
      </c>
      <c r="E281" s="1" t="n">
        <v>46298</v>
      </c>
      <c r="F281" t="inlineStr">
        <is>
          <t>UPPSALA LÄN</t>
        </is>
      </c>
      <c r="G281" t="inlineStr">
        <is>
          <t>HEBY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46298</v>
      </c>
      <c r="F282" t="inlineStr">
        <is>
          <t>UPPSALA LÄN</t>
        </is>
      </c>
      <c r="G282" t="inlineStr">
        <is>
          <t>HEBY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46298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46298</v>
      </c>
      <c r="F284" t="inlineStr">
        <is>
          <t>UPPSALA LÄN</t>
        </is>
      </c>
      <c r="G284" t="inlineStr">
        <is>
          <t>HEBY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44623</v>
      </c>
      <c r="E285" s="1" t="n">
        <v>46298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46298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6523-2022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46298</v>
      </c>
      <c r="F287" t="inlineStr">
        <is>
          <t>UPPSALA LÄN</t>
        </is>
      </c>
      <c r="G287" t="inlineStr">
        <is>
          <t>HEBY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46298</v>
      </c>
      <c r="F288" t="inlineStr">
        <is>
          <t>UPPSALA LÄN</t>
        </is>
      </c>
      <c r="G288" t="inlineStr">
        <is>
          <t>HEBY</t>
        </is>
      </c>
      <c r="H288" t="inlineStr">
        <is>
          <t>Kyrkan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45980</v>
      </c>
      <c r="E289" s="1" t="n">
        <v>46298</v>
      </c>
      <c r="F289" t="inlineStr">
        <is>
          <t>UPPSALA LÄN</t>
        </is>
      </c>
      <c r="G289" t="inlineStr">
        <is>
          <t>HEBY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46298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46298</v>
      </c>
      <c r="F291" t="inlineStr">
        <is>
          <t>UPPSALA LÄN</t>
        </is>
      </c>
      <c r="G291" t="inlineStr">
        <is>
          <t>HEBY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46110</v>
      </c>
      <c r="E292" s="1" t="n">
        <v>46298</v>
      </c>
      <c r="F292" t="inlineStr">
        <is>
          <t>UPPSALA LÄN</t>
        </is>
      </c>
      <c r="G292" t="inlineStr">
        <is>
          <t>HEBY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46298</v>
      </c>
      <c r="F293" t="inlineStr">
        <is>
          <t>UPPSALA LÄN</t>
        </is>
      </c>
      <c r="G293" t="inlineStr">
        <is>
          <t>HEBY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46298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46298</v>
      </c>
      <c r="F295" t="inlineStr">
        <is>
          <t>UPPSALA LÄN</t>
        </is>
      </c>
      <c r="G295" t="inlineStr">
        <is>
          <t>HEBY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46112</v>
      </c>
      <c r="E296" s="1" t="n">
        <v>46298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46298</v>
      </c>
      <c r="F297" t="inlineStr">
        <is>
          <t>UPPSALA LÄN</t>
        </is>
      </c>
      <c r="G297" t="inlineStr">
        <is>
          <t>HEBY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46298</v>
      </c>
      <c r="F298" t="inlineStr">
        <is>
          <t>UPPSALA LÄN</t>
        </is>
      </c>
      <c r="G298" t="inlineStr">
        <is>
          <t>HEBY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46114</v>
      </c>
      <c r="E299" s="1" t="n">
        <v>46298</v>
      </c>
      <c r="F299" t="inlineStr">
        <is>
          <t>UPPSALA LÄN</t>
        </is>
      </c>
      <c r="G299" t="inlineStr">
        <is>
          <t>HEBY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45339</v>
      </c>
      <c r="E300" s="1" t="n">
        <v>46298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46298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45331</v>
      </c>
      <c r="E302" s="1" t="n">
        <v>46298</v>
      </c>
      <c r="F302" t="inlineStr">
        <is>
          <t>UPPSALA LÄN</t>
        </is>
      </c>
      <c r="G302" t="inlineStr">
        <is>
          <t>HEBY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46298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46298</v>
      </c>
      <c r="F304" t="inlineStr">
        <is>
          <t>UPPSALA LÄN</t>
        </is>
      </c>
      <c r="G304" t="inlineStr">
        <is>
          <t>HEBY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46298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öst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51733-2025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45951</v>
      </c>
      <c r="E306" s="1" t="n">
        <v>46298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54594-2024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45617</v>
      </c>
      <c r="E307" s="1" t="n">
        <v>46298</v>
      </c>
      <c r="F307" t="inlineStr">
        <is>
          <t>UPPSALA LÄN</t>
        </is>
      </c>
      <c r="G307" t="inlineStr">
        <is>
          <t>HEBY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44614</v>
      </c>
      <c r="E308" s="1" t="n">
        <v>46298</v>
      </c>
      <c r="F308" t="inlineStr">
        <is>
          <t>UPPSALA LÄN</t>
        </is>
      </c>
      <c r="G308" t="inlineStr">
        <is>
          <t>HEBY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46298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46298</v>
      </c>
      <c r="F310" t="inlineStr">
        <is>
          <t>UPPSALA LÄN</t>
        </is>
      </c>
      <c r="G310" t="inlineStr">
        <is>
          <t>HEBY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46298</v>
      </c>
      <c r="F311" t="inlineStr">
        <is>
          <t>UPPSALA LÄN</t>
        </is>
      </c>
      <c r="G311" t="inlineStr">
        <is>
          <t>HEBY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45586</v>
      </c>
      <c r="E312" s="1" t="n">
        <v>46298</v>
      </c>
      <c r="F312" t="inlineStr">
        <is>
          <t>UPPSALA LÄN</t>
        </is>
      </c>
      <c r="G312" t="inlineStr">
        <is>
          <t>HEBY</t>
        </is>
      </c>
      <c r="H312" t="inlineStr">
        <is>
          <t>Kyrkan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21000-2022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44701</v>
      </c>
      <c r="E313" s="1" t="n">
        <v>46298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46298</v>
      </c>
      <c r="F314" t="inlineStr">
        <is>
          <t>UPPSALA LÄN</t>
        </is>
      </c>
      <c r="G314" t="inlineStr">
        <is>
          <t>HEBY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46298</v>
      </c>
      <c r="F315" t="inlineStr">
        <is>
          <t>UPPSALA LÄN</t>
        </is>
      </c>
      <c r="G315" t="inlineStr">
        <is>
          <t>HEBY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46298</v>
      </c>
      <c r="F316" t="inlineStr">
        <is>
          <t>UPPSALA LÄN</t>
        </is>
      </c>
      <c r="G316" t="inlineStr">
        <is>
          <t>HEBY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46298</v>
      </c>
      <c r="F317" t="inlineStr">
        <is>
          <t>UPPSALA LÄN</t>
        </is>
      </c>
      <c r="G317" t="inlineStr">
        <is>
          <t>HEBY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46298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46298</v>
      </c>
      <c r="F319" t="inlineStr">
        <is>
          <t>UPPSALA LÄN</t>
        </is>
      </c>
      <c r="G319" t="inlineStr">
        <is>
          <t>HEBY</t>
        </is>
      </c>
      <c r="H319" t="inlineStr">
        <is>
          <t>Övriga Aktiebolag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46298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väst AB</t>
        </is>
      </c>
      <c r="I320" t="n">
        <v>66.90000000000001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45132</v>
      </c>
      <c r="E321" s="1" t="n">
        <v>46298</v>
      </c>
      <c r="F321" t="inlineStr">
        <is>
          <t>UPPSALA LÄN</t>
        </is>
      </c>
      <c r="G321" t="inlineStr">
        <is>
          <t>HEBY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46298</v>
      </c>
      <c r="F322" t="inlineStr">
        <is>
          <t>UPPSALA LÄN</t>
        </is>
      </c>
      <c r="G322" t="inlineStr">
        <is>
          <t>HEBY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46298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46298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45764</v>
      </c>
      <c r="E325" s="1" t="n">
        <v>46298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46298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43.4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46298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46298</v>
      </c>
      <c r="F328" t="inlineStr">
        <is>
          <t>UPPSALA LÄN</t>
        </is>
      </c>
      <c r="G328" t="inlineStr">
        <is>
          <t>HEBY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46298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väst AB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46298</v>
      </c>
      <c r="F330" t="inlineStr">
        <is>
          <t>UPPSALA LÄN</t>
        </is>
      </c>
      <c r="G330" t="inlineStr">
        <is>
          <t>HEBY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45674</v>
      </c>
      <c r="E331" s="1" t="n">
        <v>46298</v>
      </c>
      <c r="F331" t="inlineStr">
        <is>
          <t>UPPSALA LÄN</t>
        </is>
      </c>
      <c r="G331" t="inlineStr">
        <is>
          <t>HEBY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70158-2021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44533</v>
      </c>
      <c r="E332" s="1" t="n">
        <v>46298</v>
      </c>
      <c r="F332" t="inlineStr">
        <is>
          <t>UPPSALA LÄN</t>
        </is>
      </c>
      <c r="G332" t="inlineStr">
        <is>
          <t>HEBY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46298</v>
      </c>
      <c r="F333" t="inlineStr">
        <is>
          <t>UPPSALA LÄN</t>
        </is>
      </c>
      <c r="G333" t="inlineStr">
        <is>
          <t>HEBY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45904</v>
      </c>
      <c r="E334" s="1" t="n">
        <v>46298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44754</v>
      </c>
      <c r="E335" s="1" t="n">
        <v>46298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öst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46298</v>
      </c>
      <c r="F336" t="inlineStr">
        <is>
          <t>UPPSALA LÄN</t>
        </is>
      </c>
      <c r="G336" t="inlineStr">
        <is>
          <t>HEBY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46298</v>
      </c>
      <c r="F337" t="inlineStr">
        <is>
          <t>UPPSALA LÄN</t>
        </is>
      </c>
      <c r="G337" t="inlineStr">
        <is>
          <t>HEBY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19990-2022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44697</v>
      </c>
      <c r="E338" s="1" t="n">
        <v>46298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14.3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46298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44701</v>
      </c>
      <c r="E340" s="1" t="n">
        <v>46298</v>
      </c>
      <c r="F340" t="inlineStr">
        <is>
          <t>UPPSALA LÄN</t>
        </is>
      </c>
      <c r="G340" t="inlineStr">
        <is>
          <t>HEBY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45932</v>
      </c>
      <c r="E341" s="1" t="n">
        <v>46298</v>
      </c>
      <c r="F341" t="inlineStr">
        <is>
          <t>UPPSALA LÄN</t>
        </is>
      </c>
      <c r="G341" t="inlineStr">
        <is>
          <t>HEBY</t>
        </is>
      </c>
      <c r="H341" t="inlineStr">
        <is>
          <t>Allmännings- och besparingsskogar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46298</v>
      </c>
      <c r="F342" t="inlineStr">
        <is>
          <t>UPPSALA LÄN</t>
        </is>
      </c>
      <c r="G342" t="inlineStr">
        <is>
          <t>HEBY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46298</v>
      </c>
      <c r="F343" t="inlineStr">
        <is>
          <t>UPPSALA LÄN</t>
        </is>
      </c>
      <c r="G343" t="inlineStr">
        <is>
          <t>HEBY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46298</v>
      </c>
      <c r="F344" t="inlineStr">
        <is>
          <t>UPPSALA LÄN</t>
        </is>
      </c>
      <c r="G344" t="inlineStr">
        <is>
          <t>HEBY</t>
        </is>
      </c>
      <c r="H344" t="inlineStr">
        <is>
          <t>Bergvik skog väst AB</t>
        </is>
      </c>
      <c r="I344" t="n">
        <v>11.8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34559-2025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45847</v>
      </c>
      <c r="E345" s="1" t="n">
        <v>46298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45308</v>
      </c>
      <c r="E346" s="1" t="n">
        <v>46298</v>
      </c>
      <c r="F346" t="inlineStr">
        <is>
          <t>UPPSALA LÄN</t>
        </is>
      </c>
      <c r="G346" t="inlineStr">
        <is>
          <t>HEBY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45891</v>
      </c>
      <c r="E347" s="1" t="n">
        <v>46298</v>
      </c>
      <c r="F347" t="inlineStr">
        <is>
          <t>UPPSALA LÄN</t>
        </is>
      </c>
      <c r="G347" t="inlineStr">
        <is>
          <t>HEBY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46298</v>
      </c>
      <c r="F348" t="inlineStr">
        <is>
          <t>UPPSALA LÄN</t>
        </is>
      </c>
      <c r="G348" t="inlineStr">
        <is>
          <t>HEBY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42938-2022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44833</v>
      </c>
      <c r="E349" s="1" t="n">
        <v>46298</v>
      </c>
      <c r="F349" t="inlineStr">
        <is>
          <t>UPPSALA LÄN</t>
        </is>
      </c>
      <c r="G349" t="inlineStr">
        <is>
          <t>HEBY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46298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50954-2025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46298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45852</v>
      </c>
      <c r="E352" s="1" t="n">
        <v>46298</v>
      </c>
      <c r="F352" t="inlineStr">
        <is>
          <t>UPPSALA LÄN</t>
        </is>
      </c>
      <c r="G352" t="inlineStr">
        <is>
          <t>HEBY</t>
        </is>
      </c>
      <c r="H352" t="inlineStr">
        <is>
          <t>Kyrkan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46298</v>
      </c>
      <c r="F353" t="inlineStr">
        <is>
          <t>UPPSALA LÄN</t>
        </is>
      </c>
      <c r="G353" t="inlineStr">
        <is>
          <t>HEBY</t>
        </is>
      </c>
      <c r="H353" t="inlineStr">
        <is>
          <t>Allmännings- och besparingsskogar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44568</v>
      </c>
      <c r="E354" s="1" t="n">
        <v>46298</v>
      </c>
      <c r="F354" t="inlineStr">
        <is>
          <t>UPPSALA LÄN</t>
        </is>
      </c>
      <c r="G354" t="inlineStr">
        <is>
          <t>HEBY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45852</v>
      </c>
      <c r="E355" s="1" t="n">
        <v>46298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46298</v>
      </c>
      <c r="F356" t="inlineStr">
        <is>
          <t>UPPSALA LÄN</t>
        </is>
      </c>
      <c r="G356" t="inlineStr">
        <is>
          <t>HEBY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44939</v>
      </c>
      <c r="E357" s="1" t="n">
        <v>46298</v>
      </c>
      <c r="F357" t="inlineStr">
        <is>
          <t>UPPSALA LÄN</t>
        </is>
      </c>
      <c r="G357" t="inlineStr">
        <is>
          <t>HEBY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46298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46298</v>
      </c>
      <c r="F359" t="inlineStr">
        <is>
          <t>UPPSALA LÄN</t>
        </is>
      </c>
      <c r="G359" t="inlineStr">
        <is>
          <t>HEBY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46298</v>
      </c>
      <c r="F360" t="inlineStr">
        <is>
          <t>UPPSALA LÄN</t>
        </is>
      </c>
      <c r="G360" t="inlineStr">
        <is>
          <t>HEBY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26085-2022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46298</v>
      </c>
      <c r="F361" t="inlineStr">
        <is>
          <t>UPPSALA LÄN</t>
        </is>
      </c>
      <c r="G361" t="inlineStr">
        <is>
          <t>HEBY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46298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46298</v>
      </c>
      <c r="F363" t="inlineStr">
        <is>
          <t>UPPSALA LÄN</t>
        </is>
      </c>
      <c r="G363" t="inlineStr">
        <is>
          <t>HEBY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46298</v>
      </c>
      <c r="F364" t="inlineStr">
        <is>
          <t>UPPSALA LÄN</t>
        </is>
      </c>
      <c r="G364" t="inlineStr">
        <is>
          <t>HEBY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46298</v>
      </c>
      <c r="F365" t="inlineStr">
        <is>
          <t>UPPSALA LÄN</t>
        </is>
      </c>
      <c r="G365" t="inlineStr">
        <is>
          <t>HEBY</t>
        </is>
      </c>
      <c r="H365" t="inlineStr">
        <is>
          <t>Övriga Aktiebolag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56352-2021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44480</v>
      </c>
      <c r="E366" s="1" t="n">
        <v>46298</v>
      </c>
      <c r="F366" t="inlineStr">
        <is>
          <t>UPPSALA LÄN</t>
        </is>
      </c>
      <c r="G366" t="inlineStr">
        <is>
          <t>HEBY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45058</v>
      </c>
      <c r="E367" s="1" t="n">
        <v>46298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väst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13679-2024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45390</v>
      </c>
      <c r="E368" s="1" t="n">
        <v>46298</v>
      </c>
      <c r="F368" t="inlineStr">
        <is>
          <t>UPPSALA LÄN</t>
        </is>
      </c>
      <c r="G368" t="inlineStr">
        <is>
          <t>HEBY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46298</v>
      </c>
      <c r="F369" t="inlineStr">
        <is>
          <t>UPPSALA LÄN</t>
        </is>
      </c>
      <c r="G369" t="inlineStr">
        <is>
          <t>HEBY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42725-2023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45181</v>
      </c>
      <c r="E370" s="1" t="n">
        <v>46298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46298</v>
      </c>
      <c r="F371" t="inlineStr">
        <is>
          <t>UPPSALA LÄN</t>
        </is>
      </c>
      <c r="G371" t="inlineStr">
        <is>
          <t>HEBY</t>
        </is>
      </c>
      <c r="H371" t="inlineStr">
        <is>
          <t>Kyrkan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46298</v>
      </c>
      <c r="F372" t="inlineStr">
        <is>
          <t>UPPSALA LÄN</t>
        </is>
      </c>
      <c r="G372" t="inlineStr">
        <is>
          <t>HEBY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45351</v>
      </c>
      <c r="E373" s="1" t="n">
        <v>46298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20719-2026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46141</v>
      </c>
      <c r="E374" s="1" t="n">
        <v>46298</v>
      </c>
      <c r="F374" t="inlineStr">
        <is>
          <t>UPPSALA LÄN</t>
        </is>
      </c>
      <c r="G374" t="inlineStr">
        <is>
          <t>HEBY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20459-2026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46140</v>
      </c>
      <c r="E375" s="1" t="n">
        <v>46298</v>
      </c>
      <c r="F375" t="inlineStr">
        <is>
          <t>UPPSALA LÄN</t>
        </is>
      </c>
      <c r="G375" t="inlineStr">
        <is>
          <t>HEBY</t>
        </is>
      </c>
      <c r="H375" t="inlineStr">
        <is>
          <t>Övriga Aktiebolag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46298</v>
      </c>
      <c r="F376" t="inlineStr">
        <is>
          <t>UPPSALA LÄN</t>
        </is>
      </c>
      <c r="G376" t="inlineStr">
        <is>
          <t>HEBY</t>
        </is>
      </c>
      <c r="H376" t="inlineStr">
        <is>
          <t>Övriga Aktiebolag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31407-2023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46298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45805</v>
      </c>
      <c r="E378" s="1" t="n">
        <v>46298</v>
      </c>
      <c r="F378" t="inlineStr">
        <is>
          <t>UPPSALA LÄN</t>
        </is>
      </c>
      <c r="G378" t="inlineStr">
        <is>
          <t>HEBY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46298</v>
      </c>
      <c r="F379" t="inlineStr">
        <is>
          <t>UPPSALA LÄN</t>
        </is>
      </c>
      <c r="G379" t="inlineStr">
        <is>
          <t>HEBY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46140</v>
      </c>
      <c r="E380" s="1" t="n">
        <v>46298</v>
      </c>
      <c r="F380" t="inlineStr">
        <is>
          <t>UPPSALA LÄN</t>
        </is>
      </c>
      <c r="G380" t="inlineStr">
        <is>
          <t>HEBY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44694</v>
      </c>
      <c r="E381" s="1" t="n">
        <v>46298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48956-2023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45209</v>
      </c>
      <c r="E382" s="1" t="n">
        <v>46298</v>
      </c>
      <c r="F382" t="inlineStr">
        <is>
          <t>UPPSALA LÄN</t>
        </is>
      </c>
      <c r="G382" t="inlineStr">
        <is>
          <t>HEBY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45197</v>
      </c>
      <c r="E383" s="1" t="n">
        <v>46298</v>
      </c>
      <c r="F383" t="inlineStr">
        <is>
          <t>UPPSALA LÄN</t>
        </is>
      </c>
      <c r="G383" t="inlineStr">
        <is>
          <t>HEBY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41599-2023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45175</v>
      </c>
      <c r="E384" s="1" t="n">
        <v>46298</v>
      </c>
      <c r="F384" t="inlineStr">
        <is>
          <t>UPPSALA LÄN</t>
        </is>
      </c>
      <c r="G384" t="inlineStr">
        <is>
          <t>HEBY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21729-2026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46149</v>
      </c>
      <c r="E385" s="1" t="n">
        <v>46298</v>
      </c>
      <c r="F385" t="inlineStr">
        <is>
          <t>UPPSALA LÄN</t>
        </is>
      </c>
      <c r="G385" t="inlineStr">
        <is>
          <t>HEBY</t>
        </is>
      </c>
      <c r="H385" t="inlineStr">
        <is>
          <t>Allmännings- och besparingsskogar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46298</v>
      </c>
      <c r="F386" t="inlineStr">
        <is>
          <t>UPPSALA LÄN</t>
        </is>
      </c>
      <c r="G386" t="inlineStr">
        <is>
          <t>HEBY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45805</v>
      </c>
      <c r="E387" s="1" t="n">
        <v>46298</v>
      </c>
      <c r="F387" t="inlineStr">
        <is>
          <t>UPPSALA LÄN</t>
        </is>
      </c>
      <c r="G387" t="inlineStr">
        <is>
          <t>HEBY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45770</v>
      </c>
      <c r="E388" s="1" t="n">
        <v>46298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45218</v>
      </c>
      <c r="E389" s="1" t="n">
        <v>46298</v>
      </c>
      <c r="F389" t="inlineStr">
        <is>
          <t>UPPSALA LÄN</t>
        </is>
      </c>
      <c r="G389" t="inlineStr">
        <is>
          <t>HEBY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58332-2023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45250</v>
      </c>
      <c r="E390" s="1" t="n">
        <v>46298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69377-2021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46298</v>
      </c>
      <c r="F391" t="inlineStr">
        <is>
          <t>UPPSALA LÄN</t>
        </is>
      </c>
      <c r="G391" t="inlineStr">
        <is>
          <t>HEBY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64364-2021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44511</v>
      </c>
      <c r="E392" s="1" t="n">
        <v>46298</v>
      </c>
      <c r="F392" t="inlineStr">
        <is>
          <t>UPPSALA LÄN</t>
        </is>
      </c>
      <c r="G392" t="inlineStr">
        <is>
          <t>HEBY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45551</v>
      </c>
      <c r="E393" s="1" t="n">
        <v>46298</v>
      </c>
      <c r="F393" t="inlineStr">
        <is>
          <t>UPPSALA LÄN</t>
        </is>
      </c>
      <c r="G393" t="inlineStr">
        <is>
          <t>HEBY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45029</v>
      </c>
      <c r="E394" s="1" t="n">
        <v>46298</v>
      </c>
      <c r="F394" t="inlineStr">
        <is>
          <t>UPPSALA LÄN</t>
        </is>
      </c>
      <c r="G394" t="inlineStr">
        <is>
          <t>HEBY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46298</v>
      </c>
      <c r="F395" t="inlineStr">
        <is>
          <t>UPPSALA LÄN</t>
        </is>
      </c>
      <c r="G395" t="inlineStr">
        <is>
          <t>HEBY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46298</v>
      </c>
      <c r="F396" t="inlineStr">
        <is>
          <t>UPPSALA LÄN</t>
        </is>
      </c>
      <c r="G396" t="inlineStr">
        <is>
          <t>HEBY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50172-2024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45599</v>
      </c>
      <c r="E397" s="1" t="n">
        <v>46298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46298</v>
      </c>
      <c r="F398" t="inlineStr">
        <is>
          <t>UPPSALA LÄN</t>
        </is>
      </c>
      <c r="G398" t="inlineStr">
        <is>
          <t>HEBY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44568</v>
      </c>
      <c r="E399" s="1" t="n">
        <v>46298</v>
      </c>
      <c r="F399" t="inlineStr">
        <is>
          <t>UPPSALA LÄN</t>
        </is>
      </c>
      <c r="G399" t="inlineStr">
        <is>
          <t>HEBY</t>
        </is>
      </c>
      <c r="I399" t="n">
        <v>10.6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46164</v>
      </c>
      <c r="E400" s="1" t="n">
        <v>46298</v>
      </c>
      <c r="F400" t="inlineStr">
        <is>
          <t>UPPSALA LÄN</t>
        </is>
      </c>
      <c r="G400" t="inlineStr">
        <is>
          <t>HEBY</t>
        </is>
      </c>
      <c r="H400" t="inlineStr">
        <is>
          <t>Bergvik skog väst AB</t>
        </is>
      </c>
      <c r="I400" t="n">
        <v>35.2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46298</v>
      </c>
      <c r="F401" t="inlineStr">
        <is>
          <t>UPPSALA LÄN</t>
        </is>
      </c>
      <c r="G401" t="inlineStr">
        <is>
          <t>HEBY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46298</v>
      </c>
      <c r="F402" t="inlineStr">
        <is>
          <t>UPPSALA LÄN</t>
        </is>
      </c>
      <c r="G402" t="inlineStr">
        <is>
          <t>HEBY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46298</v>
      </c>
      <c r="F403" t="inlineStr">
        <is>
          <t>UPPSALA LÄN</t>
        </is>
      </c>
      <c r="G403" t="inlineStr">
        <is>
          <t>HEBY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46298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46298</v>
      </c>
      <c r="F405" t="inlineStr">
        <is>
          <t>UPPSALA LÄN</t>
        </is>
      </c>
      <c r="G405" t="inlineStr">
        <is>
          <t>HEBY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45128</v>
      </c>
      <c r="E406" s="1" t="n">
        <v>46298</v>
      </c>
      <c r="F406" t="inlineStr">
        <is>
          <t>UPPSALA LÄN</t>
        </is>
      </c>
      <c r="G406" t="inlineStr">
        <is>
          <t>HEBY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46298</v>
      </c>
      <c r="F407" t="inlineStr">
        <is>
          <t>UPPSALA LÄN</t>
        </is>
      </c>
      <c r="G407" t="inlineStr">
        <is>
          <t>HEBY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44644</v>
      </c>
      <c r="E408" s="1" t="n">
        <v>46298</v>
      </c>
      <c r="F408" t="inlineStr">
        <is>
          <t>UPPSALA LÄN</t>
        </is>
      </c>
      <c r="G408" t="inlineStr">
        <is>
          <t>HEBY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44942</v>
      </c>
      <c r="E409" s="1" t="n">
        <v>46298</v>
      </c>
      <c r="F409" t="inlineStr">
        <is>
          <t>UPPSALA LÄN</t>
        </is>
      </c>
      <c r="G409" t="inlineStr">
        <is>
          <t>HEBY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45013</v>
      </c>
      <c r="E410" s="1" t="n">
        <v>46298</v>
      </c>
      <c r="F410" t="inlineStr">
        <is>
          <t>UPPSALA LÄN</t>
        </is>
      </c>
      <c r="G410" t="inlineStr">
        <is>
          <t>HEBY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45777</v>
      </c>
      <c r="E411" s="1" t="n">
        <v>46298</v>
      </c>
      <c r="F411" t="inlineStr">
        <is>
          <t>UPPSALA LÄN</t>
        </is>
      </c>
      <c r="G411" t="inlineStr">
        <is>
          <t>HEBY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46298</v>
      </c>
      <c r="F412" t="inlineStr">
        <is>
          <t>UPPSALA LÄN</t>
        </is>
      </c>
      <c r="G412" t="inlineStr">
        <is>
          <t>HEBY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26559-2023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45092</v>
      </c>
      <c r="E413" s="1" t="n">
        <v>46298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46298</v>
      </c>
      <c r="F414" t="inlineStr">
        <is>
          <t>UPPSALA LÄN</t>
        </is>
      </c>
      <c r="G414" t="inlineStr">
        <is>
          <t>HEBY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46298</v>
      </c>
      <c r="F415" t="inlineStr">
        <is>
          <t>UPPSALA LÄN</t>
        </is>
      </c>
      <c r="G415" t="inlineStr">
        <is>
          <t>HEBY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15326-2022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44659</v>
      </c>
      <c r="E416" s="1" t="n">
        <v>46298</v>
      </c>
      <c r="F416" t="inlineStr">
        <is>
          <t>UPPSALA LÄN</t>
        </is>
      </c>
      <c r="G416" t="inlineStr">
        <is>
          <t>HEBY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44694</v>
      </c>
      <c r="E417" s="1" t="n">
        <v>46298</v>
      </c>
      <c r="F417" t="inlineStr">
        <is>
          <t>UPPSALA LÄN</t>
        </is>
      </c>
      <c r="G417" t="inlineStr">
        <is>
          <t>HEBY</t>
        </is>
      </c>
      <c r="I417" t="n">
        <v>22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46298</v>
      </c>
      <c r="F418" t="inlineStr">
        <is>
          <t>UPPSALA LÄN</t>
        </is>
      </c>
      <c r="G418" t="inlineStr">
        <is>
          <t>HEBY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45337</v>
      </c>
      <c r="E419" s="1" t="n">
        <v>46298</v>
      </c>
      <c r="F419" t="inlineStr">
        <is>
          <t>UPPSALA LÄN</t>
        </is>
      </c>
      <c r="G419" t="inlineStr">
        <is>
          <t>HEBY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45589</v>
      </c>
      <c r="E420" s="1" t="n">
        <v>46298</v>
      </c>
      <c r="F420" t="inlineStr">
        <is>
          <t>UPPSALA LÄN</t>
        </is>
      </c>
      <c r="G420" t="inlineStr">
        <is>
          <t>HEBY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45181</v>
      </c>
      <c r="E421" s="1" t="n">
        <v>46298</v>
      </c>
      <c r="F421" t="inlineStr">
        <is>
          <t>UPPSALA LÄN</t>
        </is>
      </c>
      <c r="G421" t="inlineStr">
        <is>
          <t>HEBY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21143-2023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45062</v>
      </c>
      <c r="E422" s="1" t="n">
        <v>46298</v>
      </c>
      <c r="F422" t="inlineStr">
        <is>
          <t>UPPSALA LÄN</t>
        </is>
      </c>
      <c r="G422" t="inlineStr">
        <is>
          <t>HEBY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45135</v>
      </c>
      <c r="E423" s="1" t="n">
        <v>46298</v>
      </c>
      <c r="F423" t="inlineStr">
        <is>
          <t>UPPSALA LÄN</t>
        </is>
      </c>
      <c r="G423" t="inlineStr">
        <is>
          <t>HEBY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45364</v>
      </c>
      <c r="E424" s="1" t="n">
        <v>46298</v>
      </c>
      <c r="F424" t="inlineStr">
        <is>
          <t>UPPSALA LÄN</t>
        </is>
      </c>
      <c r="G424" t="inlineStr">
        <is>
          <t>HEBY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46298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29518-2026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46298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46.8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64899-2021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46298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öst AB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46298</v>
      </c>
      <c r="F428" t="inlineStr">
        <is>
          <t>UPPSALA LÄN</t>
        </is>
      </c>
      <c r="G428" t="inlineStr">
        <is>
          <t>HEBY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59015-2022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46298</v>
      </c>
      <c r="F429" t="inlineStr">
        <is>
          <t>UPPSALA LÄN</t>
        </is>
      </c>
      <c r="G429" t="inlineStr">
        <is>
          <t>HEBY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45929</v>
      </c>
      <c r="E430" s="1" t="n">
        <v>46298</v>
      </c>
      <c r="F430" t="inlineStr">
        <is>
          <t>UPPSALA LÄN</t>
        </is>
      </c>
      <c r="G430" t="inlineStr">
        <is>
          <t>HEBY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44802</v>
      </c>
      <c r="E431" s="1" t="n">
        <v>46298</v>
      </c>
      <c r="F431" t="inlineStr">
        <is>
          <t>UPPSALA LÄN</t>
        </is>
      </c>
      <c r="G431" t="inlineStr">
        <is>
          <t>HEBY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44802</v>
      </c>
      <c r="E432" s="1" t="n">
        <v>46298</v>
      </c>
      <c r="F432" t="inlineStr">
        <is>
          <t>UPPSALA LÄN</t>
        </is>
      </c>
      <c r="G432" t="inlineStr">
        <is>
          <t>HEBY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25997-2022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44734</v>
      </c>
      <c r="E433" s="1" t="n">
        <v>46298</v>
      </c>
      <c r="F433" t="inlineStr">
        <is>
          <t>UPPSALA LÄN</t>
        </is>
      </c>
      <c r="G433" t="inlineStr">
        <is>
          <t>HEBY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66055-2021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44517</v>
      </c>
      <c r="E434" s="1" t="n">
        <v>46298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öst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44558</v>
      </c>
      <c r="E435" s="1" t="n">
        <v>46298</v>
      </c>
      <c r="F435" t="inlineStr">
        <is>
          <t>UPPSALA LÄN</t>
        </is>
      </c>
      <c r="G435" t="inlineStr">
        <is>
          <t>HEBY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45250</v>
      </c>
      <c r="E436" s="1" t="n">
        <v>46298</v>
      </c>
      <c r="F436" t="inlineStr">
        <is>
          <t>UPPSALA LÄN</t>
        </is>
      </c>
      <c r="G436" t="inlineStr">
        <is>
          <t>HEBY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46298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46298</v>
      </c>
      <c r="F438" t="inlineStr">
        <is>
          <t>UPPSALA LÄN</t>
        </is>
      </c>
      <c r="G438" t="inlineStr">
        <is>
          <t>HEBY</t>
        </is>
      </c>
      <c r="H438" t="inlineStr">
        <is>
          <t>Kyrkan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46298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46298</v>
      </c>
      <c r="F440" t="inlineStr">
        <is>
          <t>UPPSALA LÄN</t>
        </is>
      </c>
      <c r="G440" t="inlineStr">
        <is>
          <t>HEBY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44791</v>
      </c>
      <c r="E441" s="1" t="n">
        <v>46298</v>
      </c>
      <c r="F441" t="inlineStr">
        <is>
          <t>UPPSALA LÄN</t>
        </is>
      </c>
      <c r="G441" t="inlineStr">
        <is>
          <t>HEBY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44945</v>
      </c>
      <c r="E442" s="1" t="n">
        <v>46298</v>
      </c>
      <c r="F442" t="inlineStr">
        <is>
          <t>UPPSALA LÄN</t>
        </is>
      </c>
      <c r="G442" t="inlineStr">
        <is>
          <t>HEBY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34775-2026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46298</v>
      </c>
      <c r="F443" t="inlineStr">
        <is>
          <t>UPPSALA LÄN</t>
        </is>
      </c>
      <c r="G443" t="inlineStr">
        <is>
          <t>HEBY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46298</v>
      </c>
      <c r="F444" t="inlineStr">
        <is>
          <t>UPPSALA LÄN</t>
        </is>
      </c>
      <c r="G444" t="inlineStr">
        <is>
          <t>HEBY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45117</v>
      </c>
      <c r="E445" s="1" t="n">
        <v>46298</v>
      </c>
      <c r="F445" t="inlineStr">
        <is>
          <t>UPPSALA LÄN</t>
        </is>
      </c>
      <c r="G445" t="inlineStr">
        <is>
          <t>HEBY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46298</v>
      </c>
      <c r="F446" t="inlineStr">
        <is>
          <t>UPPSALA LÄN</t>
        </is>
      </c>
      <c r="G446" t="inlineStr">
        <is>
          <t>HEBY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46298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30891-2023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45113</v>
      </c>
      <c r="E448" s="1" t="n">
        <v>46298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33705-2023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45132</v>
      </c>
      <c r="E449" s="1" t="n">
        <v>46298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45132</v>
      </c>
      <c r="E450" s="1" t="n">
        <v>46298</v>
      </c>
      <c r="F450" t="inlineStr">
        <is>
          <t>UPPSALA LÄN</t>
        </is>
      </c>
      <c r="G450" t="inlineStr">
        <is>
          <t>HEBY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45132</v>
      </c>
      <c r="E451" s="1" t="n">
        <v>46298</v>
      </c>
      <c r="F451" t="inlineStr">
        <is>
          <t>UPPSALA LÄN</t>
        </is>
      </c>
      <c r="G451" t="inlineStr">
        <is>
          <t>HEBY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19764-2023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45050</v>
      </c>
      <c r="E452" s="1" t="n">
        <v>46298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2611-2023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44944</v>
      </c>
      <c r="E453" s="1" t="n">
        <v>46298</v>
      </c>
      <c r="F453" t="inlineStr">
        <is>
          <t>UPPSALA LÄN</t>
        </is>
      </c>
      <c r="G453" t="inlineStr">
        <is>
          <t>HEBY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46262</v>
      </c>
      <c r="E454" s="1" t="n">
        <v>46298</v>
      </c>
      <c r="F454" t="inlineStr">
        <is>
          <t>UPPSALA LÄN</t>
        </is>
      </c>
      <c r="G454" t="inlineStr">
        <is>
          <t>HEBY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45566</v>
      </c>
      <c r="E455" s="1" t="n">
        <v>46298</v>
      </c>
      <c r="F455" t="inlineStr">
        <is>
          <t>UPPSALA LÄN</t>
        </is>
      </c>
      <c r="G455" t="inlineStr">
        <is>
          <t>HEBY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46298</v>
      </c>
      <c r="F456" t="inlineStr">
        <is>
          <t>UPPSALA LÄN</t>
        </is>
      </c>
      <c r="G456" t="inlineStr">
        <is>
          <t>HEBY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46298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55.9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46223</v>
      </c>
      <c r="E458" s="1" t="n">
        <v>46298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46223</v>
      </c>
      <c r="E459" s="1" t="n">
        <v>46298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16660-2023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45030</v>
      </c>
      <c r="E460" s="1" t="n">
        <v>46298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45006</v>
      </c>
      <c r="E461" s="1" t="n">
        <v>46298</v>
      </c>
      <c r="F461" t="inlineStr">
        <is>
          <t>UPPSALA LÄN</t>
        </is>
      </c>
      <c r="G461" t="inlineStr">
        <is>
          <t>HEBY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45117</v>
      </c>
      <c r="E462" s="1" t="n">
        <v>46298</v>
      </c>
      <c r="F462" t="inlineStr">
        <is>
          <t>UPPSALA LÄN</t>
        </is>
      </c>
      <c r="G462" t="inlineStr">
        <is>
          <t>HEBY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46298</v>
      </c>
      <c r="F463" t="inlineStr">
        <is>
          <t>UPPSALA LÄN</t>
        </is>
      </c>
      <c r="G463" t="inlineStr">
        <is>
          <t>HEBY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45195</v>
      </c>
      <c r="E464" s="1" t="n">
        <v>46298</v>
      </c>
      <c r="F464" t="inlineStr">
        <is>
          <t>UPPSALA LÄN</t>
        </is>
      </c>
      <c r="G464" t="inlineStr">
        <is>
          <t>HEBY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46224</v>
      </c>
      <c r="E465" s="1" t="n">
        <v>46298</v>
      </c>
      <c r="F465" t="inlineStr">
        <is>
          <t>UPPSALA LÄN</t>
        </is>
      </c>
      <c r="G465" t="inlineStr">
        <is>
          <t>HEBY</t>
        </is>
      </c>
      <c r="H465" t="inlineStr">
        <is>
          <t>Bergvik skog väst AB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36454-2026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46269</v>
      </c>
      <c r="E466" s="1" t="n">
        <v>46298</v>
      </c>
      <c r="F466" t="inlineStr">
        <is>
          <t>UPPSALA LÄN</t>
        </is>
      </c>
      <c r="G466" t="inlineStr">
        <is>
          <t>HEBY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46298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46268</v>
      </c>
      <c r="E468" s="1" t="n">
        <v>46298</v>
      </c>
      <c r="F468" t="inlineStr">
        <is>
          <t>UPPSALA LÄN</t>
        </is>
      </c>
      <c r="G468" t="inlineStr">
        <is>
          <t>HEBY</t>
        </is>
      </c>
      <c r="H468" t="inlineStr">
        <is>
          <t>Kyrkan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34593-2023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45138</v>
      </c>
      <c r="E469" s="1" t="n">
        <v>46298</v>
      </c>
      <c r="F469" t="inlineStr">
        <is>
          <t>UPPSALA LÄN</t>
        </is>
      </c>
      <c r="G469" t="inlineStr">
        <is>
          <t>HEBY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46298</v>
      </c>
      <c r="F470" t="inlineStr">
        <is>
          <t>UPPSALA LÄN</t>
        </is>
      </c>
      <c r="G470" t="inlineStr">
        <is>
          <t>HEBY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46298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46298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46272</v>
      </c>
      <c r="E473" s="1" t="n">
        <v>46298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46298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46298</v>
      </c>
      <c r="F475" t="inlineStr">
        <is>
          <t>UPPSALA LÄN</t>
        </is>
      </c>
      <c r="G475" t="inlineStr">
        <is>
          <t>HEBY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11715-2024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45373</v>
      </c>
      <c r="E476" s="1" t="n">
        <v>46298</v>
      </c>
      <c r="F476" t="inlineStr">
        <is>
          <t>UPPSALA LÄN</t>
        </is>
      </c>
      <c r="G476" t="inlineStr">
        <is>
          <t>HEBY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50281-2023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46298</v>
      </c>
      <c r="F477" t="inlineStr">
        <is>
          <t>UPPSALA LÄN</t>
        </is>
      </c>
      <c r="G477" t="inlineStr">
        <is>
          <t>HEBY</t>
        </is>
      </c>
      <c r="I477" t="n">
        <v>10.9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31890-2026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46231</v>
      </c>
      <c r="E478" s="1" t="n">
        <v>46298</v>
      </c>
      <c r="F478" t="inlineStr">
        <is>
          <t>UPPSALA LÄN</t>
        </is>
      </c>
      <c r="G478" t="inlineStr">
        <is>
          <t>HEBY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46231</v>
      </c>
      <c r="E479" s="1" t="n">
        <v>46298</v>
      </c>
      <c r="F479" t="inlineStr">
        <is>
          <t>UPPSALA LÄN</t>
        </is>
      </c>
      <c r="G479" t="inlineStr">
        <is>
          <t>HEBY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46279</v>
      </c>
      <c r="E480" s="1" t="n">
        <v>46298</v>
      </c>
      <c r="F480" t="inlineStr">
        <is>
          <t>UPPSALA LÄN</t>
        </is>
      </c>
      <c r="G480" t="inlineStr">
        <is>
          <t>HEBY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46298</v>
      </c>
      <c r="F481" t="inlineStr">
        <is>
          <t>UPPSALA LÄN</t>
        </is>
      </c>
      <c r="G481" t="inlineStr">
        <is>
          <t>HEBY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37794-2026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46278</v>
      </c>
      <c r="E482" s="1" t="n">
        <v>46298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32417-2026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46238</v>
      </c>
      <c r="E483" s="1" t="n">
        <v>46298</v>
      </c>
      <c r="F483" t="inlineStr">
        <is>
          <t>UPPSALA LÄN</t>
        </is>
      </c>
      <c r="G483" t="inlineStr">
        <is>
          <t>HEBY</t>
        </is>
      </c>
      <c r="H483" t="inlineStr">
        <is>
          <t>Kyrkan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46298</v>
      </c>
      <c r="F484" t="inlineStr">
        <is>
          <t>UPPSALA LÄN</t>
        </is>
      </c>
      <c r="G484" t="inlineStr">
        <is>
          <t>HEBY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46238</v>
      </c>
      <c r="E485" s="1" t="n">
        <v>46298</v>
      </c>
      <c r="F485" t="inlineStr">
        <is>
          <t>UPPSALA LÄN</t>
        </is>
      </c>
      <c r="G485" t="inlineStr">
        <is>
          <t>HEBY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46298</v>
      </c>
      <c r="F486" t="inlineStr">
        <is>
          <t>UPPSALA LÄN</t>
        </is>
      </c>
      <c r="G486" t="inlineStr">
        <is>
          <t>HEBY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46298</v>
      </c>
      <c r="F487" t="inlineStr">
        <is>
          <t>UPPSALA LÄN</t>
        </is>
      </c>
      <c r="G487" t="inlineStr">
        <is>
          <t>HEBY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45103</v>
      </c>
      <c r="E488" s="1" t="n">
        <v>46298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46280</v>
      </c>
      <c r="E489" s="1" t="n">
        <v>46298</v>
      </c>
      <c r="F489" t="inlineStr">
        <is>
          <t>UPPSALA LÄN</t>
        </is>
      </c>
      <c r="G489" t="inlineStr">
        <is>
          <t>HEBY</t>
        </is>
      </c>
      <c r="H489" t="inlineStr">
        <is>
          <t>Sveaskog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38038-2026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46280</v>
      </c>
      <c r="E490" s="1" t="n">
        <v>46298</v>
      </c>
      <c r="F490" t="inlineStr">
        <is>
          <t>UPPSALA LÄN</t>
        </is>
      </c>
      <c r="G490" t="inlineStr">
        <is>
          <t>HEBY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46280</v>
      </c>
      <c r="E491" s="1" t="n">
        <v>46298</v>
      </c>
      <c r="F491" t="inlineStr">
        <is>
          <t>UPPSALA LÄN</t>
        </is>
      </c>
      <c r="G491" t="inlineStr">
        <is>
          <t>HEBY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46298</v>
      </c>
      <c r="F492" t="inlineStr">
        <is>
          <t>UPPSALA LÄN</t>
        </is>
      </c>
      <c r="G492" t="inlineStr">
        <is>
          <t>HEBY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45376</v>
      </c>
      <c r="E493" s="1" t="n">
        <v>46298</v>
      </c>
      <c r="F493" t="inlineStr">
        <is>
          <t>UPPSALA LÄN</t>
        </is>
      </c>
      <c r="G493" t="inlineStr">
        <is>
          <t>HEBY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45083</v>
      </c>
      <c r="E494" s="1" t="n">
        <v>46298</v>
      </c>
      <c r="F494" t="inlineStr">
        <is>
          <t>UPPSALA LÄN</t>
        </is>
      </c>
      <c r="G494" t="inlineStr">
        <is>
          <t>HEBY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44944</v>
      </c>
      <c r="E495" s="1" t="n">
        <v>46298</v>
      </c>
      <c r="F495" t="inlineStr">
        <is>
          <t>UPPSALA LÄN</t>
        </is>
      </c>
      <c r="G495" t="inlineStr">
        <is>
          <t>HEBY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12489-2024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45379</v>
      </c>
      <c r="E496" s="1" t="n">
        <v>46298</v>
      </c>
      <c r="F496" t="inlineStr">
        <is>
          <t>UPPSALA LÄN</t>
        </is>
      </c>
      <c r="G496" t="inlineStr">
        <is>
          <t>HEBY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44574</v>
      </c>
      <c r="E497" s="1" t="n">
        <v>46298</v>
      </c>
      <c r="F497" t="inlineStr">
        <is>
          <t>UPPSALA LÄN</t>
        </is>
      </c>
      <c r="G497" t="inlineStr">
        <is>
          <t>HEBY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46298</v>
      </c>
      <c r="F498" t="inlineStr">
        <is>
          <t>UPPSALA LÄN</t>
        </is>
      </c>
      <c r="G498" t="inlineStr">
        <is>
          <t>HEBY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44586</v>
      </c>
      <c r="E499" s="1" t="n">
        <v>46298</v>
      </c>
      <c r="F499" t="inlineStr">
        <is>
          <t>UPPSALA LÄN</t>
        </is>
      </c>
      <c r="G499" t="inlineStr">
        <is>
          <t>HEBY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59486-2021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44491</v>
      </c>
      <c r="E500" s="1" t="n">
        <v>46298</v>
      </c>
      <c r="F500" t="inlineStr">
        <is>
          <t>UPPSALA LÄN</t>
        </is>
      </c>
      <c r="G500" t="inlineStr">
        <is>
          <t>HEBY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60461-2022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44911</v>
      </c>
      <c r="E501" s="1" t="n">
        <v>46298</v>
      </c>
      <c r="F501" t="inlineStr">
        <is>
          <t>UPPSALA LÄN</t>
        </is>
      </c>
      <c r="G501" t="inlineStr">
        <is>
          <t>HEBY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46298</v>
      </c>
      <c r="F502" t="inlineStr">
        <is>
          <t>UPPSALA LÄN</t>
        </is>
      </c>
      <c r="G502" t="inlineStr">
        <is>
          <t>HEBY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46298</v>
      </c>
      <c r="F503" t="inlineStr">
        <is>
          <t>UPPSALA LÄN</t>
        </is>
      </c>
      <c r="G503" t="inlineStr">
        <is>
          <t>HEBY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45317</v>
      </c>
      <c r="E504" s="1" t="n">
        <v>46298</v>
      </c>
      <c r="F504" t="inlineStr">
        <is>
          <t>UPPSALA LÄN</t>
        </is>
      </c>
      <c r="G504" t="inlineStr">
        <is>
          <t>HEBY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44979</v>
      </c>
      <c r="E505" s="1" t="n">
        <v>46298</v>
      </c>
      <c r="F505" t="inlineStr">
        <is>
          <t>UPPSALA LÄN</t>
        </is>
      </c>
      <c r="G505" t="inlineStr">
        <is>
          <t>HEBY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46298</v>
      </c>
      <c r="F506" t="inlineStr">
        <is>
          <t>UPPSALA LÄN</t>
        </is>
      </c>
      <c r="G506" t="inlineStr">
        <is>
          <t>HEBY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46298</v>
      </c>
      <c r="F507" t="inlineStr">
        <is>
          <t>UPPSALA LÄN</t>
        </is>
      </c>
      <c r="G507" t="inlineStr">
        <is>
          <t>HEBY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46298</v>
      </c>
      <c r="F508" t="inlineStr">
        <is>
          <t>UPPSALA LÄN</t>
        </is>
      </c>
      <c r="G508" t="inlineStr">
        <is>
          <t>HEBY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39687-2026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46289</v>
      </c>
      <c r="E509" s="1" t="n">
        <v>46298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öst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38818-2026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46286</v>
      </c>
      <c r="E510" s="1" t="n">
        <v>46298</v>
      </c>
      <c r="F510" t="inlineStr">
        <is>
          <t>UPPSALA LÄN</t>
        </is>
      </c>
      <c r="G510" t="inlineStr">
        <is>
          <t>HEBY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44888</v>
      </c>
      <c r="E511" s="1" t="n">
        <v>46298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39555-2026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46289</v>
      </c>
      <c r="E512" s="1" t="n">
        <v>46298</v>
      </c>
      <c r="F512" t="inlineStr">
        <is>
          <t>UPPSALA LÄN</t>
        </is>
      </c>
      <c r="G512" t="inlineStr">
        <is>
          <t>HEBY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46298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öst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46298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44978</v>
      </c>
      <c r="E515" s="1" t="n">
        <v>46298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39688-2026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46289</v>
      </c>
      <c r="E516" s="1" t="n">
        <v>46298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öst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46298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öst AB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39549-2026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46298</v>
      </c>
      <c r="F518" t="inlineStr">
        <is>
          <t>UPPSALA LÄN</t>
        </is>
      </c>
      <c r="G518" t="inlineStr">
        <is>
          <t>HEBY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45294</v>
      </c>
      <c r="E519" s="1" t="n">
        <v>46298</v>
      </c>
      <c r="F519" t="inlineStr">
        <is>
          <t>UPPSALA LÄN</t>
        </is>
      </c>
      <c r="G519" t="inlineStr">
        <is>
          <t>HEBY</t>
        </is>
      </c>
      <c r="H519" t="inlineStr">
        <is>
          <t>Kommuner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45726</v>
      </c>
      <c r="E520" s="1" t="n">
        <v>46298</v>
      </c>
      <c r="F520" t="inlineStr">
        <is>
          <t>UPPSALA LÄN</t>
        </is>
      </c>
      <c r="G520" t="inlineStr">
        <is>
          <t>HEBY</t>
        </is>
      </c>
      <c r="I520" t="n">
        <v>6.8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46293</v>
      </c>
      <c r="E521" s="1" t="n">
        <v>46298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öst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46298</v>
      </c>
      <c r="F522" t="inlineStr">
        <is>
          <t>UPPSALA LÄN</t>
        </is>
      </c>
      <c r="G522" t="inlineStr">
        <is>
          <t>HEBY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35644-2024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45532</v>
      </c>
      <c r="E523" s="1" t="n">
        <v>46298</v>
      </c>
      <c r="F523" t="inlineStr">
        <is>
          <t>UPPSALA LÄN</t>
        </is>
      </c>
      <c r="G523" t="inlineStr">
        <is>
          <t>HEBY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39713-2026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46298</v>
      </c>
      <c r="F524" t="inlineStr">
        <is>
          <t>UPPSALA LÄN</t>
        </is>
      </c>
      <c r="G524" t="inlineStr">
        <is>
          <t>HEBY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46298</v>
      </c>
      <c r="F525" t="inlineStr">
        <is>
          <t>UPPSALA LÄN</t>
        </is>
      </c>
      <c r="G525" t="inlineStr">
        <is>
          <t>HEBY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46298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44943</v>
      </c>
      <c r="E527" s="1" t="n">
        <v>46298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44943</v>
      </c>
      <c r="E528" s="1" t="n">
        <v>46298</v>
      </c>
      <c r="F528" t="inlineStr">
        <is>
          <t>UPPSALA LÄN</t>
        </is>
      </c>
      <c r="G528" t="inlineStr">
        <is>
          <t>HEBY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44944</v>
      </c>
      <c r="E529" s="1" t="n">
        <v>46298</v>
      </c>
      <c r="F529" t="inlineStr">
        <is>
          <t>UPPSALA LÄN</t>
        </is>
      </c>
      <c r="G529" t="inlineStr">
        <is>
          <t>HEBY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59207-2023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45252</v>
      </c>
      <c r="E530" s="1" t="n">
        <v>46298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46298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öst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60295-2021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44495</v>
      </c>
      <c r="E532" s="1" t="n">
        <v>46298</v>
      </c>
      <c r="F532" t="inlineStr">
        <is>
          <t>UPPSALA LÄN</t>
        </is>
      </c>
      <c r="G532" t="inlineStr">
        <is>
          <t>HEBY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44914</v>
      </c>
      <c r="E533" s="1" t="n">
        <v>46298</v>
      </c>
      <c r="F533" t="inlineStr">
        <is>
          <t>UPPSALA LÄN</t>
        </is>
      </c>
      <c r="G533" t="inlineStr">
        <is>
          <t>HEBY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46298</v>
      </c>
      <c r="F534" t="inlineStr">
        <is>
          <t>UPPSALA LÄN</t>
        </is>
      </c>
      <c r="G534" t="inlineStr">
        <is>
          <t>HEBY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46298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46295</v>
      </c>
      <c r="E536" s="1" t="n">
        <v>46298</v>
      </c>
      <c r="F536" t="inlineStr">
        <is>
          <t>UPPSALA LÄN</t>
        </is>
      </c>
      <c r="G536" t="inlineStr">
        <is>
          <t>HEBY</t>
        </is>
      </c>
      <c r="H536" t="inlineStr">
        <is>
          <t>Allmännings- och besparingsskogar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40924-2023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45173</v>
      </c>
      <c r="E537" s="1" t="n">
        <v>46298</v>
      </c>
      <c r="F537" t="inlineStr">
        <is>
          <t>UPPSALA LÄN</t>
        </is>
      </c>
      <c r="G537" t="inlineStr">
        <is>
          <t>HEBY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46298</v>
      </c>
      <c r="F538" t="inlineStr">
        <is>
          <t>UPPSALA LÄN</t>
        </is>
      </c>
      <c r="G538" t="inlineStr">
        <is>
          <t>HEBY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46298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öst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44956</v>
      </c>
      <c r="E540" s="1" t="n">
        <v>46298</v>
      </c>
      <c r="F540" t="inlineStr">
        <is>
          <t>UPPSALA LÄN</t>
        </is>
      </c>
      <c r="G540" t="inlineStr">
        <is>
          <t>HEBY</t>
        </is>
      </c>
      <c r="H540" t="inlineStr">
        <is>
          <t>Kyrkan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46298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15427-2025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45747</v>
      </c>
      <c r="E542" s="1" t="n">
        <v>46298</v>
      </c>
      <c r="F542" t="inlineStr">
        <is>
          <t>UPPSALA LÄN</t>
        </is>
      </c>
      <c r="G542" t="inlineStr">
        <is>
          <t>HEBY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7173-2024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45344</v>
      </c>
      <c r="E543" s="1" t="n">
        <v>46298</v>
      </c>
      <c r="F543" t="inlineStr">
        <is>
          <t>UPPSALA LÄN</t>
        </is>
      </c>
      <c r="G543" t="inlineStr">
        <is>
          <t>HEBY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40994-2026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46297</v>
      </c>
      <c r="E544" s="1" t="n">
        <v>46298</v>
      </c>
      <c r="F544" t="inlineStr">
        <is>
          <t>UPPSALA LÄN</t>
        </is>
      </c>
      <c r="G544" t="inlineStr">
        <is>
          <t>HEBY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46298</v>
      </c>
      <c r="F545" t="inlineStr">
        <is>
          <t>UPPSALA LÄN</t>
        </is>
      </c>
      <c r="G545" t="inlineStr">
        <is>
          <t>HEBY</t>
        </is>
      </c>
      <c r="H545" t="inlineStr">
        <is>
          <t>Bergvik skog öst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29340-2022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44752</v>
      </c>
      <c r="E546" s="1" t="n">
        <v>46298</v>
      </c>
      <c r="F546" t="inlineStr">
        <is>
          <t>UPPSALA LÄN</t>
        </is>
      </c>
      <c r="G546" t="inlineStr">
        <is>
          <t>HEBY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45693</v>
      </c>
      <c r="E547" s="1" t="n">
        <v>46298</v>
      </c>
      <c r="F547" t="inlineStr">
        <is>
          <t>UPPSALA LÄN</t>
        </is>
      </c>
      <c r="G547" t="inlineStr">
        <is>
          <t>HEBY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34334-2026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46298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40657-2026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46296</v>
      </c>
      <c r="E549" s="1" t="n">
        <v>46298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46255</v>
      </c>
      <c r="E550" s="1" t="n">
        <v>46298</v>
      </c>
      <c r="F550" t="inlineStr">
        <is>
          <t>UPPSALA LÄN</t>
        </is>
      </c>
      <c r="G550" t="inlineStr">
        <is>
          <t>HEBY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46298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väst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45008</v>
      </c>
      <c r="E552" s="1" t="n">
        <v>46298</v>
      </c>
      <c r="F552" t="inlineStr">
        <is>
          <t>UPPSALA LÄN</t>
        </is>
      </c>
      <c r="G552" t="inlineStr">
        <is>
          <t>HEBY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46298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46298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46298</v>
      </c>
      <c r="F555" t="inlineStr">
        <is>
          <t>UPPSALA LÄN</t>
        </is>
      </c>
      <c r="G555" t="inlineStr">
        <is>
          <t>HEBY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44602</v>
      </c>
      <c r="E556" s="1" t="n">
        <v>46298</v>
      </c>
      <c r="F556" t="inlineStr">
        <is>
          <t>UPPSALA LÄN</t>
        </is>
      </c>
      <c r="G556" t="inlineStr">
        <is>
          <t>HEBY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40741-2026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46298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46298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öst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19718-2023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45050</v>
      </c>
      <c r="E559" s="1" t="n">
        <v>46298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34381-2026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46298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60456-2022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44911</v>
      </c>
      <c r="E561" s="1" t="n">
        <v>46298</v>
      </c>
      <c r="F561" t="inlineStr">
        <is>
          <t>UPPSALA LÄN</t>
        </is>
      </c>
      <c r="G561" t="inlineStr">
        <is>
          <t>HEBY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40651-2026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46296</v>
      </c>
      <c r="E562" s="1" t="n">
        <v>46298</v>
      </c>
      <c r="F562" t="inlineStr">
        <is>
          <t>UPPSALA LÄN</t>
        </is>
      </c>
      <c r="G562" t="inlineStr">
        <is>
          <t>HEBY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46298</v>
      </c>
      <c r="F563" t="inlineStr">
        <is>
          <t>UPPSALA LÄN</t>
        </is>
      </c>
      <c r="G563" t="inlineStr">
        <is>
          <t>HEBY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46255</v>
      </c>
      <c r="E564" s="1" t="n">
        <v>46298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46298</v>
      </c>
      <c r="F565" t="inlineStr">
        <is>
          <t>UPPSALA LÄN</t>
        </is>
      </c>
      <c r="G565" t="inlineStr">
        <is>
          <t>HEBY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8805-2023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44978</v>
      </c>
      <c r="E566" s="1" t="n">
        <v>46298</v>
      </c>
      <c r="F566" t="inlineStr">
        <is>
          <t>UPPSALA LÄN</t>
        </is>
      </c>
      <c r="G566" t="inlineStr">
        <is>
          <t>HEBY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46253</v>
      </c>
      <c r="E567" s="1" t="n">
        <v>46298</v>
      </c>
      <c r="F567" t="inlineStr">
        <is>
          <t>UPPSALA LÄN</t>
        </is>
      </c>
      <c r="G567" t="inlineStr">
        <is>
          <t>HEBY</t>
        </is>
      </c>
      <c r="H567" t="inlineStr">
        <is>
          <t>Allmännings- och besparingsskogar</t>
        </is>
      </c>
      <c r="I567" t="n">
        <v>10.4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46298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46298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45743</v>
      </c>
      <c r="E570" s="1" t="n">
        <v>46298</v>
      </c>
      <c r="F570" t="inlineStr">
        <is>
          <t>UPPSALA LÄN</t>
        </is>
      </c>
      <c r="G570" t="inlineStr">
        <is>
          <t>HEBY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45664</v>
      </c>
      <c r="E571" s="1" t="n">
        <v>46298</v>
      </c>
      <c r="F571" t="inlineStr">
        <is>
          <t>UPPSALA LÄN</t>
        </is>
      </c>
      <c r="G571" t="inlineStr">
        <is>
          <t>HEBY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18278-2024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45422</v>
      </c>
      <c r="E572" s="1" t="n">
        <v>46298</v>
      </c>
      <c r="F572" t="inlineStr">
        <is>
          <t>UPPSALA LÄN</t>
        </is>
      </c>
      <c r="G572" t="inlineStr">
        <is>
          <t>HEBY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28226-2023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45099</v>
      </c>
      <c r="E573" s="1" t="n">
        <v>46298</v>
      </c>
      <c r="F573" t="inlineStr">
        <is>
          <t>UPPSALA LÄN</t>
        </is>
      </c>
      <c r="G573" t="inlineStr">
        <is>
          <t>HEBY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53911-2023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45231</v>
      </c>
      <c r="E574" s="1" t="n">
        <v>46298</v>
      </c>
      <c r="F574" t="inlineStr">
        <is>
          <t>UPPSALA LÄN</t>
        </is>
      </c>
      <c r="G574" t="inlineStr">
        <is>
          <t>HEBY</t>
        </is>
      </c>
      <c r="I574" t="n">
        <v>10.3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45511</v>
      </c>
      <c r="E575" s="1" t="n">
        <v>46298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21293-2023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45058</v>
      </c>
      <c r="E576" s="1" t="n">
        <v>46298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46298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44093-2024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46298</v>
      </c>
      <c r="F578" t="inlineStr">
        <is>
          <t>UPPSALA LÄN</t>
        </is>
      </c>
      <c r="G578" t="inlineStr">
        <is>
          <t>HEBY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40533-2022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44823</v>
      </c>
      <c r="E579" s="1" t="n">
        <v>46298</v>
      </c>
      <c r="F579" t="inlineStr">
        <is>
          <t>UPPSALA LÄN</t>
        </is>
      </c>
      <c r="G579" t="inlineStr">
        <is>
          <t>HEBY</t>
        </is>
      </c>
      <c r="H579" t="inlineStr">
        <is>
          <t>Övriga Aktiebolag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29387-2022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44753</v>
      </c>
      <c r="E580" s="1" t="n">
        <v>46298</v>
      </c>
      <c r="F580" t="inlineStr">
        <is>
          <t>UPPSALA LÄN</t>
        </is>
      </c>
      <c r="G580" t="inlineStr">
        <is>
          <t>HEBY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31903-2023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45118</v>
      </c>
      <c r="E581" s="1" t="n">
        <v>46298</v>
      </c>
      <c r="F581" t="inlineStr">
        <is>
          <t>UPPSALA LÄN</t>
        </is>
      </c>
      <c r="G581" t="inlineStr">
        <is>
          <t>HEBY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46408-2024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45582</v>
      </c>
      <c r="E582" s="1" t="n">
        <v>46298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4213-2023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44951</v>
      </c>
      <c r="E583" s="1" t="n">
        <v>46298</v>
      </c>
      <c r="F583" t="inlineStr">
        <is>
          <t>UPPSALA LÄN</t>
        </is>
      </c>
      <c r="G583" t="inlineStr">
        <is>
          <t>HEBY</t>
        </is>
      </c>
      <c r="I583" t="n">
        <v>11.2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45195</v>
      </c>
      <c r="E584" s="1" t="n">
        <v>46298</v>
      </c>
      <c r="F584" t="inlineStr">
        <is>
          <t>UPPSALA LÄN</t>
        </is>
      </c>
      <c r="G584" t="inlineStr">
        <is>
          <t>HEBY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61453-2022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44916</v>
      </c>
      <c r="E585" s="1" t="n">
        <v>46298</v>
      </c>
      <c r="F585" t="inlineStr">
        <is>
          <t>UPPSALA LÄN</t>
        </is>
      </c>
      <c r="G585" t="inlineStr">
        <is>
          <t>HEBY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29396-2022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44753</v>
      </c>
      <c r="E586" s="1" t="n">
        <v>46298</v>
      </c>
      <c r="F586" t="inlineStr">
        <is>
          <t>UPPSALA LÄN</t>
        </is>
      </c>
      <c r="G586" t="inlineStr">
        <is>
          <t>HEBY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8660-2022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44613</v>
      </c>
      <c r="E587" s="1" t="n">
        <v>46298</v>
      </c>
      <c r="F587" t="inlineStr">
        <is>
          <t>UPPSALA LÄN</t>
        </is>
      </c>
      <c r="G587" t="inlineStr">
        <is>
          <t>HEBY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46298</v>
      </c>
      <c r="F588" t="inlineStr">
        <is>
          <t>UPPSALA LÄN</t>
        </is>
      </c>
      <c r="G588" t="inlineStr">
        <is>
          <t>HEBY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52292-2022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44873</v>
      </c>
      <c r="E589" s="1" t="n">
        <v>46298</v>
      </c>
      <c r="F589" t="inlineStr">
        <is>
          <t>UPPSALA LÄN</t>
        </is>
      </c>
      <c r="G589" t="inlineStr">
        <is>
          <t>HEBY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41546-2023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45175</v>
      </c>
      <c r="E590" s="1" t="n">
        <v>46298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8881-2025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45713</v>
      </c>
      <c r="E591" s="1" t="n">
        <v>46298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9497-2023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44981</v>
      </c>
      <c r="E592" s="1" t="n">
        <v>46298</v>
      </c>
      <c r="F592" t="inlineStr">
        <is>
          <t>UPPSALA LÄN</t>
        </is>
      </c>
      <c r="G592" t="inlineStr">
        <is>
          <t>HEBY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45117</v>
      </c>
      <c r="E593" s="1" t="n">
        <v>46298</v>
      </c>
      <c r="F593" t="inlineStr">
        <is>
          <t>UPPSALA LÄN</t>
        </is>
      </c>
      <c r="G593" t="inlineStr">
        <is>
          <t>HEBY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45117</v>
      </c>
      <c r="E594" s="1" t="n">
        <v>46298</v>
      </c>
      <c r="F594" t="inlineStr">
        <is>
          <t>UPPSALA LÄN</t>
        </is>
      </c>
      <c r="G594" t="inlineStr">
        <is>
          <t>HEBY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31567-2023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45117</v>
      </c>
      <c r="E595" s="1" t="n">
        <v>46298</v>
      </c>
      <c r="F595" t="inlineStr">
        <is>
          <t>UPPSALA LÄN</t>
        </is>
      </c>
      <c r="G595" t="inlineStr">
        <is>
          <t>HEBY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58914-2023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46298</v>
      </c>
      <c r="F596" t="inlineStr">
        <is>
          <t>UPPSALA LÄN</t>
        </is>
      </c>
      <c r="G596" t="inlineStr">
        <is>
          <t>HEBY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62650-2022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44925</v>
      </c>
      <c r="E597" s="1" t="n">
        <v>46298</v>
      </c>
      <c r="F597" t="inlineStr">
        <is>
          <t>UPPSALA LÄN</t>
        </is>
      </c>
      <c r="G597" t="inlineStr">
        <is>
          <t>HEBY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11573-2025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46298</v>
      </c>
      <c r="F598" t="inlineStr">
        <is>
          <t>UPPSALA LÄN</t>
        </is>
      </c>
      <c r="G598" t="inlineStr">
        <is>
          <t>HEBY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31139-2023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45103</v>
      </c>
      <c r="E599" s="1" t="n">
        <v>46298</v>
      </c>
      <c r="F599" t="inlineStr">
        <is>
          <t>UPPSALA LÄN</t>
        </is>
      </c>
      <c r="G599" t="inlineStr">
        <is>
          <t>HEBY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9815-2022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44620</v>
      </c>
      <c r="E600" s="1" t="n">
        <v>46298</v>
      </c>
      <c r="F600" t="inlineStr">
        <is>
          <t>UPPSALA LÄN</t>
        </is>
      </c>
      <c r="G600" t="inlineStr">
        <is>
          <t>HEBY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15424-2025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45747</v>
      </c>
      <c r="E601" s="1" t="n">
        <v>46298</v>
      </c>
      <c r="F601" t="inlineStr">
        <is>
          <t>UPPSALA LÄN</t>
        </is>
      </c>
      <c r="G601" t="inlineStr">
        <is>
          <t>HEBY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14437-2024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45394</v>
      </c>
      <c r="E602" s="1" t="n">
        <v>46298</v>
      </c>
      <c r="F602" t="inlineStr">
        <is>
          <t>UPPSALA LÄN</t>
        </is>
      </c>
      <c r="G602" t="inlineStr">
        <is>
          <t>HEBY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13213-2022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44644</v>
      </c>
      <c r="E603" s="1" t="n">
        <v>46298</v>
      </c>
      <c r="F603" t="inlineStr">
        <is>
          <t>UPPSALA LÄN</t>
        </is>
      </c>
      <c r="G603" t="inlineStr">
        <is>
          <t>HEBY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45355</v>
      </c>
      <c r="E604" s="1" t="n">
        <v>46298</v>
      </c>
      <c r="F604" t="inlineStr">
        <is>
          <t>UPPSALA LÄN</t>
        </is>
      </c>
      <c r="G604" t="inlineStr">
        <is>
          <t>HEBY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1334-2022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44629</v>
      </c>
      <c r="E605" s="1" t="n">
        <v>46298</v>
      </c>
      <c r="F605" t="inlineStr">
        <is>
          <t>UPPSALA LÄN</t>
        </is>
      </c>
      <c r="G605" t="inlineStr">
        <is>
          <t>HEBY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10324-2021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44546</v>
      </c>
      <c r="E606" s="1" t="n">
        <v>46298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3256-2023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45191</v>
      </c>
      <c r="E607" s="1" t="n">
        <v>46298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20.9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517-2022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44588</v>
      </c>
      <c r="E608" s="1" t="n">
        <v>46298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30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4466-2022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44788</v>
      </c>
      <c r="E609" s="1" t="n">
        <v>46298</v>
      </c>
      <c r="F609" t="inlineStr">
        <is>
          <t>UPPSALA LÄN</t>
        </is>
      </c>
      <c r="G609" t="inlineStr">
        <is>
          <t>HEBY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2310-2022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44684</v>
      </c>
      <c r="E610" s="1" t="n">
        <v>46298</v>
      </c>
      <c r="F610" t="inlineStr">
        <is>
          <t>UPPSALA LÄN</t>
        </is>
      </c>
      <c r="G610" t="inlineStr">
        <is>
          <t>HEBY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4423-2024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45590</v>
      </c>
      <c r="E611" s="1" t="n">
        <v>46298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väst AB</t>
        </is>
      </c>
      <c r="I611" t="n">
        <v>47.6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1385-2024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45411</v>
      </c>
      <c r="E612" s="1" t="n">
        <v>46298</v>
      </c>
      <c r="F612" t="inlineStr">
        <is>
          <t>UPPSALA LÄN</t>
        </is>
      </c>
      <c r="G612" t="inlineStr">
        <is>
          <t>HEBY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2797-2024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45485</v>
      </c>
      <c r="E613" s="1" t="n">
        <v>46298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398-2025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45699</v>
      </c>
      <c r="E614" s="1" t="n">
        <v>46298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öst AB</t>
        </is>
      </c>
      <c r="I614" t="n">
        <v>23.3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1386-2024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46298</v>
      </c>
      <c r="F615" t="inlineStr">
        <is>
          <t>UPPSALA LÄN</t>
        </is>
      </c>
      <c r="G615" t="inlineStr">
        <is>
          <t>HEBY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4464-2022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44788</v>
      </c>
      <c r="E616" s="1" t="n">
        <v>46298</v>
      </c>
      <c r="F616" t="inlineStr">
        <is>
          <t>UPPSALA LÄN</t>
        </is>
      </c>
      <c r="G616" t="inlineStr">
        <is>
          <t>HEBY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1330-2022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44629</v>
      </c>
      <c r="E617" s="1" t="n">
        <v>46298</v>
      </c>
      <c r="F617" t="inlineStr">
        <is>
          <t>UPPSALA LÄN</t>
        </is>
      </c>
      <c r="G617" t="inlineStr">
        <is>
          <t>HEBY</t>
        </is>
      </c>
      <c r="I617" t="n">
        <v>25.1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  <c r="Z617">
        <f>HYPERLINK("https://klasma.github.io/Logging_0331/knärot/S 1330-2022 karta knärot.png", "S 1330-2022")</f>
        <v/>
      </c>
      <c r="AA617">
        <f>HYPERLINK("https://klasma.github.io/Logging_0331/klagomål/S 1330-2022 FSC-klagomål.docx", "S 1330-2022")</f>
        <v/>
      </c>
      <c r="AB617">
        <f>HYPERLINK("https://klasma.github.io/Logging_0331/klagomålsmail/S 1330-2022 FSC-klagomål mail.docx", "S 1330-2022")</f>
        <v/>
      </c>
      <c r="AC617">
        <f>HYPERLINK("https://klasma.github.io/Logging_0331/tillsyn/S 1330-2022 tillsynsbegäran.docx", "S 1330-2022")</f>
        <v/>
      </c>
      <c r="AD617">
        <f>HYPERLINK("https://klasma.github.io/Logging_0331/tillsynsmail/S 1330-2022 tillsynsbegäran mail.docx", "S 1330-2022")</f>
        <v/>
      </c>
    </row>
    <row r="618" ht="15" customHeight="1">
      <c r="A618" t="inlineStr">
        <is>
          <t>S 3301-2025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45987</v>
      </c>
      <c r="E618" s="1" t="n">
        <v>46298</v>
      </c>
      <c r="F618" t="inlineStr">
        <is>
          <t>UPPSALA LÄN</t>
        </is>
      </c>
      <c r="G618" t="inlineStr">
        <is>
          <t>HEBY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3478-2025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46000</v>
      </c>
      <c r="E619" s="1" t="n">
        <v>46298</v>
      </c>
      <c r="F619" t="inlineStr">
        <is>
          <t>UPPSALA LÄN</t>
        </is>
      </c>
      <c r="G619" t="inlineStr">
        <is>
          <t>HEBY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598-2026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46085</v>
      </c>
      <c r="E620" s="1" t="n">
        <v>46298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43.4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1818-2026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46190</v>
      </c>
      <c r="E621" s="1" t="n">
        <v>46298</v>
      </c>
      <c r="F621" t="inlineStr">
        <is>
          <t>UPPSALA LÄN</t>
        </is>
      </c>
      <c r="G621" t="inlineStr">
        <is>
          <t>HEBY</t>
        </is>
      </c>
      <c r="H621" t="inlineStr">
        <is>
          <t>Kommuner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>
      <c r="A622" t="inlineStr">
        <is>
          <t>S 2346-2026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46273</v>
      </c>
      <c r="E622" s="1" t="n">
        <v>46298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2026-10-03T01:59:00Z</dcterms:created>
  <dcterms:modified xmlns:dcterms="http://purl.org/dc/terms/" xmlns:xsi="http://www.w3.org/2001/XMLSchema-instance" xsi:type="dcterms:W3CDTF">2026-10-03T01:59:01Z</dcterms:modified>
</cp:coreProperties>
</file>
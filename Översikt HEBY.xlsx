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45707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45707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45707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45707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45707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45707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45707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45707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45707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45707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45707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45707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45707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45707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45707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61139-2022</t>
        </is>
      </c>
      <c r="B17" s="1" t="n">
        <v>44915</v>
      </c>
      <c r="C17" s="1" t="n">
        <v>45707</v>
      </c>
      <c r="D17" t="inlineStr">
        <is>
          <t>UPPSALA LÄN</t>
        </is>
      </c>
      <c r="E17" t="inlineStr">
        <is>
          <t>HEBY</t>
        </is>
      </c>
      <c r="G17" t="n">
        <v>2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Grönhjon
Björksplintborre
Jättesvampmal
Noshornsoxe
Blåsippa</t>
        </is>
      </c>
      <c r="S17">
        <f>HYPERLINK("https://klasma.github.io/Logging_0331/artfynd/A 61139-2022 artfynd.xlsx", "A 61139-2022")</f>
        <v/>
      </c>
      <c r="T17">
        <f>HYPERLINK("https://klasma.github.io/Logging_0331/kartor/A 61139-2022 karta.png", "A 61139-2022")</f>
        <v/>
      </c>
      <c r="V17">
        <f>HYPERLINK("https://klasma.github.io/Logging_0331/klagomål/A 61139-2022 FSC-klagomål.docx", "A 61139-2022")</f>
        <v/>
      </c>
      <c r="W17">
        <f>HYPERLINK("https://klasma.github.io/Logging_0331/klagomålsmail/A 61139-2022 FSC-klagomål mail.docx", "A 61139-2022")</f>
        <v/>
      </c>
      <c r="X17">
        <f>HYPERLINK("https://klasma.github.io/Logging_0331/tillsyn/A 61139-2022 tillsynsbegäran.docx", "A 61139-2022")</f>
        <v/>
      </c>
      <c r="Y17">
        <f>HYPERLINK("https://klasma.github.io/Logging_0331/tillsynsmail/A 61139-2022 tillsynsbegäran mail.docx", "A 61139-2022")</f>
        <v/>
      </c>
    </row>
    <row r="18" ht="15" customHeight="1">
      <c r="A18" t="inlineStr">
        <is>
          <t>A 31572-2023</t>
        </is>
      </c>
      <c r="B18" s="1" t="n">
        <v>45117</v>
      </c>
      <c r="C18" s="1" t="n">
        <v>45707</v>
      </c>
      <c r="D18" t="inlineStr">
        <is>
          <t>UPPSALA LÄN</t>
        </is>
      </c>
      <c r="E18" t="inlineStr">
        <is>
          <t>HEBY</t>
        </is>
      </c>
      <c r="G18" t="n">
        <v>6.1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Norrlandslav
Vedticka
Fläcknycklar</t>
        </is>
      </c>
      <c r="S18">
        <f>HYPERLINK("https://klasma.github.io/Logging_0331/artfynd/A 31572-2023 artfynd.xlsx", "A 31572-2023")</f>
        <v/>
      </c>
      <c r="T18">
        <f>HYPERLINK("https://klasma.github.io/Logging_0331/kartor/A 31572-2023 karta.png", "A 31572-2023")</f>
        <v/>
      </c>
      <c r="U18">
        <f>HYPERLINK("https://klasma.github.io/Logging_0331/knärot/A 31572-2023 karta knärot.png", "A 31572-2023")</f>
        <v/>
      </c>
      <c r="V18">
        <f>HYPERLINK("https://klasma.github.io/Logging_0331/klagomål/A 31572-2023 FSC-klagomål.docx", "A 31572-2023")</f>
        <v/>
      </c>
      <c r="W18">
        <f>HYPERLINK("https://klasma.github.io/Logging_0331/klagomålsmail/A 31572-2023 FSC-klagomål mail.docx", "A 31572-2023")</f>
        <v/>
      </c>
      <c r="X18">
        <f>HYPERLINK("https://klasma.github.io/Logging_0331/tillsyn/A 31572-2023 tillsynsbegäran.docx", "A 31572-2023")</f>
        <v/>
      </c>
      <c r="Y18">
        <f>HYPERLINK("https://klasma.github.io/Logging_0331/tillsynsmail/A 31572-2023 tillsynsbegäran mail.docx", "A 31572-2023")</f>
        <v/>
      </c>
    </row>
    <row r="19" ht="15" customHeight="1">
      <c r="A19" t="inlineStr">
        <is>
          <t>A 56075-2023</t>
        </is>
      </c>
      <c r="B19" s="1" t="n">
        <v>45240</v>
      </c>
      <c r="C19" s="1" t="n">
        <v>45707</v>
      </c>
      <c r="D19" t="inlineStr">
        <is>
          <t>UPPSALA LÄN</t>
        </is>
      </c>
      <c r="E19" t="inlineStr">
        <is>
          <t>HEBY</t>
        </is>
      </c>
      <c r="G19" t="n">
        <v>3.8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Ullticka
Vedtrappmossa
Jättesvampmal
Rostfläck
Blåsippa</t>
        </is>
      </c>
      <c r="S19">
        <f>HYPERLINK("https://klasma.github.io/Logging_0331/artfynd/A 56075-2023 artfynd.xlsx", "A 56075-2023")</f>
        <v/>
      </c>
      <c r="T19">
        <f>HYPERLINK("https://klasma.github.io/Logging_0331/kartor/A 56075-2023 karta.png", "A 56075-2023")</f>
        <v/>
      </c>
      <c r="V19">
        <f>HYPERLINK("https://klasma.github.io/Logging_0331/klagomål/A 56075-2023 FSC-klagomål.docx", "A 56075-2023")</f>
        <v/>
      </c>
      <c r="W19">
        <f>HYPERLINK("https://klasma.github.io/Logging_0331/klagomålsmail/A 56075-2023 FSC-klagomål mail.docx", "A 56075-2023")</f>
        <v/>
      </c>
      <c r="X19">
        <f>HYPERLINK("https://klasma.github.io/Logging_0331/tillsyn/A 56075-2023 tillsynsbegäran.docx", "A 56075-2023")</f>
        <v/>
      </c>
      <c r="Y19">
        <f>HYPERLINK("https://klasma.github.io/Logging_0331/tillsynsmail/A 56075-2023 tillsynsbegäran mail.docx", "A 56075-2023")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45707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45707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45707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45707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45707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45707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45707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45707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45707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45707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45707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45707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45707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45707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45707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45707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45707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45707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45707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45707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45707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45707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45707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45707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45707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45707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45707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45707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45707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45707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45707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45707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45707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45707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45707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45707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45707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45707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45707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45707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45707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45707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45707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45707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45707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45707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45707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45707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45707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45707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45707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45707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45707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45707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45707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45707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45707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45707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45707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45707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45707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45707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45707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45707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45707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45707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45707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45707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45707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45707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45707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45707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45707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45707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45707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45707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45707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45707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45707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45707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45707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45707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45707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45707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45707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45707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45707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45707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45707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45707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45707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45707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45707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45707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45707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45707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45707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45707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45707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45707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45707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45707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45707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45707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45707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45707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45707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45707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45707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45707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45707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45707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45707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45707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45707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45707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45707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45707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45707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45707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45707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45707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45707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45707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45707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45707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45707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45707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45707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45707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45707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45707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45707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45707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45707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45707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45707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45707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45707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45707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45707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45707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45707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45707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45707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45707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45707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45707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45707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45707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45707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45707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45707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45707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45707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45707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45707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45707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45707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45707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45707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45707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45707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45707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45707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45707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45707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45707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45707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45707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45707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45707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45707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45707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45707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45707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45707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45707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45707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45707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45707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45707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45707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45707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45707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45707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45707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45707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45707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45707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45707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45707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45707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45707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45707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45707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45707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45707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45707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45707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45707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45707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45707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45707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45707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45707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45707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45707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45707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45707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45707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45707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45707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45707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45707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45707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45707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45707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45707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45707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45707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45707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45707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45707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45707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45707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45707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45707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45707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45707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45707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45707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45707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45707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45707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45707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45707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45707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45707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45707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45707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45707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45707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45707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45707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45707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45707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45707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45707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45707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45707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45707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45707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45707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45707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45707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45707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45707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45707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45707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45707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45707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45707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45707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45707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45707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45707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45707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45707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45707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45707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45707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45707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45707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45707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45707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45707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45707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45707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45707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45707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45707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45707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45707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45707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45707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45707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45707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45707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45707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45707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45707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45707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45707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45707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45707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45707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45707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45707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45707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45707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45707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45707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45707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45707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45707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45707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45707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45707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45707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45707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45707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45707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45707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45707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45707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45707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45707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45707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45707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45707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45707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45707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45707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45707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45707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45707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45707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45707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45707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45707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45707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45707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45707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45707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45707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45707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45707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45707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45707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45707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45707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45707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45707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45707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45707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45707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45707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45707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45707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45707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45707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45707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45707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45707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45707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45707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45707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45707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45707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45707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45707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45707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45707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45707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45707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45707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45707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45707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45707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45707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45707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45707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45707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45707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45707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45707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45707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45707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45707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45707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45707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45707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45707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45707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45707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45707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45707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45707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45707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45707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45707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45707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45707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45707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45707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45707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45707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45707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45707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45707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45707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45707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45707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45707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45707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45707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45707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45707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45707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45707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45707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45707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45707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45707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45707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45707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45707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45707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45707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45707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45707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45707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45707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45707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45707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45707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45707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45707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45707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45707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45707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45707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45707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45707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45707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45707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45707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45707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45707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45707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45707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45707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45707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45707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45707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45707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45707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45707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45707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45707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45707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45707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45707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45707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45707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45707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45707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45707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45707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45707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45707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45707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45707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45707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45707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45707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45707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45707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45707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45707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45707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45707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45707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45707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45707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45707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45707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45707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45707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45707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45707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45707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45707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45707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45707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45707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45707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45707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45707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45707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45707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45707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45707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45707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45707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45707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45707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45707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45707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45707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45707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45707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45707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45707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45707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45707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45707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45707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45707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45707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45707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45707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45707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45707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45707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45707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45707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45707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45707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45707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45707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45707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45707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45707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45707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45707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45707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45707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45707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45707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45707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45707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45707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45707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45707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45707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45707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45707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45707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45707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45707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45707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45707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45707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45707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45707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45707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45707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45707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45707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45707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45707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45707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45707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45707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45707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45707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45707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45707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45707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45707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45707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45707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45707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45707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45707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45707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45707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45707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45707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45707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45707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45707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45707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45707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45707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45707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45707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45707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45707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45707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45707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45707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45707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45707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45707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45707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45707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45707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45707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45707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45707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45707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45707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45707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45707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45707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45707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45707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45707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45707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45707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45707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45707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45707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45707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45707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45707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45707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45707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45707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45707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45707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45707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45707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45707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45707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45707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45707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45707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45707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45707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45707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45707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45707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45707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45707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45707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45707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45707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45707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45707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45707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45707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45707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45707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45707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45707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45707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45707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45707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45707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45707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45707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45707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45707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45707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45707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45707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45707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45707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45707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45707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45707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45707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45707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45707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45707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45707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45707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45707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45707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45707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45707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45707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45707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45707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45707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45707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45707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45707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45707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45707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45707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45707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45707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45707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45707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45707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45707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45707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45707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45707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45707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45707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45707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45707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45707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45707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45707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45707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45707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45707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45707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45707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45707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45707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45707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45707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45707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45707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45707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45707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45707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45707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45707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45707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45707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45707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45707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45707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45707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45707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45707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45707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45707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45707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45707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45707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45707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45707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45707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45707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45707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45707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45707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45707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45707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45707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45707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45707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45707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45707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45707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45707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45707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45707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45707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45707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45707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45707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45707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45707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45707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45707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45707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45707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45707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45707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45707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45707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45707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45707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45707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45707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45707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45707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45707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45707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45707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45707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45707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45707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45707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45707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45707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45707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45707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45707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45707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45707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45707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45707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45707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45707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45707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45707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45707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45707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45707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45707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45707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45707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45707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45707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45707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45707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45707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45707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45707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45707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45707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45707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45707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45707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45707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45707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45707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45707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45707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45707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45707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45707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45707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45707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45707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45707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45707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45707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45707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45707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45707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45707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45707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45707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45707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45707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45707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45707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45707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45707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45707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45707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45707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45707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45707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45707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45707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45707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45707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45707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45707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45707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45707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45707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45707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45707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45707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45707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45707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45707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45707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45707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45707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45707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45707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45707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45707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45707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45707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45707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45707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45707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45707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45707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45707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45707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45707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45707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45707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45707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45707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45707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45707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45707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45707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45707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45707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45707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45707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45707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45707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45707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45707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45707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45707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45707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45707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45707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45707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45707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45707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45707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45707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45707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45707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45707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45707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45707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45707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45707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45707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45707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45707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45707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45707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45707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45707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45707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45707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45707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45707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45707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45707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45707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45707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45707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45707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45707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45707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45707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45707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45707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45707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45707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45707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45707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45707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45707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45707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45707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45707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45707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45707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45707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45707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45707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45707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45707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45707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45707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45707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45707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45707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45707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45707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45707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45707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45707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45707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45707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45707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45707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45707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45707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45707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45707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45707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45707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45707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45707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45707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45707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45707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45707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45707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45707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45707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45707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45707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45707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45707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45707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45707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45707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45707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45707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45707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45707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45707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45707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45707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45707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45707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45707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45707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45707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45707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45707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45707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45707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45707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45707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45707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45707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45707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45707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45707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45707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45707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45707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45707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45707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45707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45707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45707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45707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45707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45707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45707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45707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45707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45707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45707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45707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45707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45707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45707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45707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45707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45707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45707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45707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45707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45707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45707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45707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45707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45707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45707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45707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45707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45707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45707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45707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45707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45707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45707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45707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45707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45707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45707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45707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45707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45707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45707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45707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45707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45707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45707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45707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45707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45707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45707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45707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45707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45707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45707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45707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45707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45707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45707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45707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45707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385-2025</t>
        </is>
      </c>
      <c r="B1075" s="1" t="n">
        <v>45662</v>
      </c>
      <c r="C1075" s="1" t="n">
        <v>45707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45707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45707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45707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834-2025</t>
        </is>
      </c>
      <c r="B1079" s="1" t="n">
        <v>45665</v>
      </c>
      <c r="C1079" s="1" t="n">
        <v>45707</v>
      </c>
      <c r="D1079" t="inlineStr">
        <is>
          <t>UPPSALA LÄN</t>
        </is>
      </c>
      <c r="E1079" t="inlineStr">
        <is>
          <t>HEBY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724-2025</t>
        </is>
      </c>
      <c r="B1080" s="1" t="n">
        <v>45665</v>
      </c>
      <c r="C1080" s="1" t="n">
        <v>45707</v>
      </c>
      <c r="D1080" t="inlineStr">
        <is>
          <t>UPPSALA LÄN</t>
        </is>
      </c>
      <c r="E1080" t="inlineStr">
        <is>
          <t>HEBY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45707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1561-2025</t>
        </is>
      </c>
      <c r="B1082" s="1" t="n">
        <v>45670</v>
      </c>
      <c r="C1082" s="1" t="n">
        <v>45707</v>
      </c>
      <c r="D1082" t="inlineStr">
        <is>
          <t>UPPSALA LÄN</t>
        </is>
      </c>
      <c r="E1082" t="inlineStr">
        <is>
          <t>HEBY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1471-2025</t>
        </is>
      </c>
      <c r="B1083" s="1" t="n">
        <v>45670</v>
      </c>
      <c r="C1083" s="1" t="n">
        <v>45707</v>
      </c>
      <c r="D1083" t="inlineStr">
        <is>
          <t>UPPSALA LÄN</t>
        </is>
      </c>
      <c r="E1083" t="inlineStr">
        <is>
          <t>HEBY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1568-2025</t>
        </is>
      </c>
      <c r="B1084" s="1" t="n">
        <v>45670</v>
      </c>
      <c r="C1084" s="1" t="n">
        <v>45707</v>
      </c>
      <c r="D1084" t="inlineStr">
        <is>
          <t>UPPSALA LÄN</t>
        </is>
      </c>
      <c r="E1084" t="inlineStr">
        <is>
          <t>HEBY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45707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2309-2025</t>
        </is>
      </c>
      <c r="B1086" s="1" t="n">
        <v>45673</v>
      </c>
      <c r="C1086" s="1" t="n">
        <v>45707</v>
      </c>
      <c r="D1086" t="inlineStr">
        <is>
          <t>UPPSALA LÄN</t>
        </is>
      </c>
      <c r="E1086" t="inlineStr">
        <is>
          <t>HEBY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2303-2025</t>
        </is>
      </c>
      <c r="B1087" s="1" t="n">
        <v>45673</v>
      </c>
      <c r="C1087" s="1" t="n">
        <v>45707</v>
      </c>
      <c r="D1087" t="inlineStr">
        <is>
          <t>UPPSALA LÄN</t>
        </is>
      </c>
      <c r="E1087" t="inlineStr">
        <is>
          <t>HEBY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2491-2025</t>
        </is>
      </c>
      <c r="B1088" s="1" t="n">
        <v>45674</v>
      </c>
      <c r="C1088" s="1" t="n">
        <v>45707</v>
      </c>
      <c r="D1088" t="inlineStr">
        <is>
          <t>UPPSALA LÄN</t>
        </is>
      </c>
      <c r="E1088" t="inlineStr">
        <is>
          <t>HEBY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2487-2025</t>
        </is>
      </c>
      <c r="B1089" s="1" t="n">
        <v>45674</v>
      </c>
      <c r="C1089" s="1" t="n">
        <v>45707</v>
      </c>
      <c r="D1089" t="inlineStr">
        <is>
          <t>UPPSALA LÄN</t>
        </is>
      </c>
      <c r="E1089" t="inlineStr">
        <is>
          <t>HEBY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3466-2025</t>
        </is>
      </c>
      <c r="B1090" s="1" t="n">
        <v>45680</v>
      </c>
      <c r="C1090" s="1" t="n">
        <v>45707</v>
      </c>
      <c r="D1090" t="inlineStr">
        <is>
          <t>UPPSALA LÄN</t>
        </is>
      </c>
      <c r="E1090" t="inlineStr">
        <is>
          <t>HEBY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45707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45707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4666-2025</t>
        </is>
      </c>
      <c r="B1093" s="1" t="n">
        <v>45687</v>
      </c>
      <c r="C1093" s="1" t="n">
        <v>45707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4735-2025</t>
        </is>
      </c>
      <c r="B1094" s="1" t="n">
        <v>45688</v>
      </c>
      <c r="C1094" s="1" t="n">
        <v>45707</v>
      </c>
      <c r="D1094" t="inlineStr">
        <is>
          <t>UPPSALA LÄN</t>
        </is>
      </c>
      <c r="E1094" t="inlineStr">
        <is>
          <t>HEBY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45707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5625-2025</t>
        </is>
      </c>
      <c r="B1096" s="1" t="n">
        <v>45693</v>
      </c>
      <c r="C1096" s="1" t="n">
        <v>45707</v>
      </c>
      <c r="D1096" t="inlineStr">
        <is>
          <t>UPPSALA LÄN</t>
        </is>
      </c>
      <c r="E1096" t="inlineStr">
        <is>
          <t>HEBY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5633-2025</t>
        </is>
      </c>
      <c r="B1097" s="1" t="n">
        <v>45693</v>
      </c>
      <c r="C1097" s="1" t="n">
        <v>45707</v>
      </c>
      <c r="D1097" t="inlineStr">
        <is>
          <t>UPPSALA LÄN</t>
        </is>
      </c>
      <c r="E1097" t="inlineStr">
        <is>
          <t>HEBY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6450-2025</t>
        </is>
      </c>
      <c r="B1098" s="1" t="n">
        <v>45699</v>
      </c>
      <c r="C1098" s="1" t="n">
        <v>45707</v>
      </c>
      <c r="D1098" t="inlineStr">
        <is>
          <t>UPPSALA LÄN</t>
        </is>
      </c>
      <c r="E1098" t="inlineStr">
        <is>
          <t>HEBY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7468-2025</t>
        </is>
      </c>
      <c r="B1099" s="1" t="n">
        <v>45705</v>
      </c>
      <c r="C1099" s="1" t="n">
        <v>45707</v>
      </c>
      <c r="D1099" t="inlineStr">
        <is>
          <t>UPPSALA LÄN</t>
        </is>
      </c>
      <c r="E1099" t="inlineStr">
        <is>
          <t>HEBY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7503-2025</t>
        </is>
      </c>
      <c r="B1100" s="1" t="n">
        <v>45705</v>
      </c>
      <c r="C1100" s="1" t="n">
        <v>45707</v>
      </c>
      <c r="D1100" t="inlineStr">
        <is>
          <t>UPPSALA LÄN</t>
        </is>
      </c>
      <c r="E1100" t="inlineStr">
        <is>
          <t>HEBY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7497-2025</t>
        </is>
      </c>
      <c r="B1101" s="1" t="n">
        <v>45705</v>
      </c>
      <c r="C1101" s="1" t="n">
        <v>45707</v>
      </c>
      <c r="D1101" t="inlineStr">
        <is>
          <t>UPPSALA LÄN</t>
        </is>
      </c>
      <c r="E1101" t="inlineStr">
        <is>
          <t>HEBY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7429-2025</t>
        </is>
      </c>
      <c r="B1102" s="1" t="n">
        <v>45705</v>
      </c>
      <c r="C1102" s="1" t="n">
        <v>45707</v>
      </c>
      <c r="D1102" t="inlineStr">
        <is>
          <t>UPPSALA LÄN</t>
        </is>
      </c>
      <c r="E1102" t="inlineStr">
        <is>
          <t>HEBY</t>
        </is>
      </c>
      <c r="F1102" t="inlineStr">
        <is>
          <t>Kyrkan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7500-2025</t>
        </is>
      </c>
      <c r="B1103" s="1" t="n">
        <v>45705</v>
      </c>
      <c r="C1103" s="1" t="n">
        <v>45707</v>
      </c>
      <c r="D1103" t="inlineStr">
        <is>
          <t>UPPSALA LÄN</t>
        </is>
      </c>
      <c r="E1103" t="inlineStr">
        <is>
          <t>HEBY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7504-2025</t>
        </is>
      </c>
      <c r="B1104" s="1" t="n">
        <v>45705</v>
      </c>
      <c r="C1104" s="1" t="n">
        <v>45707</v>
      </c>
      <c r="D1104" t="inlineStr">
        <is>
          <t>UPPSALA LÄN</t>
        </is>
      </c>
      <c r="E1104" t="inlineStr">
        <is>
          <t>HEBY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7502-2025</t>
        </is>
      </c>
      <c r="B1105" s="1" t="n">
        <v>45705</v>
      </c>
      <c r="C1105" s="1" t="n">
        <v>45707</v>
      </c>
      <c r="D1105" t="inlineStr">
        <is>
          <t>UPPSALA LÄN</t>
        </is>
      </c>
      <c r="E1105" t="inlineStr">
        <is>
          <t>HEBY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>
      <c r="A1106" t="inlineStr">
        <is>
          <t>A 7860-2025</t>
        </is>
      </c>
      <c r="B1106" s="1" t="n">
        <v>45706</v>
      </c>
      <c r="C1106" s="1" t="n">
        <v>45707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2025-02-19T17:01:59Z</dcterms:created>
  <dcterms:modified xmlns:dcterms="http://purl.org/dc/terms/" xmlns:xsi="http://www.w3.org/2001/XMLSchema-instance" xsi:type="dcterms:W3CDTF">2025-02-19T17:01:59Z</dcterms:modified>
</cp:coreProperties>
</file>
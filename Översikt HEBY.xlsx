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46198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46198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46198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46198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46198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46198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46198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46198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46198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46198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46198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54339-2025</t>
        </is>
      </c>
      <c r="B14" s="1" t="n">
        <v>45965</v>
      </c>
      <c r="C14" s="1" t="n">
        <v>46198</v>
      </c>
      <c r="D14" t="inlineStr">
        <is>
          <t>UPPSALA LÄN</t>
        </is>
      </c>
      <c r="E14" t="inlineStr">
        <is>
          <t>HEBY</t>
        </is>
      </c>
      <c r="G14" t="n">
        <v>1.2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Garnlav
Knärot
Talltagel
Bronshjon
Thomsons trägnagare
Vågbandad barkbock
Spillkråka
Revlummer</t>
        </is>
      </c>
      <c r="S14">
        <f>HYPERLINK("https://klasma.github.io/Logging_0331/artfynd/A 54339-2025 artfynd.xlsx", "A 54339-2025")</f>
        <v/>
      </c>
      <c r="T14">
        <f>HYPERLINK("https://klasma.github.io/Logging_0331/kartor/A 54339-2025 karta.png", "A 54339-2025")</f>
        <v/>
      </c>
      <c r="U14">
        <f>HYPERLINK("https://klasma.github.io/Logging_0331/knärot/A 54339-2025 karta knärot.png", "A 54339-2025")</f>
        <v/>
      </c>
      <c r="V14">
        <f>HYPERLINK("https://klasma.github.io/Logging_0331/klagomål/A 54339-2025 FSC-klagomål.docx", "A 54339-2025")</f>
        <v/>
      </c>
      <c r="W14">
        <f>HYPERLINK("https://klasma.github.io/Logging_0331/klagomålsmail/A 54339-2025 FSC-klagomål mail.docx", "A 54339-2025")</f>
        <v/>
      </c>
      <c r="X14">
        <f>HYPERLINK("https://klasma.github.io/Logging_0331/tillsyn/A 54339-2025 tillsynsbegäran.docx", "A 54339-2025")</f>
        <v/>
      </c>
      <c r="Y14">
        <f>HYPERLINK("https://klasma.github.io/Logging_0331/tillsynsmail/A 54339-2025 tillsynsbegäran mail.docx", "A 54339-2025")</f>
        <v/>
      </c>
      <c r="Z14">
        <f>HYPERLINK("https://klasma.github.io/Logging_0331/fåglar/A 54339-2025 prioriterade fågelarter.docx", "A 54339-2025")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46198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4</v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8</v>
      </c>
      <c r="R15" s="2" t="inlineStr">
        <is>
          <t>Garnlav
Knärot
Väddnätfjäril
Brunpudrad nållav
Grönpyrola
Thomsons trägnagare
Spillkråka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46198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Grönhjon
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s="1" t="n">
        <v>46149</v>
      </c>
      <c r="C17" s="1" t="n">
        <v>46198</v>
      </c>
      <c r="D17" t="inlineStr">
        <is>
          <t>UPPSALA LÄN</t>
        </is>
      </c>
      <c r="E17" t="inlineStr">
        <is>
          <t>HEBY</t>
        </is>
      </c>
      <c r="G17" t="n">
        <v>6.3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Mindre bastardsvärmare
Blåsippa
Ekbräken
Kransmossa
Mattlummer
Ormbär</t>
        </is>
      </c>
      <c r="S17">
        <f>HYPERLINK("https://klasma.github.io/Logging_0331/artfynd/A 21712-2026 artfynd.xlsx", "A 21712-2026")</f>
        <v/>
      </c>
      <c r="T17">
        <f>HYPERLINK("https://klasma.github.io/Logging_0331/kartor/A 21712-2026 karta.png", "A 21712-2026")</f>
        <v/>
      </c>
      <c r="V17">
        <f>HYPERLINK("https://klasma.github.io/Logging_0331/klagomål/A 21712-2026 FSC-klagomål.docx", "A 21712-2026")</f>
        <v/>
      </c>
      <c r="W17">
        <f>HYPERLINK("https://klasma.github.io/Logging_0331/klagomålsmail/A 21712-2026 FSC-klagomål mail.docx", "A 21712-2026")</f>
        <v/>
      </c>
      <c r="X17">
        <f>HYPERLINK("https://klasma.github.io/Logging_0331/tillsyn/A 21712-2026 tillsynsbegäran.docx", "A 21712-2026")</f>
        <v/>
      </c>
      <c r="Y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46198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s="1" t="n">
        <v>44914</v>
      </c>
      <c r="C19" s="1" t="n">
        <v>46198</v>
      </c>
      <c r="D19" t="inlineStr">
        <is>
          <t>UPPSALA LÄN</t>
        </is>
      </c>
      <c r="E19" t="inlineStr">
        <is>
          <t>HEBY</t>
        </is>
      </c>
      <c r="G19" t="n">
        <v>5.3</v>
      </c>
      <c r="H19" t="n">
        <v>1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Knärot
Ullticka
Grovticka
Grönpyrola
Trådticka
Vedticka</t>
        </is>
      </c>
      <c r="S19">
        <f>HYPERLINK("https://klasma.github.io/Logging_0331/artfynd/A 62137-2022 artfynd.xlsx", "A 62137-2022")</f>
        <v/>
      </c>
      <c r="T19">
        <f>HYPERLINK("https://klasma.github.io/Logging_0331/kartor/A 62137-2022 karta.png", "A 62137-2022")</f>
        <v/>
      </c>
      <c r="U19">
        <f>HYPERLINK("https://klasma.github.io/Logging_0331/knärot/A 62137-2022 karta knärot.png", "A 62137-2022")</f>
        <v/>
      </c>
      <c r="V19">
        <f>HYPERLINK("https://klasma.github.io/Logging_0331/klagomål/A 62137-2022 FSC-klagomål.docx", "A 62137-2022")</f>
        <v/>
      </c>
      <c r="W19">
        <f>HYPERLINK("https://klasma.github.io/Logging_0331/klagomålsmail/A 62137-2022 FSC-klagomål mail.docx", "A 62137-2022")</f>
        <v/>
      </c>
      <c r="X19">
        <f>HYPERLINK("https://klasma.github.io/Logging_0331/tillsyn/A 62137-2022 tillsynsbegäran.docx", "A 62137-2022")</f>
        <v/>
      </c>
      <c r="Y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s="1" t="n">
        <v>45687</v>
      </c>
      <c r="C20" s="1" t="n">
        <v>46198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Större flatbagge
Granbräken
Gulnål
Jättesvampmal
Rankstarr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s="1" t="n">
        <v>45985</v>
      </c>
      <c r="C21" s="1" t="n">
        <v>46198</v>
      </c>
      <c r="D21" t="inlineStr">
        <is>
          <t>UPPSALA LÄN</t>
        </is>
      </c>
      <c r="E21" t="inlineStr">
        <is>
          <t>HEBY</t>
        </is>
      </c>
      <c r="G21" t="n">
        <v>4.6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Myskbock
Noshornsoxe
Större träfjäril
Spillkråka
Vanlig padda</t>
        </is>
      </c>
      <c r="S21">
        <f>HYPERLINK("https://klasma.github.io/Logging_0331/artfynd/A 58369-2025 artfynd.xlsx", "A 58369-2025")</f>
        <v/>
      </c>
      <c r="T21">
        <f>HYPERLINK("https://klasma.github.io/Logging_0331/kartor/A 58369-2025 karta.png", "A 58369-2025")</f>
        <v/>
      </c>
      <c r="V21">
        <f>HYPERLINK("https://klasma.github.io/Logging_0331/klagomål/A 58369-2025 FSC-klagomål.docx", "A 58369-2025")</f>
        <v/>
      </c>
      <c r="W21">
        <f>HYPERLINK("https://klasma.github.io/Logging_0331/klagomålsmail/A 58369-2025 FSC-klagomål mail.docx", "A 58369-2025")</f>
        <v/>
      </c>
      <c r="X21">
        <f>HYPERLINK("https://klasma.github.io/Logging_0331/tillsyn/A 58369-2025 tillsynsbegäran.docx", "A 58369-2025")</f>
        <v/>
      </c>
      <c r="Y21">
        <f>HYPERLINK("https://klasma.github.io/Logging_0331/tillsynsmail/A 58369-2025 tillsynsbegäran mail.docx", "A 58369-2025")</f>
        <v/>
      </c>
      <c r="Z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46198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46198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46198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46198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s="1" t="n">
        <v>44840</v>
      </c>
      <c r="C26" s="1" t="n">
        <v>46198</v>
      </c>
      <c r="D26" t="inlineStr">
        <is>
          <t>UPPSALA LÄN</t>
        </is>
      </c>
      <c r="E26" t="inlineStr">
        <is>
          <t>HEBY</t>
        </is>
      </c>
      <c r="G26" t="n">
        <v>1.8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Thomsons trägnagare
Vedticka</t>
        </is>
      </c>
      <c r="S26">
        <f>HYPERLINK("https://klasma.github.io/Logging_0331/artfynd/A 44525-2022 artfynd.xlsx", "A 44525-2022")</f>
        <v/>
      </c>
      <c r="T26">
        <f>HYPERLINK("https://klasma.github.io/Logging_0331/kartor/A 44525-2022 karta.png", "A 44525-2022")</f>
        <v/>
      </c>
      <c r="U26">
        <f>HYPERLINK("https://klasma.github.io/Logging_0331/knärot/A 44525-2022 karta knärot.png", "A 44525-2022")</f>
        <v/>
      </c>
      <c r="V26">
        <f>HYPERLINK("https://klasma.github.io/Logging_0331/klagomål/A 44525-2022 FSC-klagomål.docx", "A 44525-2022")</f>
        <v/>
      </c>
      <c r="W26">
        <f>HYPERLINK("https://klasma.github.io/Logging_0331/klagomålsmail/A 44525-2022 FSC-klagomål mail.docx", "A 44525-2022")</f>
        <v/>
      </c>
      <c r="X26">
        <f>HYPERLINK("https://klasma.github.io/Logging_0331/tillsyn/A 44525-2022 tillsynsbegäran.docx", "A 44525-2022")</f>
        <v/>
      </c>
      <c r="Y26">
        <f>HYPERLINK("https://klasma.github.io/Logging_0331/tillsynsmail/A 44525-2022 tillsynsbegäran mail.docx", "A 44525-2022")</f>
        <v/>
      </c>
    </row>
    <row r="27" ht="15" customHeight="1">
      <c r="A27" t="inlineStr">
        <is>
          <t>A 9354-2026</t>
        </is>
      </c>
      <c r="B27" s="1" t="n">
        <v>46070</v>
      </c>
      <c r="C27" s="1" t="n">
        <v>46198</v>
      </c>
      <c r="D27" t="inlineStr">
        <is>
          <t>UPPSALA LÄN</t>
        </is>
      </c>
      <c r="E27" t="inlineStr">
        <is>
          <t>HEBY</t>
        </is>
      </c>
      <c r="G27" t="n">
        <v>9.6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Vårstarr
Blåsippa
Gullviva</t>
        </is>
      </c>
      <c r="S27">
        <f>HYPERLINK("https://klasma.github.io/Logging_0331/artfynd/A 9354-2026 artfynd.xlsx", "A 9354-2026")</f>
        <v/>
      </c>
      <c r="T27">
        <f>HYPERLINK("https://klasma.github.io/Logging_0331/kartor/A 9354-2026 karta.png", "A 9354-2026")</f>
        <v/>
      </c>
      <c r="V27">
        <f>HYPERLINK("https://klasma.github.io/Logging_0331/klagomål/A 9354-2026 FSC-klagomål.docx", "A 9354-2026")</f>
        <v/>
      </c>
      <c r="W27">
        <f>HYPERLINK("https://klasma.github.io/Logging_0331/klagomålsmail/A 9354-2026 FSC-klagomål mail.docx", "A 9354-2026")</f>
        <v/>
      </c>
      <c r="X27">
        <f>HYPERLINK("https://klasma.github.io/Logging_0331/tillsyn/A 9354-2026 tillsynsbegäran.docx", "A 9354-2026")</f>
        <v/>
      </c>
      <c r="Y27">
        <f>HYPERLINK("https://klasma.github.io/Logging_0331/tillsynsmail/A 9354-2026 tillsynsbegäran mail.docx", "A 9354-2026")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46198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Blåsippa
Lopplummer (aggregat)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46198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32785-2023</t>
        </is>
      </c>
      <c r="B30" s="1" t="n">
        <v>45124</v>
      </c>
      <c r="C30" s="1" t="n">
        <v>46198</v>
      </c>
      <c r="D30" t="inlineStr">
        <is>
          <t>UPPSALA LÄN</t>
        </is>
      </c>
      <c r="E30" t="inlineStr">
        <is>
          <t>HEBY</t>
        </is>
      </c>
      <c r="G30" t="n">
        <v>3.1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Garnlav
Talltita
Spillkråka
Huggorm</t>
        </is>
      </c>
      <c r="S30">
        <f>HYPERLINK("https://klasma.github.io/Logging_0331/artfynd/A 32785-2023 artfynd.xlsx", "A 32785-2023")</f>
        <v/>
      </c>
      <c r="T30">
        <f>HYPERLINK("https://klasma.github.io/Logging_0331/kartor/A 32785-2023 karta.png", "A 32785-2023")</f>
        <v/>
      </c>
      <c r="V30">
        <f>HYPERLINK("https://klasma.github.io/Logging_0331/klagomål/A 32785-2023 FSC-klagomål.docx", "A 32785-2023")</f>
        <v/>
      </c>
      <c r="W30">
        <f>HYPERLINK("https://klasma.github.io/Logging_0331/klagomålsmail/A 32785-2023 FSC-klagomål mail.docx", "A 32785-2023")</f>
        <v/>
      </c>
      <c r="X30">
        <f>HYPERLINK("https://klasma.github.io/Logging_0331/tillsyn/A 32785-2023 tillsynsbegäran.docx", "A 32785-2023")</f>
        <v/>
      </c>
      <c r="Y30">
        <f>HYPERLINK("https://klasma.github.io/Logging_0331/tillsynsmail/A 32785-2023 tillsynsbegäran mail.docx", "A 32785-2023")</f>
        <v/>
      </c>
      <c r="Z30">
        <f>HYPERLINK("https://klasma.github.io/Logging_0331/fåglar/A 32785-2023 prioriterade fågelarter.docx", "A 32785-2023")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46198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46198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54814-2024</t>
        </is>
      </c>
      <c r="B33" s="1" t="n">
        <v>45618</v>
      </c>
      <c r="C33" s="1" t="n">
        <v>46198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Talltita
Kungsfågel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46198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Rostfläck
Revlummer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  <c r="Z34">
        <f>HYPERLINK("https://klasma.github.io/Logging_0331/fåglar/A 33150-2021 prioriterade fågelarter.docx", "A 33150-2021")</f>
        <v/>
      </c>
    </row>
    <row r="35" ht="15" customHeight="1">
      <c r="A35" t="inlineStr">
        <is>
          <t>A 54350-2025</t>
        </is>
      </c>
      <c r="B35" s="1" t="n">
        <v>45965</v>
      </c>
      <c r="C35" s="1" t="n">
        <v>46198</v>
      </c>
      <c r="D35" t="inlineStr">
        <is>
          <t>UPPSALA LÄN</t>
        </is>
      </c>
      <c r="E35" t="inlineStr">
        <is>
          <t>HEBY</t>
        </is>
      </c>
      <c r="G35" t="n">
        <v>2.1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Gropticka
Spillkråka</t>
        </is>
      </c>
      <c r="S35">
        <f>HYPERLINK("https://klasma.github.io/Logging_0331/artfynd/A 54350-2025 artfynd.xlsx", "A 54350-2025")</f>
        <v/>
      </c>
      <c r="T35">
        <f>HYPERLINK("https://klasma.github.io/Logging_0331/kartor/A 54350-2025 karta.png", "A 54350-2025")</f>
        <v/>
      </c>
      <c r="U35">
        <f>HYPERLINK("https://klasma.github.io/Logging_0331/knärot/A 54350-2025 karta knärot.png", "A 54350-2025")</f>
        <v/>
      </c>
      <c r="V35">
        <f>HYPERLINK("https://klasma.github.io/Logging_0331/klagomål/A 54350-2025 FSC-klagomål.docx", "A 54350-2025")</f>
        <v/>
      </c>
      <c r="W35">
        <f>HYPERLINK("https://klasma.github.io/Logging_0331/klagomålsmail/A 54350-2025 FSC-klagomål mail.docx", "A 54350-2025")</f>
        <v/>
      </c>
      <c r="X35">
        <f>HYPERLINK("https://klasma.github.io/Logging_0331/tillsyn/A 54350-2025 tillsynsbegäran.docx", "A 54350-2025")</f>
        <v/>
      </c>
      <c r="Y35">
        <f>HYPERLINK("https://klasma.github.io/Logging_0331/tillsynsmail/A 54350-2025 tillsynsbegäran mail.docx", "A 54350-2025")</f>
        <v/>
      </c>
      <c r="Z35">
        <f>HYPERLINK("https://klasma.github.io/Logging_0331/fåglar/A 54350-2025 prioriterade fågelarter.docx", "A 54350-2025")</f>
        <v/>
      </c>
    </row>
    <row r="36" ht="15" customHeight="1">
      <c r="A36" t="inlineStr">
        <is>
          <t>A 23609-2026</t>
        </is>
      </c>
      <c r="B36" s="1" t="n">
        <v>46163</v>
      </c>
      <c r="C36" s="1" t="n">
        <v>46198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Rynkskinn
Grönpyrola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44281-2024</t>
        </is>
      </c>
      <c r="B37" s="1" t="n">
        <v>45573</v>
      </c>
      <c r="C37" s="1" t="n">
        <v>46198</v>
      </c>
      <c r="D37" t="inlineStr">
        <is>
          <t>UPPSALA LÄN</t>
        </is>
      </c>
      <c r="E37" t="inlineStr">
        <is>
          <t>HEBY</t>
        </is>
      </c>
      <c r="G37" t="n">
        <v>4.8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Amphicyllis globiformis
Granvivel
Skrovlig flatbagge</t>
        </is>
      </c>
      <c r="S37">
        <f>HYPERLINK("https://klasma.github.io/Logging_0331/artfynd/A 44281-2024 artfynd.xlsx", "A 44281-2024")</f>
        <v/>
      </c>
      <c r="T37">
        <f>HYPERLINK("https://klasma.github.io/Logging_0331/kartor/A 44281-2024 karta.png", "A 44281-2024")</f>
        <v/>
      </c>
      <c r="V37">
        <f>HYPERLINK("https://klasma.github.io/Logging_0331/klagomål/A 44281-2024 FSC-klagomål.docx", "A 44281-2024")</f>
        <v/>
      </c>
      <c r="W37">
        <f>HYPERLINK("https://klasma.github.io/Logging_0331/klagomålsmail/A 44281-2024 FSC-klagomål mail.docx", "A 44281-2024")</f>
        <v/>
      </c>
      <c r="X37">
        <f>HYPERLINK("https://klasma.github.io/Logging_0331/tillsyn/A 44281-2024 tillsynsbegäran.docx", "A 44281-2024")</f>
        <v/>
      </c>
      <c r="Y37">
        <f>HYPERLINK("https://klasma.github.io/Logging_0331/tillsynsmail/A 44281-2024 tillsynsbegäran mail.docx", "A 44281-2024")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46198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Rostfläck
Revlummer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  <c r="Z38">
        <f>HYPERLINK("https://klasma.github.io/Logging_0331/fåglar/A 33150-2021 prioriterade fågelarter.docx", "A 33150-2021")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46198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25632-2026</t>
        </is>
      </c>
      <c r="B40" s="1" t="n">
        <v>46177</v>
      </c>
      <c r="C40" s="1" t="n">
        <v>46198</v>
      </c>
      <c r="D40" t="inlineStr">
        <is>
          <t>UPPSALA LÄN</t>
        </is>
      </c>
      <c r="E40" t="inlineStr">
        <is>
          <t>HEBY</t>
        </is>
      </c>
      <c r="G40" t="n">
        <v>10.2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Havsörn</t>
        </is>
      </c>
      <c r="S40">
        <f>HYPERLINK("https://klasma.github.io/Logging_0331/artfynd/A 25632-2026 artfynd.xlsx", "A 25632-2026")</f>
        <v/>
      </c>
      <c r="T40">
        <f>HYPERLINK("https://klasma.github.io/Logging_0331/kartor/A 25632-2026 karta.png", "A 25632-2026")</f>
        <v/>
      </c>
      <c r="V40">
        <f>HYPERLINK("https://klasma.github.io/Logging_0331/klagomål/A 25632-2026 FSC-klagomål.docx", "A 25632-2026")</f>
        <v/>
      </c>
      <c r="W40">
        <f>HYPERLINK("https://klasma.github.io/Logging_0331/klagomålsmail/A 25632-2026 FSC-klagomål mail.docx", "A 25632-2026")</f>
        <v/>
      </c>
      <c r="X40">
        <f>HYPERLINK("https://klasma.github.io/Logging_0331/tillsyn/A 25632-2026 tillsynsbegäran.docx", "A 25632-2026")</f>
        <v/>
      </c>
      <c r="Y40">
        <f>HYPERLINK("https://klasma.github.io/Logging_0331/tillsynsmail/A 25632-2026 tillsynsbegäran mail.docx", "A 25632-2026")</f>
        <v/>
      </c>
      <c r="Z40">
        <f>HYPERLINK("https://klasma.github.io/Logging_0331/fåglar/A 25632-2026 prioriterade fågelarter.docx", "A 25632-2026")</f>
        <v/>
      </c>
    </row>
    <row r="41" ht="15" customHeight="1">
      <c r="A41" t="inlineStr">
        <is>
          <t>A 41219-2025</t>
        </is>
      </c>
      <c r="B41" s="1" t="n">
        <v>45898</v>
      </c>
      <c r="C41" s="1" t="n">
        <v>46198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22.2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Lammticka
Motaggsvamp</t>
        </is>
      </c>
      <c r="S41">
        <f>HYPERLINK("https://klasma.github.io/Logging_0331/artfynd/A 41219-2025 artfynd.xlsx", "A 41219-2025")</f>
        <v/>
      </c>
      <c r="T41">
        <f>HYPERLINK("https://klasma.github.io/Logging_0331/kartor/A 41219-2025 karta.png", "A 41219-2025")</f>
        <v/>
      </c>
      <c r="V41">
        <f>HYPERLINK("https://klasma.github.io/Logging_0331/klagomål/A 41219-2025 FSC-klagomål.docx", "A 41219-2025")</f>
        <v/>
      </c>
      <c r="W41">
        <f>HYPERLINK("https://klasma.github.io/Logging_0331/klagomålsmail/A 41219-2025 FSC-klagomål mail.docx", "A 41219-2025")</f>
        <v/>
      </c>
      <c r="X41">
        <f>HYPERLINK("https://klasma.github.io/Logging_0331/tillsyn/A 41219-2025 tillsynsbegäran.docx", "A 41219-2025")</f>
        <v/>
      </c>
      <c r="Y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46198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63982-2023</t>
        </is>
      </c>
      <c r="B43" s="1" t="n">
        <v>45278</v>
      </c>
      <c r="C43" s="1" t="n">
        <v>46198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Större flatbagge
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46198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Thomsons trägnagare
Kungsfågel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20509-2026</t>
        </is>
      </c>
      <c r="B45" s="1" t="n">
        <v>46140</v>
      </c>
      <c r="C45" s="1" t="n">
        <v>46198</v>
      </c>
      <c r="D45" t="inlineStr">
        <is>
          <t>UPPSALA LÄN</t>
        </is>
      </c>
      <c r="E45" t="inlineStr">
        <is>
          <t>HEBY</t>
        </is>
      </c>
      <c r="F45" t="inlineStr">
        <is>
          <t>Övriga Aktiebolag</t>
        </is>
      </c>
      <c r="G45" t="n">
        <v>1.8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Plattlummer</t>
        </is>
      </c>
      <c r="S45">
        <f>HYPERLINK("https://klasma.github.io/Logging_0331/artfynd/A 20509-2026 artfynd.xlsx", "A 20509-2026")</f>
        <v/>
      </c>
      <c r="T45">
        <f>HYPERLINK("https://klasma.github.io/Logging_0331/kartor/A 20509-2026 karta.png", "A 20509-2026")</f>
        <v/>
      </c>
      <c r="V45">
        <f>HYPERLINK("https://klasma.github.io/Logging_0331/klagomål/A 20509-2026 FSC-klagomål.docx", "A 20509-2026")</f>
        <v/>
      </c>
      <c r="W45">
        <f>HYPERLINK("https://klasma.github.io/Logging_0331/klagomålsmail/A 20509-2026 FSC-klagomål mail.docx", "A 20509-2026")</f>
        <v/>
      </c>
      <c r="X45">
        <f>HYPERLINK("https://klasma.github.io/Logging_0331/tillsyn/A 20509-2026 tillsynsbegäran.docx", "A 20509-2026")</f>
        <v/>
      </c>
      <c r="Y45">
        <f>HYPERLINK("https://klasma.github.io/Logging_0331/tillsynsmail/A 20509-2026 tillsynsbegäran mail.docx", "A 20509-2026")</f>
        <v/>
      </c>
    </row>
    <row r="46" ht="15" customHeight="1">
      <c r="A46" t="inlineStr">
        <is>
          <t>A 59728-2025</t>
        </is>
      </c>
      <c r="B46" s="1" t="n">
        <v>45992</v>
      </c>
      <c r="C46" s="1" t="n">
        <v>46198</v>
      </c>
      <c r="D46" t="inlineStr">
        <is>
          <t>UPPSALA LÄN</t>
        </is>
      </c>
      <c r="E46" t="inlineStr">
        <is>
          <t>HEBY</t>
        </is>
      </c>
      <c r="G46" t="n">
        <v>2.8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59728-2025 artfynd.xlsx", "A 59728-2025")</f>
        <v/>
      </c>
      <c r="T46">
        <f>HYPERLINK("https://klasma.github.io/Logging_0331/kartor/A 59728-2025 karta.png", "A 59728-2025")</f>
        <v/>
      </c>
      <c r="U46">
        <f>HYPERLINK("https://klasma.github.io/Logging_0331/knärot/A 59728-2025 karta knärot.png", "A 59728-2025")</f>
        <v/>
      </c>
      <c r="V46">
        <f>HYPERLINK("https://klasma.github.io/Logging_0331/klagomål/A 59728-2025 FSC-klagomål.docx", "A 59728-2025")</f>
        <v/>
      </c>
      <c r="W46">
        <f>HYPERLINK("https://klasma.github.io/Logging_0331/klagomålsmail/A 59728-2025 FSC-klagomål mail.docx", "A 59728-2025")</f>
        <v/>
      </c>
      <c r="X46">
        <f>HYPERLINK("https://klasma.github.io/Logging_0331/tillsyn/A 59728-2025 tillsynsbegäran.docx", "A 59728-2025")</f>
        <v/>
      </c>
      <c r="Y46">
        <f>HYPERLINK("https://klasma.github.io/Logging_0331/tillsynsmail/A 59728-2025 tillsynsbegäran mail.docx", "A 59728-2025")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46198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Spädstarr
Repestarr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46198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46198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46198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46198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36494-2021</t>
        </is>
      </c>
      <c r="B53" s="1" t="n">
        <v>44391</v>
      </c>
      <c r="C53" s="1" t="n">
        <v>46198</v>
      </c>
      <c r="D53" t="inlineStr">
        <is>
          <t>UPPSALA LÄN</t>
        </is>
      </c>
      <c r="E53" t="inlineStr">
        <is>
          <t>HEBY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HYPERLINK("https://klasma.github.io/Logging_0331/artfynd/A 36494-2021 artfynd.xlsx", "A 36494-2021")</f>
        <v/>
      </c>
      <c r="T53">
        <f>HYPERLINK("https://klasma.github.io/Logging_0331/kartor/A 36494-2021 karta.png", "A 36494-2021")</f>
        <v/>
      </c>
      <c r="V53">
        <f>HYPERLINK("https://klasma.github.io/Logging_0331/klagomål/A 36494-2021 FSC-klagomål.docx", "A 36494-2021")</f>
        <v/>
      </c>
      <c r="W53">
        <f>HYPERLINK("https://klasma.github.io/Logging_0331/klagomålsmail/A 36494-2021 FSC-klagomål mail.docx", "A 36494-2021")</f>
        <v/>
      </c>
      <c r="X53">
        <f>HYPERLINK("https://klasma.github.io/Logging_0331/tillsyn/A 36494-2021 tillsynsbegäran.docx", "A 36494-2021")</f>
        <v/>
      </c>
      <c r="Y53">
        <f>HYPERLINK("https://klasma.github.io/Logging_0331/tillsynsmail/A 36494-2021 tillsynsbegäran mail.docx", "A 36494-2021")</f>
        <v/>
      </c>
      <c r="Z53">
        <f>HYPERLINK("https://klasma.github.io/Logging_0331/fåglar/A 36494-2021 prioriterade fågelarter.docx", "A 36494-2021")</f>
        <v/>
      </c>
    </row>
    <row r="54" ht="15" customHeight="1">
      <c r="A54" t="inlineStr">
        <is>
          <t>A 19555-2025</t>
        </is>
      </c>
      <c r="B54" s="1" t="n">
        <v>45770</v>
      </c>
      <c r="C54" s="1" t="n">
        <v>46198</v>
      </c>
      <c r="D54" t="inlineStr">
        <is>
          <t>UPPSALA LÄN</t>
        </is>
      </c>
      <c r="E54" t="inlineStr">
        <is>
          <t>HEBY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HYPERLINK("https://klasma.github.io/Logging_0331/artfynd/A 19555-2025 artfynd.xlsx", "A 19555-2025")</f>
        <v/>
      </c>
      <c r="T54">
        <f>HYPERLINK("https://klasma.github.io/Logging_0331/kartor/A 19555-2025 karta.png", "A 19555-2025")</f>
        <v/>
      </c>
      <c r="V54">
        <f>HYPERLINK("https://klasma.github.io/Logging_0331/klagomål/A 19555-2025 FSC-klagomål.docx", "A 19555-2025")</f>
        <v/>
      </c>
      <c r="W54">
        <f>HYPERLINK("https://klasma.github.io/Logging_0331/klagomålsmail/A 19555-2025 FSC-klagomål mail.docx", "A 19555-2025")</f>
        <v/>
      </c>
      <c r="X54">
        <f>HYPERLINK("https://klasma.github.io/Logging_0331/tillsyn/A 19555-2025 tillsynsbegäran.docx", "A 19555-2025")</f>
        <v/>
      </c>
      <c r="Y54">
        <f>HYPERLINK("https://klasma.github.io/Logging_0331/tillsynsmail/A 19555-2025 tillsynsbegäran mail.docx", "A 19555-2025")</f>
        <v/>
      </c>
      <c r="Z54">
        <f>HYPERLINK("https://klasma.github.io/Logging_0331/fåglar/A 19555-2025 prioriterade fågelarter.docx", "A 19555-2025")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46198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3374-2024</t>
        </is>
      </c>
      <c r="B56" s="1" t="n">
        <v>45317</v>
      </c>
      <c r="C56" s="1" t="n">
        <v>46198</v>
      </c>
      <c r="D56" t="inlineStr">
        <is>
          <t>UPPSALA LÄN</t>
        </is>
      </c>
      <c r="E56" t="inlineStr">
        <is>
          <t>HEBY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Berggräsfjäril</t>
        </is>
      </c>
      <c r="S56">
        <f>HYPERLINK("https://klasma.github.io/Logging_0331/artfynd/A 3374-2024 artfynd.xlsx", "A 3374-2024")</f>
        <v/>
      </c>
      <c r="T56">
        <f>HYPERLINK("https://klasma.github.io/Logging_0331/kartor/A 3374-2024 karta.png", "A 3374-2024")</f>
        <v/>
      </c>
      <c r="V56">
        <f>HYPERLINK("https://klasma.github.io/Logging_0331/klagomål/A 3374-2024 FSC-klagomål.docx", "A 3374-2024")</f>
        <v/>
      </c>
      <c r="W56">
        <f>HYPERLINK("https://klasma.github.io/Logging_0331/klagomålsmail/A 3374-2024 FSC-klagomål mail.docx", "A 3374-2024")</f>
        <v/>
      </c>
      <c r="X56">
        <f>HYPERLINK("https://klasma.github.io/Logging_0331/tillsyn/A 3374-2024 tillsynsbegäran.docx", "A 3374-2024")</f>
        <v/>
      </c>
      <c r="Y56">
        <f>HYPERLINK("https://klasma.github.io/Logging_0331/tillsynsmail/A 3374-2024 tillsynsbegäran mail.docx", "A 3374-2024")</f>
        <v/>
      </c>
    </row>
    <row r="57" ht="15" customHeight="1">
      <c r="A57" t="inlineStr">
        <is>
          <t>A 11011-2025</t>
        </is>
      </c>
      <c r="B57" s="1" t="n">
        <v>45723</v>
      </c>
      <c r="C57" s="1" t="n">
        <v>46198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11011-2025 artfynd.xlsx", "A 11011-2025")</f>
        <v/>
      </c>
      <c r="T57">
        <f>HYPERLINK("https://klasma.github.io/Logging_0331/kartor/A 11011-2025 karta.png", "A 11011-2025")</f>
        <v/>
      </c>
      <c r="V57">
        <f>HYPERLINK("https://klasma.github.io/Logging_0331/klagomål/A 11011-2025 FSC-klagomål.docx", "A 11011-2025")</f>
        <v/>
      </c>
      <c r="W57">
        <f>HYPERLINK("https://klasma.github.io/Logging_0331/klagomålsmail/A 11011-2025 FSC-klagomål mail.docx", "A 11011-2025")</f>
        <v/>
      </c>
      <c r="X57">
        <f>HYPERLINK("https://klasma.github.io/Logging_0331/tillsyn/A 11011-2025 tillsynsbegäran.docx", "A 11011-2025")</f>
        <v/>
      </c>
      <c r="Y57">
        <f>HYPERLINK("https://klasma.github.io/Logging_0331/tillsynsmail/A 11011-2025 tillsynsbegäran mail.docx", "A 11011-2025")</f>
        <v/>
      </c>
    </row>
    <row r="58" ht="15" customHeight="1">
      <c r="A58" t="inlineStr">
        <is>
          <t>A 24562-2023</t>
        </is>
      </c>
      <c r="B58" s="1" t="n">
        <v>45083</v>
      </c>
      <c r="C58" s="1" t="n">
        <v>46198</v>
      </c>
      <c r="D58" t="inlineStr">
        <is>
          <t>UPPSALA LÄN</t>
        </is>
      </c>
      <c r="E58" t="inlineStr">
        <is>
          <t>HEBY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HYPERLINK("https://klasma.github.io/Logging_0331/artfynd/A 24562-2023 artfynd.xlsx", "A 24562-2023")</f>
        <v/>
      </c>
      <c r="T58">
        <f>HYPERLINK("https://klasma.github.io/Logging_0331/kartor/A 24562-2023 karta.png", "A 24562-2023")</f>
        <v/>
      </c>
      <c r="V58">
        <f>HYPERLINK("https://klasma.github.io/Logging_0331/klagomål/A 24562-2023 FSC-klagomål.docx", "A 24562-2023")</f>
        <v/>
      </c>
      <c r="W58">
        <f>HYPERLINK("https://klasma.github.io/Logging_0331/klagomålsmail/A 24562-2023 FSC-klagomål mail.docx", "A 24562-2023")</f>
        <v/>
      </c>
      <c r="X58">
        <f>HYPERLINK("https://klasma.github.io/Logging_0331/tillsyn/A 24562-2023 tillsynsbegäran.docx", "A 24562-2023")</f>
        <v/>
      </c>
      <c r="Y58">
        <f>HYPERLINK("https://klasma.github.io/Logging_0331/tillsynsmail/A 24562-2023 tillsynsbegäran mail.docx", "A 24562-2023")</f>
        <v/>
      </c>
    </row>
    <row r="59" ht="15" customHeight="1">
      <c r="A59" t="inlineStr">
        <is>
          <t>A 55663-2024</t>
        </is>
      </c>
      <c r="B59" s="1" t="n">
        <v>45622</v>
      </c>
      <c r="C59" s="1" t="n">
        <v>46198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HYPERLINK("https://klasma.github.io/Logging_0331/artfynd/A 55663-2024 artfynd.xlsx", "A 55663-2024")</f>
        <v/>
      </c>
      <c r="T59">
        <f>HYPERLINK("https://klasma.github.io/Logging_0331/kartor/A 55663-2024 karta.png", "A 55663-2024")</f>
        <v/>
      </c>
      <c r="V59">
        <f>HYPERLINK("https://klasma.github.io/Logging_0331/klagomål/A 55663-2024 FSC-klagomål.docx", "A 55663-2024")</f>
        <v/>
      </c>
      <c r="W59">
        <f>HYPERLINK("https://klasma.github.io/Logging_0331/klagomålsmail/A 55663-2024 FSC-klagomål mail.docx", "A 55663-2024")</f>
        <v/>
      </c>
      <c r="X59">
        <f>HYPERLINK("https://klasma.github.io/Logging_0331/tillsyn/A 55663-2024 tillsynsbegäran.docx", "A 55663-2024")</f>
        <v/>
      </c>
      <c r="Y59">
        <f>HYPERLINK("https://klasma.github.io/Logging_0331/tillsynsmail/A 55663-2024 tillsynsbegäran mail.docx", "A 55663-2024")</f>
        <v/>
      </c>
    </row>
    <row r="60" ht="15" customHeight="1">
      <c r="A60" t="inlineStr">
        <is>
          <t>A 20530-2026</t>
        </is>
      </c>
      <c r="B60" s="1" t="n">
        <v>46140</v>
      </c>
      <c r="C60" s="1" t="n">
        <v>46198</v>
      </c>
      <c r="D60" t="inlineStr">
        <is>
          <t>UPPSALA LÄN</t>
        </is>
      </c>
      <c r="E60" t="inlineStr">
        <is>
          <t>HEBY</t>
        </is>
      </c>
      <c r="G60" t="n">
        <v>5.3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HYPERLINK("https://klasma.github.io/Logging_0331/artfynd/A 20530-2026 artfynd.xlsx", "A 20530-2026")</f>
        <v/>
      </c>
      <c r="T60">
        <f>HYPERLINK("https://klasma.github.io/Logging_0331/kartor/A 20530-2026 karta.png", "A 20530-2026")</f>
        <v/>
      </c>
      <c r="V60">
        <f>HYPERLINK("https://klasma.github.io/Logging_0331/klagomål/A 20530-2026 FSC-klagomål.docx", "A 20530-2026")</f>
        <v/>
      </c>
      <c r="W60">
        <f>HYPERLINK("https://klasma.github.io/Logging_0331/klagomålsmail/A 20530-2026 FSC-klagomål mail.docx", "A 20530-2026")</f>
        <v/>
      </c>
      <c r="X60">
        <f>HYPERLINK("https://klasma.github.io/Logging_0331/tillsyn/A 20530-2026 tillsynsbegäran.docx", "A 20530-2026")</f>
        <v/>
      </c>
      <c r="Y60">
        <f>HYPERLINK("https://klasma.github.io/Logging_0331/tillsynsmail/A 20530-2026 tillsynsbegäran mail.docx", "A 20530-2026")</f>
        <v/>
      </c>
    </row>
    <row r="61" ht="15" customHeight="1">
      <c r="A61" t="inlineStr">
        <is>
          <t>A 21043-2026</t>
        </is>
      </c>
      <c r="B61" s="1" t="n">
        <v>46146</v>
      </c>
      <c r="C61" s="1" t="n">
        <v>46198</v>
      </c>
      <c r="D61" t="inlineStr">
        <is>
          <t>UPPSALA LÄN</t>
        </is>
      </c>
      <c r="E61" t="inlineStr">
        <is>
          <t>HEBY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HYPERLINK("https://klasma.github.io/Logging_0331/artfynd/A 21043-2026 artfynd.xlsx", "A 21043-2026")</f>
        <v/>
      </c>
      <c r="T61">
        <f>HYPERLINK("https://klasma.github.io/Logging_0331/kartor/A 21043-2026 karta.png", "A 21043-2026")</f>
        <v/>
      </c>
      <c r="V61">
        <f>HYPERLINK("https://klasma.github.io/Logging_0331/klagomål/A 21043-2026 FSC-klagomål.docx", "A 21043-2026")</f>
        <v/>
      </c>
      <c r="W61">
        <f>HYPERLINK("https://klasma.github.io/Logging_0331/klagomålsmail/A 21043-2026 FSC-klagomål mail.docx", "A 21043-2026")</f>
        <v/>
      </c>
      <c r="X61">
        <f>HYPERLINK("https://klasma.github.io/Logging_0331/tillsyn/A 21043-2026 tillsynsbegäran.docx", "A 21043-2026")</f>
        <v/>
      </c>
      <c r="Y61">
        <f>HYPERLINK("https://klasma.github.io/Logging_0331/tillsynsmail/A 21043-2026 tillsynsbegäran mail.docx", "A 21043-2026")</f>
        <v/>
      </c>
    </row>
    <row r="62" ht="15" customHeight="1">
      <c r="A62" t="inlineStr">
        <is>
          <t>A 55763-2025</t>
        </is>
      </c>
      <c r="B62" s="1" t="n">
        <v>45972</v>
      </c>
      <c r="C62" s="1" t="n">
        <v>46198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HYPERLINK("https://klasma.github.io/Logging_0331/artfynd/A 55763-2025 artfynd.xlsx", "A 55763-2025")</f>
        <v/>
      </c>
      <c r="T62">
        <f>HYPERLINK("https://klasma.github.io/Logging_0331/kartor/A 55763-2025 karta.png", "A 55763-2025")</f>
        <v/>
      </c>
      <c r="V62">
        <f>HYPERLINK("https://klasma.github.io/Logging_0331/klagomål/A 55763-2025 FSC-klagomål.docx", "A 55763-2025")</f>
        <v/>
      </c>
      <c r="W62">
        <f>HYPERLINK("https://klasma.github.io/Logging_0331/klagomålsmail/A 55763-2025 FSC-klagomål mail.docx", "A 55763-2025")</f>
        <v/>
      </c>
      <c r="X62">
        <f>HYPERLINK("https://klasma.github.io/Logging_0331/tillsyn/A 55763-2025 tillsynsbegäran.docx", "A 55763-2025")</f>
        <v/>
      </c>
      <c r="Y62">
        <f>HYPERLINK("https://klasma.github.io/Logging_0331/tillsynsmail/A 55763-2025 tillsynsbegäran mail.docx", "A 55763-2025")</f>
        <v/>
      </c>
    </row>
    <row r="63" ht="15" customHeight="1">
      <c r="A63" t="inlineStr">
        <is>
          <t>A 17697-2024</t>
        </is>
      </c>
      <c r="B63" s="1" t="n">
        <v>45418</v>
      </c>
      <c r="C63" s="1" t="n">
        <v>46198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Mindre bastardsvärmare</t>
        </is>
      </c>
      <c r="S63">
        <f>HYPERLINK("https://klasma.github.io/Logging_0331/artfynd/A 17697-2024 artfynd.xlsx", "A 17697-2024")</f>
        <v/>
      </c>
      <c r="T63">
        <f>HYPERLINK("https://klasma.github.io/Logging_0331/kartor/A 17697-2024 karta.png", "A 17697-2024")</f>
        <v/>
      </c>
      <c r="V63">
        <f>HYPERLINK("https://klasma.github.io/Logging_0331/klagomål/A 17697-2024 FSC-klagomål.docx", "A 17697-2024")</f>
        <v/>
      </c>
      <c r="W63">
        <f>HYPERLINK("https://klasma.github.io/Logging_0331/klagomålsmail/A 17697-2024 FSC-klagomål mail.docx", "A 17697-2024")</f>
        <v/>
      </c>
      <c r="X63">
        <f>HYPERLINK("https://klasma.github.io/Logging_0331/tillsyn/A 17697-2024 tillsynsbegäran.docx", "A 17697-2024")</f>
        <v/>
      </c>
      <c r="Y63">
        <f>HYPERLINK("https://klasma.github.io/Logging_0331/tillsynsmail/A 17697-2024 tillsynsbegäran mail.docx", "A 17697-2024")</f>
        <v/>
      </c>
    </row>
    <row r="64" ht="15" customHeight="1">
      <c r="A64" t="inlineStr">
        <is>
          <t>A 19751-2023</t>
        </is>
      </c>
      <c r="B64" s="1" t="n">
        <v>45050</v>
      </c>
      <c r="C64" s="1" t="n">
        <v>46198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19751-2023 artfynd.xlsx", "A 19751-2023")</f>
        <v/>
      </c>
      <c r="T64">
        <f>HYPERLINK("https://klasma.github.io/Logging_0331/kartor/A 19751-2023 karta.png", "A 19751-2023")</f>
        <v/>
      </c>
      <c r="U64">
        <f>HYPERLINK("https://klasma.github.io/Logging_0331/knärot/A 19751-2023 karta knärot.png", "A 19751-2023")</f>
        <v/>
      </c>
      <c r="V64">
        <f>HYPERLINK("https://klasma.github.io/Logging_0331/klagomål/A 19751-2023 FSC-klagomål.docx", "A 19751-2023")</f>
        <v/>
      </c>
      <c r="W64">
        <f>HYPERLINK("https://klasma.github.io/Logging_0331/klagomålsmail/A 19751-2023 FSC-klagomål mail.docx", "A 19751-2023")</f>
        <v/>
      </c>
      <c r="X64">
        <f>HYPERLINK("https://klasma.github.io/Logging_0331/tillsyn/A 19751-2023 tillsynsbegäran.docx", "A 19751-2023")</f>
        <v/>
      </c>
      <c r="Y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46198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57986-2025</t>
        </is>
      </c>
      <c r="B66" s="1" t="n">
        <v>45982</v>
      </c>
      <c r="C66" s="1" t="n">
        <v>46198</v>
      </c>
      <c r="D66" t="inlineStr">
        <is>
          <t>UPPSALA LÄN</t>
        </is>
      </c>
      <c r="E66" t="inlineStr">
        <is>
          <t>HEBY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HYPERLINK("https://klasma.github.io/Logging_0331/artfynd/A 57986-2025 artfynd.xlsx", "A 57986-2025")</f>
        <v/>
      </c>
      <c r="T66">
        <f>HYPERLINK("https://klasma.github.io/Logging_0331/kartor/A 57986-2025 karta.png", "A 57986-2025")</f>
        <v/>
      </c>
      <c r="V66">
        <f>HYPERLINK("https://klasma.github.io/Logging_0331/klagomål/A 57986-2025 FSC-klagomål.docx", "A 57986-2025")</f>
        <v/>
      </c>
      <c r="W66">
        <f>HYPERLINK("https://klasma.github.io/Logging_0331/klagomålsmail/A 57986-2025 FSC-klagomål mail.docx", "A 57986-2025")</f>
        <v/>
      </c>
      <c r="X66">
        <f>HYPERLINK("https://klasma.github.io/Logging_0331/tillsyn/A 57986-2025 tillsynsbegäran.docx", "A 57986-2025")</f>
        <v/>
      </c>
      <c r="Y66">
        <f>HYPERLINK("https://klasma.github.io/Logging_0331/tillsynsmail/A 57986-2025 tillsynsbegäran mail.docx", "A 57986-2025")</f>
        <v/>
      </c>
    </row>
    <row r="67" ht="15" customHeight="1">
      <c r="A67" t="inlineStr">
        <is>
          <t>A 37076-2021</t>
        </is>
      </c>
      <c r="B67" s="1" t="n">
        <v>44395</v>
      </c>
      <c r="C67" s="1" t="n">
        <v>46198</v>
      </c>
      <c r="D67" t="inlineStr">
        <is>
          <t>UPPSALA LÄN</t>
        </is>
      </c>
      <c r="E67" t="inlineStr">
        <is>
          <t>HEBY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HYPERLINK("https://klasma.github.io/Logging_0331/artfynd/A 37076-2021 artfynd.xlsx", "A 37076-2021")</f>
        <v/>
      </c>
      <c r="T67">
        <f>HYPERLINK("https://klasma.github.io/Logging_0331/kartor/A 37076-2021 karta.png", "A 37076-2021")</f>
        <v/>
      </c>
      <c r="U67">
        <f>HYPERLINK("https://klasma.github.io/Logging_0331/knärot/A 37076-2021 karta knärot.png", "A 37076-2021")</f>
        <v/>
      </c>
      <c r="V67">
        <f>HYPERLINK("https://klasma.github.io/Logging_0331/klagomål/A 37076-2021 FSC-klagomål.docx", "A 37076-2021")</f>
        <v/>
      </c>
      <c r="W67">
        <f>HYPERLINK("https://klasma.github.io/Logging_0331/klagomålsmail/A 37076-2021 FSC-klagomål mail.docx", "A 37076-2021")</f>
        <v/>
      </c>
      <c r="X67">
        <f>HYPERLINK("https://klasma.github.io/Logging_0331/tillsyn/A 37076-2021 tillsynsbegäran.docx", "A 37076-2021")</f>
        <v/>
      </c>
      <c r="Y67">
        <f>HYPERLINK("https://klasma.github.io/Logging_0331/tillsynsmail/A 37076-2021 tillsynsbegäran mail.docx", "A 37076-2021")</f>
        <v/>
      </c>
    </row>
    <row r="68" ht="15" customHeight="1">
      <c r="A68" t="inlineStr">
        <is>
          <t>A 6398-2026</t>
        </is>
      </c>
      <c r="B68" s="1" t="n">
        <v>46055</v>
      </c>
      <c r="C68" s="1" t="n">
        <v>46198</v>
      </c>
      <c r="D68" t="inlineStr">
        <is>
          <t>UPPSALA LÄN</t>
        </is>
      </c>
      <c r="E68" t="inlineStr">
        <is>
          <t>HEBY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HYPERLINK("https://klasma.github.io/Logging_0331/artfynd/A 6398-2026 artfynd.xlsx", "A 6398-2026")</f>
        <v/>
      </c>
      <c r="T68">
        <f>HYPERLINK("https://klasma.github.io/Logging_0331/kartor/A 6398-2026 karta.png", "A 6398-2026")</f>
        <v/>
      </c>
      <c r="V68">
        <f>HYPERLINK("https://klasma.github.io/Logging_0331/klagomål/A 6398-2026 FSC-klagomål.docx", "A 6398-2026")</f>
        <v/>
      </c>
      <c r="W68">
        <f>HYPERLINK("https://klasma.github.io/Logging_0331/klagomålsmail/A 6398-2026 FSC-klagomål mail.docx", "A 6398-2026")</f>
        <v/>
      </c>
      <c r="X68">
        <f>HYPERLINK("https://klasma.github.io/Logging_0331/tillsyn/A 6398-2026 tillsynsbegäran.docx", "A 6398-2026")</f>
        <v/>
      </c>
      <c r="Y68">
        <f>HYPERLINK("https://klasma.github.io/Logging_0331/tillsynsmail/A 6398-2026 tillsynsbegäran mail.docx", "A 6398-2026")</f>
        <v/>
      </c>
    </row>
    <row r="69" ht="15" customHeight="1">
      <c r="A69" t="inlineStr">
        <is>
          <t>A 9455-2026</t>
        </is>
      </c>
      <c r="B69" s="1" t="n">
        <v>46071</v>
      </c>
      <c r="C69" s="1" t="n">
        <v>46198</v>
      </c>
      <c r="D69" t="inlineStr">
        <is>
          <t>UPPSALA LÄN</t>
        </is>
      </c>
      <c r="E69" t="inlineStr">
        <is>
          <t>HEBY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Kungsspindling</t>
        </is>
      </c>
      <c r="S69">
        <f>HYPERLINK("https://klasma.github.io/Logging_0331/artfynd/A 9455-2026 artfynd.xlsx", "A 9455-2026")</f>
        <v/>
      </c>
      <c r="T69">
        <f>HYPERLINK("https://klasma.github.io/Logging_0331/kartor/A 9455-2026 karta.png", "A 9455-2026")</f>
        <v/>
      </c>
      <c r="V69">
        <f>HYPERLINK("https://klasma.github.io/Logging_0331/klagomål/A 9455-2026 FSC-klagomål.docx", "A 9455-2026")</f>
        <v/>
      </c>
      <c r="W69">
        <f>HYPERLINK("https://klasma.github.io/Logging_0331/klagomålsmail/A 9455-2026 FSC-klagomål mail.docx", "A 9455-2026")</f>
        <v/>
      </c>
      <c r="X69">
        <f>HYPERLINK("https://klasma.github.io/Logging_0331/tillsyn/A 9455-2026 tillsynsbegäran.docx", "A 9455-2026")</f>
        <v/>
      </c>
      <c r="Y69">
        <f>HYPERLINK("https://klasma.github.io/Logging_0331/tillsynsmail/A 9455-2026 tillsynsbegäran mail.docx", "A 9455-2026")</f>
        <v/>
      </c>
    </row>
    <row r="70" ht="15" customHeight="1">
      <c r="A70" t="inlineStr">
        <is>
          <t>A 9357-2026</t>
        </is>
      </c>
      <c r="B70" s="1" t="n">
        <v>46070</v>
      </c>
      <c r="C70" s="1" t="n">
        <v>46198</v>
      </c>
      <c r="D70" t="inlineStr">
        <is>
          <t>UPPSALA LÄN</t>
        </is>
      </c>
      <c r="E70" t="inlineStr">
        <is>
          <t>HEBY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HYPERLINK("https://klasma.github.io/Logging_0331/artfynd/A 9357-2026 artfynd.xlsx", "A 9357-2026")</f>
        <v/>
      </c>
      <c r="T70">
        <f>HYPERLINK("https://klasma.github.io/Logging_0331/kartor/A 9357-2026 karta.png", "A 9357-2026")</f>
        <v/>
      </c>
      <c r="V70">
        <f>HYPERLINK("https://klasma.github.io/Logging_0331/klagomål/A 9357-2026 FSC-klagomål.docx", "A 9357-2026")</f>
        <v/>
      </c>
      <c r="W70">
        <f>HYPERLINK("https://klasma.github.io/Logging_0331/klagomålsmail/A 9357-2026 FSC-klagomål mail.docx", "A 9357-2026")</f>
        <v/>
      </c>
      <c r="X70">
        <f>HYPERLINK("https://klasma.github.io/Logging_0331/tillsyn/A 9357-2026 tillsynsbegäran.docx", "A 9357-2026")</f>
        <v/>
      </c>
      <c r="Y70">
        <f>HYPERLINK("https://klasma.github.io/Logging_0331/tillsynsmail/A 9357-2026 tillsynsbegäran mail.docx", "A 9357-2026")</f>
        <v/>
      </c>
      <c r="Z70">
        <f>HYPERLINK("https://klasma.github.io/Logging_0331/fåglar/A 9357-2026 prioriterade fågelarter.docx", "A 9357-2026")</f>
        <v/>
      </c>
    </row>
    <row r="71" ht="15" customHeight="1">
      <c r="A71" t="inlineStr">
        <is>
          <t>A 9358-2026</t>
        </is>
      </c>
      <c r="B71" s="1" t="n">
        <v>46070</v>
      </c>
      <c r="C71" s="1" t="n">
        <v>46198</v>
      </c>
      <c r="D71" t="inlineStr">
        <is>
          <t>UPPSALA LÄN</t>
        </is>
      </c>
      <c r="E71" t="inlineStr">
        <is>
          <t>HEBY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9358-2026 artfynd.xlsx", "A 9358-2026")</f>
        <v/>
      </c>
      <c r="T71">
        <f>HYPERLINK("https://klasma.github.io/Logging_0331/kartor/A 9358-2026 karta.png", "A 9358-2026")</f>
        <v/>
      </c>
      <c r="V71">
        <f>HYPERLINK("https://klasma.github.io/Logging_0331/klagomål/A 9358-2026 FSC-klagomål.docx", "A 9358-2026")</f>
        <v/>
      </c>
      <c r="W71">
        <f>HYPERLINK("https://klasma.github.io/Logging_0331/klagomålsmail/A 9358-2026 FSC-klagomål mail.docx", "A 9358-2026")</f>
        <v/>
      </c>
      <c r="X71">
        <f>HYPERLINK("https://klasma.github.io/Logging_0331/tillsyn/A 9358-2026 tillsynsbegäran.docx", "A 9358-2026")</f>
        <v/>
      </c>
      <c r="Y71">
        <f>HYPERLINK("https://klasma.github.io/Logging_0331/tillsynsmail/A 9358-2026 tillsynsbegäran mail.docx", "A 9358-2026")</f>
        <v/>
      </c>
    </row>
    <row r="72" ht="15" customHeight="1">
      <c r="A72" t="inlineStr">
        <is>
          <t>A 61598-2021</t>
        </is>
      </c>
      <c r="B72" s="1" t="n">
        <v>44501</v>
      </c>
      <c r="C72" s="1" t="n">
        <v>46198</v>
      </c>
      <c r="D72" t="inlineStr">
        <is>
          <t>UPPSALA LÄN</t>
        </is>
      </c>
      <c r="E72" t="inlineStr">
        <is>
          <t>HEBY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Trana</t>
        </is>
      </c>
      <c r="S72">
        <f>HYPERLINK("https://klasma.github.io/Logging_0331/artfynd/A 61598-2021 artfynd.xlsx", "A 61598-2021")</f>
        <v/>
      </c>
      <c r="T72">
        <f>HYPERLINK("https://klasma.github.io/Logging_0331/kartor/A 61598-2021 karta.png", "A 61598-2021")</f>
        <v/>
      </c>
      <c r="V72">
        <f>HYPERLINK("https://klasma.github.io/Logging_0331/klagomål/A 61598-2021 FSC-klagomål.docx", "A 61598-2021")</f>
        <v/>
      </c>
      <c r="W72">
        <f>HYPERLINK("https://klasma.github.io/Logging_0331/klagomålsmail/A 61598-2021 FSC-klagomål mail.docx", "A 61598-2021")</f>
        <v/>
      </c>
      <c r="X72">
        <f>HYPERLINK("https://klasma.github.io/Logging_0331/tillsyn/A 61598-2021 tillsynsbegäran.docx", "A 61598-2021")</f>
        <v/>
      </c>
      <c r="Y72">
        <f>HYPERLINK("https://klasma.github.io/Logging_0331/tillsynsmail/A 61598-2021 tillsynsbegäran mail.docx", "A 61598-2021")</f>
        <v/>
      </c>
      <c r="Z72">
        <f>HYPERLINK("https://klasma.github.io/Logging_0331/fåglar/A 61598-2021 prioriterade fågelarter.docx", "A 61598-2021")</f>
        <v/>
      </c>
    </row>
    <row r="73" ht="15" customHeight="1">
      <c r="A73" t="inlineStr">
        <is>
          <t>A 11560-2026</t>
        </is>
      </c>
      <c r="B73" s="1" t="n">
        <v>46084</v>
      </c>
      <c r="C73" s="1" t="n">
        <v>46198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vattensalamander</t>
        </is>
      </c>
      <c r="S73">
        <f>HYPERLINK("https://klasma.github.io/Logging_0331/artfynd/A 11560-2026 artfynd.xlsx", "A 11560-2026")</f>
        <v/>
      </c>
      <c r="T73">
        <f>HYPERLINK("https://klasma.github.io/Logging_0331/kartor/A 11560-2026 karta.png", "A 11560-2026")</f>
        <v/>
      </c>
      <c r="V73">
        <f>HYPERLINK("https://klasma.github.io/Logging_0331/klagomål/A 11560-2026 FSC-klagomål.docx", "A 11560-2026")</f>
        <v/>
      </c>
      <c r="W73">
        <f>HYPERLINK("https://klasma.github.io/Logging_0331/klagomålsmail/A 11560-2026 FSC-klagomål mail.docx", "A 11560-2026")</f>
        <v/>
      </c>
      <c r="X73">
        <f>HYPERLINK("https://klasma.github.io/Logging_0331/tillsyn/A 11560-2026 tillsynsbegäran.docx", "A 11560-2026")</f>
        <v/>
      </c>
      <c r="Y73">
        <f>HYPERLINK("https://klasma.github.io/Logging_0331/tillsynsmail/A 11560-2026 tillsynsbegäran mail.docx", "A 11560-2026")</f>
        <v/>
      </c>
    </row>
    <row r="74" ht="15" customHeight="1">
      <c r="A74" t="inlineStr">
        <is>
          <t>A 11841-2026</t>
        </is>
      </c>
      <c r="B74" s="1" t="n">
        <v>46085</v>
      </c>
      <c r="C74" s="1" t="n">
        <v>46198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HYPERLINK("https://klasma.github.io/Logging_0331/artfynd/A 11841-2026 artfynd.xlsx", "A 11841-2026")</f>
        <v/>
      </c>
      <c r="T74">
        <f>HYPERLINK("https://klasma.github.io/Logging_0331/kartor/A 11841-2026 karta.png", "A 11841-2026")</f>
        <v/>
      </c>
      <c r="V74">
        <f>HYPERLINK("https://klasma.github.io/Logging_0331/klagomål/A 11841-2026 FSC-klagomål.docx", "A 11841-2026")</f>
        <v/>
      </c>
      <c r="W74">
        <f>HYPERLINK("https://klasma.github.io/Logging_0331/klagomålsmail/A 11841-2026 FSC-klagomål mail.docx", "A 11841-2026")</f>
        <v/>
      </c>
      <c r="X74">
        <f>HYPERLINK("https://klasma.github.io/Logging_0331/tillsyn/A 11841-2026 tillsynsbegäran.docx", "A 11841-2026")</f>
        <v/>
      </c>
      <c r="Y74">
        <f>HYPERLINK("https://klasma.github.io/Logging_0331/tillsynsmail/A 11841-2026 tillsynsbegäran mail.docx", "A 11841-2026")</f>
        <v/>
      </c>
    </row>
    <row r="75" ht="15" customHeight="1">
      <c r="A75" t="inlineStr">
        <is>
          <t>A 27871-2023</t>
        </is>
      </c>
      <c r="B75" s="1" t="n">
        <v>45098</v>
      </c>
      <c r="C75" s="1" t="n">
        <v>46198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HYPERLINK("https://klasma.github.io/Logging_0331/artfynd/A 27871-2023 artfynd.xlsx", "A 27871-2023")</f>
        <v/>
      </c>
      <c r="T75">
        <f>HYPERLINK("https://klasma.github.io/Logging_0331/kartor/A 27871-2023 karta.png", "A 27871-2023")</f>
        <v/>
      </c>
      <c r="V75">
        <f>HYPERLINK("https://klasma.github.io/Logging_0331/klagomål/A 27871-2023 FSC-klagomål.docx", "A 27871-2023")</f>
        <v/>
      </c>
      <c r="W75">
        <f>HYPERLINK("https://klasma.github.io/Logging_0331/klagomålsmail/A 27871-2023 FSC-klagomål mail.docx", "A 27871-2023")</f>
        <v/>
      </c>
      <c r="X75">
        <f>HYPERLINK("https://klasma.github.io/Logging_0331/tillsyn/A 27871-2023 tillsynsbegäran.docx", "A 27871-2023")</f>
        <v/>
      </c>
      <c r="Y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46198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9618-2026</t>
        </is>
      </c>
      <c r="B77" s="1" t="n">
        <v>46072</v>
      </c>
      <c r="C77" s="1" t="n">
        <v>46198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HYPERLINK("https://klasma.github.io/Logging_0331/artfynd/A 9618-2026 artfynd.xlsx", "A 9618-2026")</f>
        <v/>
      </c>
      <c r="T77">
        <f>HYPERLINK("https://klasma.github.io/Logging_0331/kartor/A 9618-2026 karta.png", "A 9618-2026")</f>
        <v/>
      </c>
      <c r="V77">
        <f>HYPERLINK("https://klasma.github.io/Logging_0331/klagomål/A 9618-2026 FSC-klagomål.docx", "A 9618-2026")</f>
        <v/>
      </c>
      <c r="W77">
        <f>HYPERLINK("https://klasma.github.io/Logging_0331/klagomålsmail/A 9618-2026 FSC-klagomål mail.docx", "A 9618-2026")</f>
        <v/>
      </c>
      <c r="X77">
        <f>HYPERLINK("https://klasma.github.io/Logging_0331/tillsyn/A 9618-2026 tillsynsbegäran.docx", "A 9618-2026")</f>
        <v/>
      </c>
      <c r="Y77">
        <f>HYPERLINK("https://klasma.github.io/Logging_0331/tillsynsmail/A 9618-2026 tillsynsbegäran mail.docx", "A 9618-2026")</f>
        <v/>
      </c>
    </row>
    <row r="78" ht="15" customHeight="1">
      <c r="A78" t="inlineStr">
        <is>
          <t>A 31569-2023</t>
        </is>
      </c>
      <c r="B78" s="1" t="n">
        <v>45117</v>
      </c>
      <c r="C78" s="1" t="n">
        <v>46198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HYPERLINK("https://klasma.github.io/Logging_0331/artfynd/A 31569-2023 artfynd.xlsx", "A 31569-2023")</f>
        <v/>
      </c>
      <c r="T78">
        <f>HYPERLINK("https://klasma.github.io/Logging_0331/kartor/A 31569-2023 karta.png", "A 31569-2023")</f>
        <v/>
      </c>
      <c r="U78">
        <f>HYPERLINK("https://klasma.github.io/Logging_0331/knärot/A 31569-2023 karta knärot.png", "A 31569-2023")</f>
        <v/>
      </c>
      <c r="V78">
        <f>HYPERLINK("https://klasma.github.io/Logging_0331/klagomål/A 31569-2023 FSC-klagomål.docx", "A 31569-2023")</f>
        <v/>
      </c>
      <c r="W78">
        <f>HYPERLINK("https://klasma.github.io/Logging_0331/klagomålsmail/A 31569-2023 FSC-klagomål mail.docx", "A 31569-2023")</f>
        <v/>
      </c>
      <c r="X78">
        <f>HYPERLINK("https://klasma.github.io/Logging_0331/tillsyn/A 31569-2023 tillsynsbegäran.docx", "A 31569-2023")</f>
        <v/>
      </c>
      <c r="Y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s="1" t="n">
        <v>45469</v>
      </c>
      <c r="C79" s="1" t="n">
        <v>46198</v>
      </c>
      <c r="D79" t="inlineStr">
        <is>
          <t>UPPSALA LÄN</t>
        </is>
      </c>
      <c r="E79" t="inlineStr">
        <is>
          <t>HEBY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Stenichnus poweri</t>
        </is>
      </c>
      <c r="S79">
        <f>HYPERLINK("https://klasma.github.io/Logging_0331/artfynd/A 26596-2024 artfynd.xlsx", "A 26596-2024")</f>
        <v/>
      </c>
      <c r="T79">
        <f>HYPERLINK("https://klasma.github.io/Logging_0331/kartor/A 26596-2024 karta.png", "A 26596-2024")</f>
        <v/>
      </c>
      <c r="V79">
        <f>HYPERLINK("https://klasma.github.io/Logging_0331/klagomål/A 26596-2024 FSC-klagomål.docx", "A 26596-2024")</f>
        <v/>
      </c>
      <c r="W79">
        <f>HYPERLINK("https://klasma.github.io/Logging_0331/klagomålsmail/A 26596-2024 FSC-klagomål mail.docx", "A 26596-2024")</f>
        <v/>
      </c>
      <c r="X79">
        <f>HYPERLINK("https://klasma.github.io/Logging_0331/tillsyn/A 26596-2024 tillsynsbegäran.docx", "A 26596-2024")</f>
        <v/>
      </c>
      <c r="Y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46198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s="1" t="n">
        <v>45208</v>
      </c>
      <c r="C81" s="1" t="n">
        <v>46198</v>
      </c>
      <c r="D81" t="inlineStr">
        <is>
          <t>UPPSALA LÄN</t>
        </is>
      </c>
      <c r="E81" t="inlineStr">
        <is>
          <t>HEBY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Granbarkgnagare</t>
        </is>
      </c>
      <c r="S81">
        <f>HYPERLINK("https://klasma.github.io/Logging_0331/artfynd/A 49707-2023 artfynd.xlsx", "A 49707-2023")</f>
        <v/>
      </c>
      <c r="T81">
        <f>HYPERLINK("https://klasma.github.io/Logging_0331/kartor/A 49707-2023 karta.png", "A 49707-2023")</f>
        <v/>
      </c>
      <c r="V81">
        <f>HYPERLINK("https://klasma.github.io/Logging_0331/klagomål/A 49707-2023 FSC-klagomål.docx", "A 49707-2023")</f>
        <v/>
      </c>
      <c r="W81">
        <f>HYPERLINK("https://klasma.github.io/Logging_0331/klagomålsmail/A 49707-2023 FSC-klagomål mail.docx", "A 49707-2023")</f>
        <v/>
      </c>
      <c r="X81">
        <f>HYPERLINK("https://klasma.github.io/Logging_0331/tillsyn/A 49707-2023 tillsynsbegäran.docx", "A 49707-2023")</f>
        <v/>
      </c>
      <c r="Y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s="1" t="n">
        <v>45278</v>
      </c>
      <c r="C82" s="1" t="n">
        <v>46198</v>
      </c>
      <c r="D82" t="inlineStr">
        <is>
          <t>UPPSALA LÄN</t>
        </is>
      </c>
      <c r="E82" t="inlineStr">
        <is>
          <t>HEBY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Gullpudra</t>
        </is>
      </c>
      <c r="S82">
        <f>HYPERLINK("https://klasma.github.io/Logging_0331/artfynd/A 63940-2023 artfynd.xlsx", "A 63940-2023")</f>
        <v/>
      </c>
      <c r="T82">
        <f>HYPERLINK("https://klasma.github.io/Logging_0331/kartor/A 63940-2023 karta.png", "A 63940-2023")</f>
        <v/>
      </c>
      <c r="V82">
        <f>HYPERLINK("https://klasma.github.io/Logging_0331/klagomål/A 63940-2023 FSC-klagomål.docx", "A 63940-2023")</f>
        <v/>
      </c>
      <c r="W82">
        <f>HYPERLINK("https://klasma.github.io/Logging_0331/klagomålsmail/A 63940-2023 FSC-klagomål mail.docx", "A 63940-2023")</f>
        <v/>
      </c>
      <c r="X82">
        <f>HYPERLINK("https://klasma.github.io/Logging_0331/tillsyn/A 63940-2023 tillsynsbegäran.docx", "A 63940-2023")</f>
        <v/>
      </c>
      <c r="Y82">
        <f>HYPERLINK("https://klasma.github.io/Logging_0331/tillsynsmail/A 63940-2023 tillsynsbegäran mail.docx", "A 63940-2023")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46198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46198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46198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37980-2021</t>
        </is>
      </c>
      <c r="B86" s="1" t="n">
        <v>44404</v>
      </c>
      <c r="C86" s="1" t="n">
        <v>46198</v>
      </c>
      <c r="D86" t="inlineStr">
        <is>
          <t>UPPSALA LÄN</t>
        </is>
      </c>
      <c r="E86" t="inlineStr">
        <is>
          <t>HEBY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38050-2021</t>
        </is>
      </c>
      <c r="B87" s="1" t="n">
        <v>44404</v>
      </c>
      <c r="C87" s="1" t="n">
        <v>46198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38051-2021</t>
        </is>
      </c>
      <c r="B88" s="1" t="n">
        <v>44404</v>
      </c>
      <c r="C88" s="1" t="n">
        <v>46198</v>
      </c>
      <c r="D88" t="inlineStr">
        <is>
          <t>UPPSALA LÄN</t>
        </is>
      </c>
      <c r="E88" t="inlineStr">
        <is>
          <t>HEBY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9824-2022</t>
        </is>
      </c>
      <c r="B89" s="1" t="n">
        <v>44620</v>
      </c>
      <c r="C89" s="1" t="n">
        <v>46198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46198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46198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46198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46198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9167-2022</t>
        </is>
      </c>
      <c r="B94" s="1" t="n">
        <v>44615</v>
      </c>
      <c r="C94" s="1" t="n">
        <v>46198</v>
      </c>
      <c r="D94" t="inlineStr">
        <is>
          <t>UPPSALA LÄN</t>
        </is>
      </c>
      <c r="E94" t="inlineStr">
        <is>
          <t>HEBY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52424-2021</t>
        </is>
      </c>
      <c r="B95" s="1" t="n">
        <v>44466</v>
      </c>
      <c r="C95" s="1" t="n">
        <v>46198</v>
      </c>
      <c r="D95" t="inlineStr">
        <is>
          <t>UPPSALA LÄN</t>
        </is>
      </c>
      <c r="E95" t="inlineStr">
        <is>
          <t>HEBY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65623-2021</t>
        </is>
      </c>
      <c r="B96" s="1" t="n">
        <v>44516</v>
      </c>
      <c r="C96" s="1" t="n">
        <v>46198</v>
      </c>
      <c r="D96" t="inlineStr">
        <is>
          <t>UPPSALA LÄN</t>
        </is>
      </c>
      <c r="E96" t="inlineStr">
        <is>
          <t>HEBY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64413-2021</t>
        </is>
      </c>
      <c r="B97" s="1" t="n">
        <v>44511</v>
      </c>
      <c r="C97" s="1" t="n">
        <v>46198</v>
      </c>
      <c r="D97" t="inlineStr">
        <is>
          <t>UPPSALA LÄN</t>
        </is>
      </c>
      <c r="E97" t="inlineStr">
        <is>
          <t>HEBY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3574-2022</t>
        </is>
      </c>
      <c r="B98" s="1" t="n">
        <v>44586</v>
      </c>
      <c r="C98" s="1" t="n">
        <v>46198</v>
      </c>
      <c r="D98" t="inlineStr">
        <is>
          <t>UPPSALA LÄN</t>
        </is>
      </c>
      <c r="E98" t="inlineStr">
        <is>
          <t>HEBY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30182-2022</t>
        </is>
      </c>
      <c r="B99" s="1" t="n">
        <v>44757</v>
      </c>
      <c r="C99" s="1" t="n">
        <v>46198</v>
      </c>
      <c r="D99" t="inlineStr">
        <is>
          <t>UPPSALA LÄN</t>
        </is>
      </c>
      <c r="E99" t="inlineStr">
        <is>
          <t>HEBY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3496-2022</t>
        </is>
      </c>
      <c r="B100" s="1" t="n">
        <v>44585</v>
      </c>
      <c r="C100" s="1" t="n">
        <v>46198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63955-2021</t>
        </is>
      </c>
      <c r="B101" s="1" t="n">
        <v>44509</v>
      </c>
      <c r="C101" s="1" t="n">
        <v>46198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63501-2021</t>
        </is>
      </c>
      <c r="B102" s="1" t="n">
        <v>44508</v>
      </c>
      <c r="C102" s="1" t="n">
        <v>46198</v>
      </c>
      <c r="D102" t="inlineStr">
        <is>
          <t>UPPSALA LÄN</t>
        </is>
      </c>
      <c r="E102" t="inlineStr">
        <is>
          <t>HEBY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46198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2128-2022</t>
        </is>
      </c>
      <c r="B104" s="1" t="n">
        <v>44578</v>
      </c>
      <c r="C104" s="1" t="n">
        <v>46198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56376-2021</t>
        </is>
      </c>
      <c r="B105" s="1" t="n">
        <v>44480</v>
      </c>
      <c r="C105" s="1" t="n">
        <v>46198</v>
      </c>
      <c r="D105" t="inlineStr">
        <is>
          <t>UPPSALA LÄN</t>
        </is>
      </c>
      <c r="E105" t="inlineStr">
        <is>
          <t>HEBY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46198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46198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46198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46198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38859-2021</t>
        </is>
      </c>
      <c r="B110" s="1" t="n">
        <v>44411</v>
      </c>
      <c r="C110" s="1" t="n">
        <v>46198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63047-2021</t>
        </is>
      </c>
      <c r="B111" s="1" t="n">
        <v>44505</v>
      </c>
      <c r="C111" s="1" t="n">
        <v>46198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46198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48759-2021</t>
        </is>
      </c>
      <c r="B113" s="1" t="n">
        <v>44452</v>
      </c>
      <c r="C113" s="1" t="n">
        <v>46198</v>
      </c>
      <c r="D113" t="inlineStr">
        <is>
          <t>UPPSALA LÄN</t>
        </is>
      </c>
      <c r="E113" t="inlineStr">
        <is>
          <t>HEBY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</v>
      </c>
      <c r="C114" s="1" t="n">
        <v>46198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</v>
      </c>
      <c r="C115" s="1" t="n">
        <v>46198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46198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46198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46198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</v>
      </c>
      <c r="C119" s="1" t="n">
        <v>46198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42855-2022</t>
        </is>
      </c>
      <c r="B120" s="1" t="n">
        <v>44832</v>
      </c>
      <c r="C120" s="1" t="n">
        <v>46198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46198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46198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26316-2022</t>
        </is>
      </c>
      <c r="B123" s="1" t="n">
        <v>44735</v>
      </c>
      <c r="C123" s="1" t="n">
        <v>46198</v>
      </c>
      <c r="D123" t="inlineStr">
        <is>
          <t>UPPSALA LÄN</t>
        </is>
      </c>
      <c r="E123" t="inlineStr">
        <is>
          <t>HEBY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27858-2022</t>
        </is>
      </c>
      <c r="B124" s="1" t="n">
        <v>44743</v>
      </c>
      <c r="C124" s="1" t="n">
        <v>46198</v>
      </c>
      <c r="D124" t="inlineStr">
        <is>
          <t>UPPSALA LÄN</t>
        </is>
      </c>
      <c r="E124" t="inlineStr">
        <is>
          <t>HEBY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66519-2021</t>
        </is>
      </c>
      <c r="B125" s="1" t="n">
        <v>44519</v>
      </c>
      <c r="C125" s="1" t="n">
        <v>46198</v>
      </c>
      <c r="D125" t="inlineStr">
        <is>
          <t>UPPSALA LÄN</t>
        </is>
      </c>
      <c r="E125" t="inlineStr">
        <is>
          <t>HEBY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46651-2022</t>
        </is>
      </c>
      <c r="B126" s="1" t="n">
        <v>44850</v>
      </c>
      <c r="C126" s="1" t="n">
        <v>46198</v>
      </c>
      <c r="D126" t="inlineStr">
        <is>
          <t>UPPSALA LÄN</t>
        </is>
      </c>
      <c r="E126" t="inlineStr">
        <is>
          <t>HEBY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8762-2022</t>
        </is>
      </c>
      <c r="B127" s="1" t="n">
        <v>44614</v>
      </c>
      <c r="C127" s="1" t="n">
        <v>46198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59599-2021</t>
        </is>
      </c>
      <c r="B128" s="1" t="n">
        <v>44491</v>
      </c>
      <c r="C128" s="1" t="n">
        <v>46198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24091-2022</t>
        </is>
      </c>
      <c r="B129" s="1" t="n">
        <v>44725</v>
      </c>
      <c r="C129" s="1" t="n">
        <v>46198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66818-2021</t>
        </is>
      </c>
      <c r="B130" s="1" t="n">
        <v>44522</v>
      </c>
      <c r="C130" s="1" t="n">
        <v>46198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46198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46198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46198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46198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</v>
      </c>
      <c r="C135" s="1" t="n">
        <v>46198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73385-2021</t>
        </is>
      </c>
      <c r="B136" s="1" t="n">
        <v>44551</v>
      </c>
      <c r="C136" s="1" t="n">
        <v>46198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46198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46198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</v>
      </c>
      <c r="C139" s="1" t="n">
        <v>46198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</v>
      </c>
      <c r="C140" s="1" t="n">
        <v>46198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</v>
      </c>
      <c r="C141" s="1" t="n">
        <v>46198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</v>
      </c>
      <c r="C142" s="1" t="n">
        <v>46198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46198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46198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</v>
      </c>
      <c r="C145" s="1" t="n">
        <v>46198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</v>
      </c>
      <c r="C146" s="1" t="n">
        <v>46198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</v>
      </c>
      <c r="C147" s="1" t="n">
        <v>46198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45009-2022</t>
        </is>
      </c>
      <c r="B148" s="1" t="n">
        <v>44841</v>
      </c>
      <c r="C148" s="1" t="n">
        <v>46198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</v>
      </c>
      <c r="C149" s="1" t="n">
        <v>46198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</v>
      </c>
      <c r="C150" s="1" t="n">
        <v>46198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46198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</v>
      </c>
      <c r="C152" s="1" t="n">
        <v>46198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35875-2022</t>
        </is>
      </c>
      <c r="B153" s="1" t="n">
        <v>44802</v>
      </c>
      <c r="C153" s="1" t="n">
        <v>46198</v>
      </c>
      <c r="D153" t="inlineStr">
        <is>
          <t>UPPSALA LÄN</t>
        </is>
      </c>
      <c r="E153" t="inlineStr">
        <is>
          <t>HEBY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33729-2023</t>
        </is>
      </c>
      <c r="B154" s="1" t="n">
        <v>45133</v>
      </c>
      <c r="C154" s="1" t="n">
        <v>46198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25419-2022</t>
        </is>
      </c>
      <c r="B155" s="1" t="n">
        <v>44732</v>
      </c>
      <c r="C155" s="1" t="n">
        <v>46198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50163-2024</t>
        </is>
      </c>
      <c r="B156" s="1" t="n">
        <v>45599</v>
      </c>
      <c r="C156" s="1" t="n">
        <v>46198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19896-2022</t>
        </is>
      </c>
      <c r="B157" s="1" t="n">
        <v>44697</v>
      </c>
      <c r="C157" s="1" t="n">
        <v>46198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31575-2023</t>
        </is>
      </c>
      <c r="B158" s="1" t="n">
        <v>45117</v>
      </c>
      <c r="C158" s="1" t="n">
        <v>46198</v>
      </c>
      <c r="D158" t="inlineStr">
        <is>
          <t>UPPSALA LÄN</t>
        </is>
      </c>
      <c r="E158" t="inlineStr">
        <is>
          <t>HEBY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1471-2025</t>
        </is>
      </c>
      <c r="B159" s="1" t="n">
        <v>45670</v>
      </c>
      <c r="C159" s="1" t="n">
        <v>46198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19654-2022</t>
        </is>
      </c>
      <c r="B160" s="1" t="n">
        <v>44694</v>
      </c>
      <c r="C160" s="1" t="n">
        <v>46198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17407-2023</t>
        </is>
      </c>
      <c r="B161" s="1" t="n">
        <v>45035</v>
      </c>
      <c r="C161" s="1" t="n">
        <v>46198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16083-2025</t>
        </is>
      </c>
      <c r="B162" s="1" t="n">
        <v>45749</v>
      </c>
      <c r="C162" s="1" t="n">
        <v>46198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5570-2023</t>
        </is>
      </c>
      <c r="B163" s="1" t="n">
        <v>44960</v>
      </c>
      <c r="C163" s="1" t="n">
        <v>46198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18056-2025</t>
        </is>
      </c>
      <c r="B164" s="1" t="n">
        <v>45761</v>
      </c>
      <c r="C164" s="1" t="n">
        <v>46198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45313-2022</t>
        </is>
      </c>
      <c r="B165" s="1" t="n">
        <v>44844</v>
      </c>
      <c r="C165" s="1" t="n">
        <v>46198</v>
      </c>
      <c r="D165" t="inlineStr">
        <is>
          <t>UPPSALA LÄN</t>
        </is>
      </c>
      <c r="E165" t="inlineStr">
        <is>
          <t>HEBY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61038-2024</t>
        </is>
      </c>
      <c r="B166" s="1" t="n">
        <v>45645</v>
      </c>
      <c r="C166" s="1" t="n">
        <v>46198</v>
      </c>
      <c r="D166" t="inlineStr">
        <is>
          <t>UPPSALA LÄN</t>
        </is>
      </c>
      <c r="E166" t="inlineStr">
        <is>
          <t>HEBY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60788-2022</t>
        </is>
      </c>
      <c r="B167" s="1" t="n">
        <v>44914</v>
      </c>
      <c r="C167" s="1" t="n">
        <v>46198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70976-2021</t>
        </is>
      </c>
      <c r="B168" s="1" t="n">
        <v>44538</v>
      </c>
      <c r="C168" s="1" t="n">
        <v>46198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49971-2022</t>
        </is>
      </c>
      <c r="B169" s="1" t="n">
        <v>44865</v>
      </c>
      <c r="C169" s="1" t="n">
        <v>46198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4737-2025</t>
        </is>
      </c>
      <c r="B170" s="1" t="n">
        <v>45688</v>
      </c>
      <c r="C170" s="1" t="n">
        <v>46198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72180-2021</t>
        </is>
      </c>
      <c r="B171" s="1" t="n">
        <v>44543</v>
      </c>
      <c r="C171" s="1" t="n">
        <v>46198</v>
      </c>
      <c r="D171" t="inlineStr">
        <is>
          <t>UPPSALA LÄN</t>
        </is>
      </c>
      <c r="E171" t="inlineStr">
        <is>
          <t>HEBY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51521-2023</t>
        </is>
      </c>
      <c r="B172" s="1" t="n">
        <v>45215</v>
      </c>
      <c r="C172" s="1" t="n">
        <v>46198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33379-2022</t>
        </is>
      </c>
      <c r="B173" s="1" t="n">
        <v>44788</v>
      </c>
      <c r="C173" s="1" t="n">
        <v>46198</v>
      </c>
      <c r="D173" t="inlineStr">
        <is>
          <t>UPPSALA LÄN</t>
        </is>
      </c>
      <c r="E173" t="inlineStr">
        <is>
          <t>HEBY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</v>
      </c>
      <c r="C174" s="1" t="n">
        <v>46198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37782-2022</t>
        </is>
      </c>
      <c r="B175" s="1" t="n">
        <v>44810</v>
      </c>
      <c r="C175" s="1" t="n">
        <v>46198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5391-2024</t>
        </is>
      </c>
      <c r="B176" s="1" t="n">
        <v>45331</v>
      </c>
      <c r="C176" s="1" t="n">
        <v>46198</v>
      </c>
      <c r="D176" t="inlineStr">
        <is>
          <t>UPPSALA LÄN</t>
        </is>
      </c>
      <c r="E176" t="inlineStr">
        <is>
          <t>HEBY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18144-2022</t>
        </is>
      </c>
      <c r="B177" s="1" t="n">
        <v>44684</v>
      </c>
      <c r="C177" s="1" t="n">
        <v>46198</v>
      </c>
      <c r="D177" t="inlineStr">
        <is>
          <t>UPPSALA LÄN</t>
        </is>
      </c>
      <c r="E177" t="inlineStr">
        <is>
          <t>HEBY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18148-2022</t>
        </is>
      </c>
      <c r="B178" s="1" t="n">
        <v>44684</v>
      </c>
      <c r="C178" s="1" t="n">
        <v>46198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41.8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52955-2022</t>
        </is>
      </c>
      <c r="B179" s="1" t="n">
        <v>44875</v>
      </c>
      <c r="C179" s="1" t="n">
        <v>46198</v>
      </c>
      <c r="D179" t="inlineStr">
        <is>
          <t>UPPSALA LÄN</t>
        </is>
      </c>
      <c r="E179" t="inlineStr">
        <is>
          <t>HEBY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25995-2022</t>
        </is>
      </c>
      <c r="B180" s="1" t="n">
        <v>44734</v>
      </c>
      <c r="C180" s="1" t="n">
        <v>46198</v>
      </c>
      <c r="D180" t="inlineStr">
        <is>
          <t>UPPSALA LÄN</t>
        </is>
      </c>
      <c r="E180" t="inlineStr">
        <is>
          <t>HEBY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66873-2021</t>
        </is>
      </c>
      <c r="B181" s="1" t="n">
        <v>44522</v>
      </c>
      <c r="C181" s="1" t="n">
        <v>46198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56302-2021</t>
        </is>
      </c>
      <c r="B182" s="1" t="n">
        <v>44477</v>
      </c>
      <c r="C182" s="1" t="n">
        <v>46198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30433-2023</t>
        </is>
      </c>
      <c r="B183" s="1" t="n">
        <v>45111</v>
      </c>
      <c r="C183" s="1" t="n">
        <v>46198</v>
      </c>
      <c r="D183" t="inlineStr">
        <is>
          <t>UPPSALA LÄN</t>
        </is>
      </c>
      <c r="E183" t="inlineStr">
        <is>
          <t>HEBY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50859-2022</t>
        </is>
      </c>
      <c r="B184" s="1" t="n">
        <v>44862</v>
      </c>
      <c r="C184" s="1" t="n">
        <v>46198</v>
      </c>
      <c r="D184" t="inlineStr">
        <is>
          <t>UPPSALA LÄN</t>
        </is>
      </c>
      <c r="E184" t="inlineStr">
        <is>
          <t>HEBY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60722-2022</t>
        </is>
      </c>
      <c r="B185" s="1" t="n">
        <v>44913</v>
      </c>
      <c r="C185" s="1" t="n">
        <v>46198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20935-2024</t>
        </is>
      </c>
      <c r="B186" s="1" t="n">
        <v>45439</v>
      </c>
      <c r="C186" s="1" t="n">
        <v>46198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17-2024</t>
        </is>
      </c>
      <c r="B187" s="1" t="n">
        <v>45293</v>
      </c>
      <c r="C187" s="1" t="n">
        <v>46198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33394-2024</t>
        </is>
      </c>
      <c r="B188" s="1" t="n">
        <v>45519</v>
      </c>
      <c r="C188" s="1" t="n">
        <v>46198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38670-2024</t>
        </is>
      </c>
      <c r="B189" s="1" t="n">
        <v>45547</v>
      </c>
      <c r="C189" s="1" t="n">
        <v>46198</v>
      </c>
      <c r="D189" t="inlineStr">
        <is>
          <t>UPPSALA LÄN</t>
        </is>
      </c>
      <c r="E189" t="inlineStr">
        <is>
          <t>HEBY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9767-2023</t>
        </is>
      </c>
      <c r="B190" s="1" t="n">
        <v>44984</v>
      </c>
      <c r="C190" s="1" t="n">
        <v>46198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1752-2022</t>
        </is>
      </c>
      <c r="B191" s="1" t="n">
        <v>44574</v>
      </c>
      <c r="C191" s="1" t="n">
        <v>46198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3771-2024</t>
        </is>
      </c>
      <c r="B192" s="1" t="n">
        <v>45321</v>
      </c>
      <c r="C192" s="1" t="n">
        <v>46198</v>
      </c>
      <c r="D192" t="inlineStr">
        <is>
          <t>UPPSALA LÄN</t>
        </is>
      </c>
      <c r="E192" t="inlineStr">
        <is>
          <t>HEBY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55204-2022</t>
        </is>
      </c>
      <c r="B193" s="1" t="n">
        <v>44886</v>
      </c>
      <c r="C193" s="1" t="n">
        <v>46198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64191-2023</t>
        </is>
      </c>
      <c r="B194" s="1" t="n">
        <v>45279</v>
      </c>
      <c r="C194" s="1" t="n">
        <v>46198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4666-2025</t>
        </is>
      </c>
      <c r="B195" s="1" t="n">
        <v>45687</v>
      </c>
      <c r="C195" s="1" t="n">
        <v>46198</v>
      </c>
      <c r="D195" t="inlineStr">
        <is>
          <t>UPPSALA LÄN</t>
        </is>
      </c>
      <c r="E195" t="inlineStr">
        <is>
          <t>HEBY</t>
        </is>
      </c>
      <c r="F195" t="inlineStr">
        <is>
          <t>Övriga Aktiebolag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21310-2023</t>
        </is>
      </c>
      <c r="B196" s="1" t="n">
        <v>45058</v>
      </c>
      <c r="C196" s="1" t="n">
        <v>46198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23411-2024</t>
        </is>
      </c>
      <c r="B197" s="1" t="n">
        <v>45453</v>
      </c>
      <c r="C197" s="1" t="n">
        <v>46198</v>
      </c>
      <c r="D197" t="inlineStr">
        <is>
          <t>UPPSALA LÄN</t>
        </is>
      </c>
      <c r="E197" t="inlineStr">
        <is>
          <t>HEBY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43179-2021</t>
        </is>
      </c>
      <c r="B198" s="1" t="n">
        <v>44431</v>
      </c>
      <c r="C198" s="1" t="n">
        <v>46198</v>
      </c>
      <c r="D198" t="inlineStr">
        <is>
          <t>UPPSALA LÄN</t>
        </is>
      </c>
      <c r="E198" t="inlineStr">
        <is>
          <t>HEBY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61807-2022</t>
        </is>
      </c>
      <c r="B199" s="1" t="n">
        <v>44917</v>
      </c>
      <c r="C199" s="1" t="n">
        <v>46198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9769-2023</t>
        </is>
      </c>
      <c r="B200" s="1" t="n">
        <v>44984</v>
      </c>
      <c r="C200" s="1" t="n">
        <v>46198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31101-2024</t>
        </is>
      </c>
      <c r="B201" s="1" t="n">
        <v>45502</v>
      </c>
      <c r="C201" s="1" t="n">
        <v>46198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13634-2023</t>
        </is>
      </c>
      <c r="B202" s="1" t="n">
        <v>45006</v>
      </c>
      <c r="C202" s="1" t="n">
        <v>46198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8181-2022</t>
        </is>
      </c>
      <c r="B203" s="1" t="n">
        <v>44609</v>
      </c>
      <c r="C203" s="1" t="n">
        <v>46198</v>
      </c>
      <c r="D203" t="inlineStr">
        <is>
          <t>UPPSALA LÄN</t>
        </is>
      </c>
      <c r="E203" t="inlineStr">
        <is>
          <t>HEBY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43089-2024</t>
        </is>
      </c>
      <c r="B204" s="1" t="n">
        <v>45567</v>
      </c>
      <c r="C204" s="1" t="n">
        <v>46198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62132-2022</t>
        </is>
      </c>
      <c r="B205" s="1" t="n">
        <v>44914</v>
      </c>
      <c r="C205" s="1" t="n">
        <v>46198</v>
      </c>
      <c r="D205" t="inlineStr">
        <is>
          <t>UPPSALA LÄN</t>
        </is>
      </c>
      <c r="E205" t="inlineStr">
        <is>
          <t>HEBY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51091-2023</t>
        </is>
      </c>
      <c r="B206" s="1" t="n">
        <v>45218</v>
      </c>
      <c r="C206" s="1" t="n">
        <v>46198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32245-2022</t>
        </is>
      </c>
      <c r="B207" s="1" t="n">
        <v>44781</v>
      </c>
      <c r="C207" s="1" t="n">
        <v>46198</v>
      </c>
      <c r="D207" t="inlineStr">
        <is>
          <t>UPPSALA LÄN</t>
        </is>
      </c>
      <c r="E207" t="inlineStr">
        <is>
          <t>HEBY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27836-2025</t>
        </is>
      </c>
      <c r="B208" s="1" t="n">
        <v>45817</v>
      </c>
      <c r="C208" s="1" t="n">
        <v>46198</v>
      </c>
      <c r="D208" t="inlineStr">
        <is>
          <t>UPPSALA LÄN</t>
        </is>
      </c>
      <c r="E208" t="inlineStr">
        <is>
          <t>HEBY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9761-2023</t>
        </is>
      </c>
      <c r="B209" s="1" t="n">
        <v>44984</v>
      </c>
      <c r="C209" s="1" t="n">
        <v>46198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9773-2023</t>
        </is>
      </c>
      <c r="B210" s="1" t="n">
        <v>44984</v>
      </c>
      <c r="C210" s="1" t="n">
        <v>46198</v>
      </c>
      <c r="D210" t="inlineStr">
        <is>
          <t>UPPSALA LÄN</t>
        </is>
      </c>
      <c r="E210" t="inlineStr">
        <is>
          <t>HEBY</t>
        </is>
      </c>
      <c r="F210" t="inlineStr">
        <is>
          <t>Allmännings- och besparingsskogar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38521-2025</t>
        </is>
      </c>
      <c r="B211" s="1" t="n">
        <v>45884</v>
      </c>
      <c r="C211" s="1" t="n">
        <v>46198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10414-2022</t>
        </is>
      </c>
      <c r="B212" s="1" t="n">
        <v>44623</v>
      </c>
      <c r="C212" s="1" t="n">
        <v>46198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6523-2022</t>
        </is>
      </c>
      <c r="B213" s="1" t="n">
        <v>44601</v>
      </c>
      <c r="C213" s="1" t="n">
        <v>46198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39409-2025</t>
        </is>
      </c>
      <c r="B214" s="1" t="n">
        <v>45889</v>
      </c>
      <c r="C214" s="1" t="n">
        <v>46198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16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20995-2025</t>
        </is>
      </c>
      <c r="B215" s="1" t="n">
        <v>45777</v>
      </c>
      <c r="C215" s="1" t="n">
        <v>46198</v>
      </c>
      <c r="D215" t="inlineStr">
        <is>
          <t>UPPSALA LÄN</t>
        </is>
      </c>
      <c r="E215" t="inlineStr">
        <is>
          <t>HEBY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38371-2025</t>
        </is>
      </c>
      <c r="B216" s="1" t="n">
        <v>45883</v>
      </c>
      <c r="C216" s="1" t="n">
        <v>46198</v>
      </c>
      <c r="D216" t="inlineStr">
        <is>
          <t>UPPSALA LÄN</t>
        </is>
      </c>
      <c r="E216" t="inlineStr">
        <is>
          <t>HEBY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1160-2024</t>
        </is>
      </c>
      <c r="B217" s="1" t="n">
        <v>45302</v>
      </c>
      <c r="C217" s="1" t="n">
        <v>46198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42216-2025</t>
        </is>
      </c>
      <c r="B218" s="1" t="n">
        <v>45904</v>
      </c>
      <c r="C218" s="1" t="n">
        <v>46198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6497-2024</t>
        </is>
      </c>
      <c r="B219" s="1" t="n">
        <v>45339</v>
      </c>
      <c r="C219" s="1" t="n">
        <v>46198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5340-2024</t>
        </is>
      </c>
      <c r="B220" s="1" t="n">
        <v>45331</v>
      </c>
      <c r="C220" s="1" t="n">
        <v>46198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5390-2024</t>
        </is>
      </c>
      <c r="B221" s="1" t="n">
        <v>45331</v>
      </c>
      <c r="C221" s="1" t="n">
        <v>46198</v>
      </c>
      <c r="D221" t="inlineStr">
        <is>
          <t>UPPSALA LÄN</t>
        </is>
      </c>
      <c r="E221" t="inlineStr">
        <is>
          <t>HEBY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3377-2024</t>
        </is>
      </c>
      <c r="B222" s="1" t="n">
        <v>45317</v>
      </c>
      <c r="C222" s="1" t="n">
        <v>46198</v>
      </c>
      <c r="D222" t="inlineStr">
        <is>
          <t>UPPSALA LÄN</t>
        </is>
      </c>
      <c r="E222" t="inlineStr">
        <is>
          <t>HEBY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39892-2025</t>
        </is>
      </c>
      <c r="B223" s="1" t="n">
        <v>45891</v>
      </c>
      <c r="C223" s="1" t="n">
        <v>46198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54594-2024</t>
        </is>
      </c>
      <c r="B224" s="1" t="n">
        <v>45617</v>
      </c>
      <c r="C224" s="1" t="n">
        <v>46198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8856-2022</t>
        </is>
      </c>
      <c r="B225" s="1" t="n">
        <v>44614</v>
      </c>
      <c r="C225" s="1" t="n">
        <v>46198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25861-2026</t>
        </is>
      </c>
      <c r="B226" s="1" t="n">
        <v>46178</v>
      </c>
      <c r="C226" s="1" t="n">
        <v>46198</v>
      </c>
      <c r="D226" t="inlineStr">
        <is>
          <t>UPPSALA LÄN</t>
        </is>
      </c>
      <c r="E226" t="inlineStr">
        <is>
          <t>HEBY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33376-2024</t>
        </is>
      </c>
      <c r="B227" s="1" t="n">
        <v>45519</v>
      </c>
      <c r="C227" s="1" t="n">
        <v>46198</v>
      </c>
      <c r="D227" t="inlineStr">
        <is>
          <t>UPPSALA LÄN</t>
        </is>
      </c>
      <c r="E227" t="inlineStr">
        <is>
          <t>HEBY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33381-2024</t>
        </is>
      </c>
      <c r="B228" s="1" t="n">
        <v>45519</v>
      </c>
      <c r="C228" s="1" t="n">
        <v>46198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47072-2024</t>
        </is>
      </c>
      <c r="B229" s="1" t="n">
        <v>45586</v>
      </c>
      <c r="C229" s="1" t="n">
        <v>46198</v>
      </c>
      <c r="D229" t="inlineStr">
        <is>
          <t>UPPSALA LÄN</t>
        </is>
      </c>
      <c r="E229" t="inlineStr">
        <is>
          <t>HEBY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21000-2022</t>
        </is>
      </c>
      <c r="B230" s="1" t="n">
        <v>44701</v>
      </c>
      <c r="C230" s="1" t="n">
        <v>46198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41216-2025</t>
        </is>
      </c>
      <c r="B231" s="1" t="n">
        <v>45898</v>
      </c>
      <c r="C231" s="1" t="n">
        <v>46198</v>
      </c>
      <c r="D231" t="inlineStr">
        <is>
          <t>UPPSALA LÄN</t>
        </is>
      </c>
      <c r="E231" t="inlineStr">
        <is>
          <t>HEBY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41246-2025</t>
        </is>
      </c>
      <c r="B232" s="1" t="n">
        <v>45898</v>
      </c>
      <c r="C232" s="1" t="n">
        <v>46198</v>
      </c>
      <c r="D232" t="inlineStr">
        <is>
          <t>UPPSALA LÄN</t>
        </is>
      </c>
      <c r="E232" t="inlineStr">
        <is>
          <t>HEBY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38472-2025</t>
        </is>
      </c>
      <c r="B233" s="1" t="n">
        <v>45884</v>
      </c>
      <c r="C233" s="1" t="n">
        <v>46198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9675-2023</t>
        </is>
      </c>
      <c r="B234" s="1" t="n">
        <v>44984</v>
      </c>
      <c r="C234" s="1" t="n">
        <v>46198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33680-2023</t>
        </is>
      </c>
      <c r="B235" s="1" t="n">
        <v>45119</v>
      </c>
      <c r="C235" s="1" t="n">
        <v>46198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66.90000000000001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33703-2023</t>
        </is>
      </c>
      <c r="B236" s="1" t="n">
        <v>45132</v>
      </c>
      <c r="C236" s="1" t="n">
        <v>46198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6882-2024</t>
        </is>
      </c>
      <c r="B237" s="1" t="n">
        <v>45342</v>
      </c>
      <c r="C237" s="1" t="n">
        <v>46198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6885-2024</t>
        </is>
      </c>
      <c r="B238" s="1" t="n">
        <v>45342</v>
      </c>
      <c r="C238" s="1" t="n">
        <v>46198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47861-2025</t>
        </is>
      </c>
      <c r="B239" s="1" t="n">
        <v>45932</v>
      </c>
      <c r="C239" s="1" t="n">
        <v>46198</v>
      </c>
      <c r="D239" t="inlineStr">
        <is>
          <t>UPPSALA LÄN</t>
        </is>
      </c>
      <c r="E239" t="inlineStr">
        <is>
          <t>HEBY</t>
        </is>
      </c>
      <c r="F239" t="inlineStr">
        <is>
          <t>Allmännings- och besparingsskogar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52252-2024</t>
        </is>
      </c>
      <c r="B240" s="1" t="n">
        <v>45607</v>
      </c>
      <c r="C240" s="1" t="n">
        <v>46198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3371-2024</t>
        </is>
      </c>
      <c r="B241" s="1" t="n">
        <v>45317</v>
      </c>
      <c r="C241" s="1" t="n">
        <v>46198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2487-2025</t>
        </is>
      </c>
      <c r="B242" s="1" t="n">
        <v>45674</v>
      </c>
      <c r="C242" s="1" t="n">
        <v>46198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43855-2025</t>
        </is>
      </c>
      <c r="B243" s="1" t="n">
        <v>45912</v>
      </c>
      <c r="C243" s="1" t="n">
        <v>46198</v>
      </c>
      <c r="D243" t="inlineStr">
        <is>
          <t>UPPSALA LÄN</t>
        </is>
      </c>
      <c r="E243" t="inlineStr">
        <is>
          <t>HEBY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206-2024</t>
        </is>
      </c>
      <c r="B244" s="1" t="n">
        <v>45294</v>
      </c>
      <c r="C244" s="1" t="n">
        <v>46198</v>
      </c>
      <c r="D244" t="inlineStr">
        <is>
          <t>UPPSALA LÄN</t>
        </is>
      </c>
      <c r="E244" t="inlineStr">
        <is>
          <t>HEBY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29536-2023</t>
        </is>
      </c>
      <c r="B245" s="1" t="n">
        <v>45106</v>
      </c>
      <c r="C245" s="1" t="n">
        <v>46198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26421-2023</t>
        </is>
      </c>
      <c r="B246" s="1" t="n">
        <v>45092</v>
      </c>
      <c r="C246" s="1" t="n">
        <v>46198</v>
      </c>
      <c r="D246" t="inlineStr">
        <is>
          <t>UPPSALA LÄN</t>
        </is>
      </c>
      <c r="E246" t="inlineStr">
        <is>
          <t>HEBY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70158-2021</t>
        </is>
      </c>
      <c r="B247" s="1" t="n">
        <v>44533</v>
      </c>
      <c r="C247" s="1" t="n">
        <v>46198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26449-2023</t>
        </is>
      </c>
      <c r="B248" s="1" t="n">
        <v>45092</v>
      </c>
      <c r="C248" s="1" t="n">
        <v>46198</v>
      </c>
      <c r="D248" t="inlineStr">
        <is>
          <t>UPPSALA LÄN</t>
        </is>
      </c>
      <c r="E248" t="inlineStr">
        <is>
          <t>HEBY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27840-2023</t>
        </is>
      </c>
      <c r="B249" s="1" t="n">
        <v>45098</v>
      </c>
      <c r="C249" s="1" t="n">
        <v>46198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29570-2022</t>
        </is>
      </c>
      <c r="B250" s="1" t="n">
        <v>44754</v>
      </c>
      <c r="C250" s="1" t="n">
        <v>46198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39831-2025</t>
        </is>
      </c>
      <c r="B251" s="1" t="n">
        <v>45891</v>
      </c>
      <c r="C251" s="1" t="n">
        <v>46198</v>
      </c>
      <c r="D251" t="inlineStr">
        <is>
          <t>UPPSALA LÄN</t>
        </is>
      </c>
      <c r="E251" t="inlineStr">
        <is>
          <t>HEBY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45417-2025</t>
        </is>
      </c>
      <c r="B252" s="1" t="n">
        <v>45922</v>
      </c>
      <c r="C252" s="1" t="n">
        <v>46198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19990-2022</t>
        </is>
      </c>
      <c r="B253" s="1" t="n">
        <v>44697</v>
      </c>
      <c r="C253" s="1" t="n">
        <v>46198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45382-2025</t>
        </is>
      </c>
      <c r="B254" s="1" t="n">
        <v>45922</v>
      </c>
      <c r="C254" s="1" t="n">
        <v>46198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45440-2025</t>
        </is>
      </c>
      <c r="B255" s="1" t="n">
        <v>45922</v>
      </c>
      <c r="C255" s="1" t="n">
        <v>46198</v>
      </c>
      <c r="D255" t="inlineStr">
        <is>
          <t>UPPSALA LÄN</t>
        </is>
      </c>
      <c r="E255" t="inlineStr">
        <is>
          <t>HEBY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58124-2022</t>
        </is>
      </c>
      <c r="B256" s="1" t="n">
        <v>44900</v>
      </c>
      <c r="C256" s="1" t="n">
        <v>46198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20882-2022</t>
        </is>
      </c>
      <c r="B257" s="1" t="n">
        <v>44701</v>
      </c>
      <c r="C257" s="1" t="n">
        <v>46198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13593-2023</t>
        </is>
      </c>
      <c r="B258" s="1" t="n">
        <v>45006</v>
      </c>
      <c r="C258" s="1" t="n">
        <v>46198</v>
      </c>
      <c r="D258" t="inlineStr">
        <is>
          <t>UPPSALA LÄN</t>
        </is>
      </c>
      <c r="E258" t="inlineStr">
        <is>
          <t>HEBY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2007-2024</t>
        </is>
      </c>
      <c r="B259" s="1" t="n">
        <v>45308</v>
      </c>
      <c r="C259" s="1" t="n">
        <v>46198</v>
      </c>
      <c r="D259" t="inlineStr">
        <is>
          <t>UPPSALA LÄN</t>
        </is>
      </c>
      <c r="E259" t="inlineStr">
        <is>
          <t>HEBY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50954-2025</t>
        </is>
      </c>
      <c r="B260" s="1" t="n">
        <v>45946</v>
      </c>
      <c r="C260" s="1" t="n">
        <v>46198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42938-2022</t>
        </is>
      </c>
      <c r="B261" s="1" t="n">
        <v>44833</v>
      </c>
      <c r="C261" s="1" t="n">
        <v>46198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47890-2025</t>
        </is>
      </c>
      <c r="B262" s="1" t="n">
        <v>45932</v>
      </c>
      <c r="C262" s="1" t="n">
        <v>46198</v>
      </c>
      <c r="D262" t="inlineStr">
        <is>
          <t>UPPSALA LÄN</t>
        </is>
      </c>
      <c r="E262" t="inlineStr">
        <is>
          <t>HEBY</t>
        </is>
      </c>
      <c r="F262" t="inlineStr">
        <is>
          <t>Allmännings- och besparingsskogar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8790-2023</t>
        </is>
      </c>
      <c r="B263" s="1" t="n">
        <v>44978</v>
      </c>
      <c r="C263" s="1" t="n">
        <v>46198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59382-2024</t>
        </is>
      </c>
      <c r="B264" s="1" t="n">
        <v>45638</v>
      </c>
      <c r="C264" s="1" t="n">
        <v>46198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47508-2025</t>
        </is>
      </c>
      <c r="B265" s="1" t="n">
        <v>45930</v>
      </c>
      <c r="C265" s="1" t="n">
        <v>46198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963-2022</t>
        </is>
      </c>
      <c r="B266" s="1" t="n">
        <v>44568</v>
      </c>
      <c r="C266" s="1" t="n">
        <v>46198</v>
      </c>
      <c r="D266" t="inlineStr">
        <is>
          <t>UPPSALA LÄN</t>
        </is>
      </c>
      <c r="E266" t="inlineStr">
        <is>
          <t>HEBY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47506-2025</t>
        </is>
      </c>
      <c r="B267" s="1" t="n">
        <v>45930</v>
      </c>
      <c r="C267" s="1" t="n">
        <v>46198</v>
      </c>
      <c r="D267" t="inlineStr">
        <is>
          <t>UPPSALA LÄN</t>
        </is>
      </c>
      <c r="E267" t="inlineStr">
        <is>
          <t>HEBY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47846-2025</t>
        </is>
      </c>
      <c r="B268" s="1" t="n">
        <v>45932</v>
      </c>
      <c r="C268" s="1" t="n">
        <v>46198</v>
      </c>
      <c r="D268" t="inlineStr">
        <is>
          <t>UPPSALA LÄN</t>
        </is>
      </c>
      <c r="E268" t="inlineStr">
        <is>
          <t>HEBY</t>
        </is>
      </c>
      <c r="F268" t="inlineStr">
        <is>
          <t>Allmännings- och besparingsskogar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38203-2021</t>
        </is>
      </c>
      <c r="B269" s="1" t="n">
        <v>44405</v>
      </c>
      <c r="C269" s="1" t="n">
        <v>46198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30901-2023</t>
        </is>
      </c>
      <c r="B270" s="1" t="n">
        <v>45113</v>
      </c>
      <c r="C270" s="1" t="n">
        <v>46198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28288-2025</t>
        </is>
      </c>
      <c r="B271" s="1" t="n">
        <v>45818</v>
      </c>
      <c r="C271" s="1" t="n">
        <v>46198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46863-2025</t>
        </is>
      </c>
      <c r="B272" s="1" t="n">
        <v>45929</v>
      </c>
      <c r="C272" s="1" t="n">
        <v>46198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50802-2025</t>
        </is>
      </c>
      <c r="B273" s="1" t="n">
        <v>45946</v>
      </c>
      <c r="C273" s="1" t="n">
        <v>46198</v>
      </c>
      <c r="D273" t="inlineStr">
        <is>
          <t>UPPSALA LÄN</t>
        </is>
      </c>
      <c r="E273" t="inlineStr">
        <is>
          <t>HEBY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2039-2023</t>
        </is>
      </c>
      <c r="B274" s="1" t="n">
        <v>44939</v>
      </c>
      <c r="C274" s="1" t="n">
        <v>46198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16847-2024</t>
        </is>
      </c>
      <c r="B275" s="1" t="n">
        <v>45411</v>
      </c>
      <c r="C275" s="1" t="n">
        <v>46198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5-2026</t>
        </is>
      </c>
      <c r="B276" s="1" t="n">
        <v>46023</v>
      </c>
      <c r="C276" s="1" t="n">
        <v>46198</v>
      </c>
      <c r="D276" t="inlineStr">
        <is>
          <t>UPPSALA LÄN</t>
        </is>
      </c>
      <c r="E276" t="inlineStr">
        <is>
          <t>HEBY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38474-2025</t>
        </is>
      </c>
      <c r="B277" s="1" t="n">
        <v>45884</v>
      </c>
      <c r="C277" s="1" t="n">
        <v>46198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25865-2026</t>
        </is>
      </c>
      <c r="B278" s="1" t="n">
        <v>46178</v>
      </c>
      <c r="C278" s="1" t="n">
        <v>46198</v>
      </c>
      <c r="D278" t="inlineStr">
        <is>
          <t>UPPSALA LÄN</t>
        </is>
      </c>
      <c r="E278" t="inlineStr">
        <is>
          <t>HEBY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3779-2024</t>
        </is>
      </c>
      <c r="B279" s="1" t="n">
        <v>45321</v>
      </c>
      <c r="C279" s="1" t="n">
        <v>46198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26085-2022</t>
        </is>
      </c>
      <c r="B280" s="1" t="n">
        <v>44734</v>
      </c>
      <c r="C280" s="1" t="n">
        <v>46198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50206-2025</t>
        </is>
      </c>
      <c r="B281" s="1" t="n">
        <v>45943</v>
      </c>
      <c r="C281" s="1" t="n">
        <v>46198</v>
      </c>
      <c r="D281" t="inlineStr">
        <is>
          <t>UPPSALA LÄN</t>
        </is>
      </c>
      <c r="E281" t="inlineStr">
        <is>
          <t>HEBY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10072-2024</t>
        </is>
      </c>
      <c r="B282" s="1" t="n">
        <v>45364</v>
      </c>
      <c r="C282" s="1" t="n">
        <v>46198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50077-2025</t>
        </is>
      </c>
      <c r="B283" s="1" t="n">
        <v>45943</v>
      </c>
      <c r="C283" s="1" t="n">
        <v>46198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40455-2025</t>
        </is>
      </c>
      <c r="B284" s="1" t="n">
        <v>45895</v>
      </c>
      <c r="C284" s="1" t="n">
        <v>46198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50255-2025</t>
        </is>
      </c>
      <c r="B285" s="1" t="n">
        <v>45944</v>
      </c>
      <c r="C285" s="1" t="n">
        <v>46198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25971-2023</t>
        </is>
      </c>
      <c r="B286" s="1" t="n">
        <v>45090</v>
      </c>
      <c r="C286" s="1" t="n">
        <v>46198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50657-2025</t>
        </is>
      </c>
      <c r="B287" s="1" t="n">
        <v>45945</v>
      </c>
      <c r="C287" s="1" t="n">
        <v>46198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56352-2021</t>
        </is>
      </c>
      <c r="B288" s="1" t="n">
        <v>44480</v>
      </c>
      <c r="C288" s="1" t="n">
        <v>46198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20488-2026</t>
        </is>
      </c>
      <c r="B289" s="1" t="n">
        <v>46140</v>
      </c>
      <c r="C289" s="1" t="n">
        <v>46198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21302-2023</t>
        </is>
      </c>
      <c r="B290" s="1" t="n">
        <v>45058</v>
      </c>
      <c r="C290" s="1" t="n">
        <v>46198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13679-2024</t>
        </is>
      </c>
      <c r="B291" s="1" t="n">
        <v>45390</v>
      </c>
      <c r="C291" s="1" t="n">
        <v>46198</v>
      </c>
      <c r="D291" t="inlineStr">
        <is>
          <t>UPPSALA LÄN</t>
        </is>
      </c>
      <c r="E291" t="inlineStr">
        <is>
          <t>HEBY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42725-2023</t>
        </is>
      </c>
      <c r="B292" s="1" t="n">
        <v>45181</v>
      </c>
      <c r="C292" s="1" t="n">
        <v>46198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51333-2025</t>
        </is>
      </c>
      <c r="B293" s="1" t="n">
        <v>45950</v>
      </c>
      <c r="C293" s="1" t="n">
        <v>46198</v>
      </c>
      <c r="D293" t="inlineStr">
        <is>
          <t>UPPSALA LÄN</t>
        </is>
      </c>
      <c r="E293" t="inlineStr">
        <is>
          <t>HEBY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20470-2026</t>
        </is>
      </c>
      <c r="B294" s="1" t="n">
        <v>46140</v>
      </c>
      <c r="C294" s="1" t="n">
        <v>46198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51685-2025</t>
        </is>
      </c>
      <c r="B295" s="1" t="n">
        <v>45951</v>
      </c>
      <c r="C295" s="1" t="n">
        <v>46198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52106-2025</t>
        </is>
      </c>
      <c r="B296" s="1" t="n">
        <v>45952</v>
      </c>
      <c r="C296" s="1" t="n">
        <v>46198</v>
      </c>
      <c r="D296" t="inlineStr">
        <is>
          <t>UPPSALA LÄN</t>
        </is>
      </c>
      <c r="E296" t="inlineStr">
        <is>
          <t>HEBY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52109-2025</t>
        </is>
      </c>
      <c r="B297" s="1" t="n">
        <v>45952</v>
      </c>
      <c r="C297" s="1" t="n">
        <v>46198</v>
      </c>
      <c r="D297" t="inlineStr">
        <is>
          <t>UPPSALA LÄN</t>
        </is>
      </c>
      <c r="E297" t="inlineStr">
        <is>
          <t>HEBY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20719-2026</t>
        </is>
      </c>
      <c r="B298" s="1" t="n">
        <v>46141</v>
      </c>
      <c r="C298" s="1" t="n">
        <v>46198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20459-2026</t>
        </is>
      </c>
      <c r="B299" s="1" t="n">
        <v>46140</v>
      </c>
      <c r="C299" s="1" t="n">
        <v>46198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20440-2026</t>
        </is>
      </c>
      <c r="B300" s="1" t="n">
        <v>46140</v>
      </c>
      <c r="C300" s="1" t="n">
        <v>46198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8056-2024</t>
        </is>
      </c>
      <c r="B301" s="1" t="n">
        <v>45351</v>
      </c>
      <c r="C301" s="1" t="n">
        <v>46198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31407-2023</t>
        </is>
      </c>
      <c r="B302" s="1" t="n">
        <v>45114</v>
      </c>
      <c r="C302" s="1" t="n">
        <v>46198</v>
      </c>
      <c r="D302" t="inlineStr">
        <is>
          <t>UPPSALA LÄN</t>
        </is>
      </c>
      <c r="E302" t="inlineStr">
        <is>
          <t>HEBY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52861-2025</t>
        </is>
      </c>
      <c r="B303" s="1" t="n">
        <v>45957</v>
      </c>
      <c r="C303" s="1" t="n">
        <v>46198</v>
      </c>
      <c r="D303" t="inlineStr">
        <is>
          <t>UPPSALA LÄN</t>
        </is>
      </c>
      <c r="E303" t="inlineStr">
        <is>
          <t>HEBY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26100-2025</t>
        </is>
      </c>
      <c r="B304" s="1" t="n">
        <v>45805</v>
      </c>
      <c r="C304" s="1" t="n">
        <v>46198</v>
      </c>
      <c r="D304" t="inlineStr">
        <is>
          <t>UPPSALA LÄN</t>
        </is>
      </c>
      <c r="E304" t="inlineStr">
        <is>
          <t>HEBY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20409-2026</t>
        </is>
      </c>
      <c r="B305" s="1" t="n">
        <v>46140</v>
      </c>
      <c r="C305" s="1" t="n">
        <v>46198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53186-2025</t>
        </is>
      </c>
      <c r="B306" s="1" t="n">
        <v>45958</v>
      </c>
      <c r="C306" s="1" t="n">
        <v>46198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20446-2026</t>
        </is>
      </c>
      <c r="B307" s="1" t="n">
        <v>46140</v>
      </c>
      <c r="C307" s="1" t="n">
        <v>46198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19721-2022</t>
        </is>
      </c>
      <c r="B308" s="1" t="n">
        <v>44694</v>
      </c>
      <c r="C308" s="1" t="n">
        <v>46198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48956-2023</t>
        </is>
      </c>
      <c r="B309" s="1" t="n">
        <v>45209</v>
      </c>
      <c r="C309" s="1" t="n">
        <v>46198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46430-2023</t>
        </is>
      </c>
      <c r="B310" s="1" t="n">
        <v>45197</v>
      </c>
      <c r="C310" s="1" t="n">
        <v>46198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55019-2025</t>
        </is>
      </c>
      <c r="B311" s="1" t="n">
        <v>45967</v>
      </c>
      <c r="C311" s="1" t="n">
        <v>46198</v>
      </c>
      <c r="D311" t="inlineStr">
        <is>
          <t>UPPSALA LÄN</t>
        </is>
      </c>
      <c r="E311" t="inlineStr">
        <is>
          <t>HEBY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41599-2023</t>
        </is>
      </c>
      <c r="B312" s="1" t="n">
        <v>45175</v>
      </c>
      <c r="C312" s="1" t="n">
        <v>46198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55018-2025</t>
        </is>
      </c>
      <c r="B313" s="1" t="n">
        <v>45967</v>
      </c>
      <c r="C313" s="1" t="n">
        <v>46198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54653-2025</t>
        </is>
      </c>
      <c r="B314" s="1" t="n">
        <v>45966</v>
      </c>
      <c r="C314" s="1" t="n">
        <v>46198</v>
      </c>
      <c r="D314" t="inlineStr">
        <is>
          <t>UPPSALA LÄN</t>
        </is>
      </c>
      <c r="E314" t="inlineStr">
        <is>
          <t>HEBY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54635-2025</t>
        </is>
      </c>
      <c r="B315" s="1" t="n">
        <v>45966</v>
      </c>
      <c r="C315" s="1" t="n">
        <v>46198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14262-2025</t>
        </is>
      </c>
      <c r="B316" s="1" t="n">
        <v>45740</v>
      </c>
      <c r="C316" s="1" t="n">
        <v>46198</v>
      </c>
      <c r="D316" t="inlineStr">
        <is>
          <t>UPPSALA LÄN</t>
        </is>
      </c>
      <c r="E316" t="inlineStr">
        <is>
          <t>HEBY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55488-2025</t>
        </is>
      </c>
      <c r="B317" s="1" t="n">
        <v>45971</v>
      </c>
      <c r="C317" s="1" t="n">
        <v>46198</v>
      </c>
      <c r="D317" t="inlineStr">
        <is>
          <t>UPPSALA LÄN</t>
        </is>
      </c>
      <c r="E317" t="inlineStr">
        <is>
          <t>HEBY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55496-2025</t>
        </is>
      </c>
      <c r="B318" s="1" t="n">
        <v>45971</v>
      </c>
      <c r="C318" s="1" t="n">
        <v>46198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55810-2025</t>
        </is>
      </c>
      <c r="B319" s="1" t="n">
        <v>45972</v>
      </c>
      <c r="C319" s="1" t="n">
        <v>46198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51082-2023</t>
        </is>
      </c>
      <c r="B320" s="1" t="n">
        <v>45218</v>
      </c>
      <c r="C320" s="1" t="n">
        <v>46198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58332-2023</t>
        </is>
      </c>
      <c r="B321" s="1" t="n">
        <v>45250</v>
      </c>
      <c r="C321" s="1" t="n">
        <v>46198</v>
      </c>
      <c r="D321" t="inlineStr">
        <is>
          <t>UPPSALA LÄN</t>
        </is>
      </c>
      <c r="E321" t="inlineStr">
        <is>
          <t>HEBY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21729-2026</t>
        </is>
      </c>
      <c r="B322" s="1" t="n">
        <v>46149</v>
      </c>
      <c r="C322" s="1" t="n">
        <v>46198</v>
      </c>
      <c r="D322" t="inlineStr">
        <is>
          <t>UPPSALA LÄN</t>
        </is>
      </c>
      <c r="E322" t="inlineStr">
        <is>
          <t>HEBY</t>
        </is>
      </c>
      <c r="F322" t="inlineStr">
        <is>
          <t>Allmännings- och besparingsskogar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69377-2021</t>
        </is>
      </c>
      <c r="B323" s="1" t="n">
        <v>44531</v>
      </c>
      <c r="C323" s="1" t="n">
        <v>46198</v>
      </c>
      <c r="D323" t="inlineStr">
        <is>
          <t>UPPSALA LÄN</t>
        </is>
      </c>
      <c r="E323" t="inlineStr">
        <is>
          <t>HEBY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57377-2025</t>
        </is>
      </c>
      <c r="B324" s="1" t="n">
        <v>45980</v>
      </c>
      <c r="C324" s="1" t="n">
        <v>46198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57397-2025</t>
        </is>
      </c>
      <c r="B325" s="1" t="n">
        <v>45980</v>
      </c>
      <c r="C325" s="1" t="n">
        <v>46198</v>
      </c>
      <c r="D325" t="inlineStr">
        <is>
          <t>UPPSALA LÄN</t>
        </is>
      </c>
      <c r="E325" t="inlineStr">
        <is>
          <t>HEBY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57403-2025</t>
        </is>
      </c>
      <c r="B326" s="1" t="n">
        <v>45980</v>
      </c>
      <c r="C326" s="1" t="n">
        <v>46198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46198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39536-2024</t>
        </is>
      </c>
      <c r="B328" s="1" t="n">
        <v>45551</v>
      </c>
      <c r="C328" s="1" t="n">
        <v>46198</v>
      </c>
      <c r="D328" t="inlineStr">
        <is>
          <t>UPPSALA LÄN</t>
        </is>
      </c>
      <c r="E328" t="inlineStr">
        <is>
          <t>HEBY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57973-2025</t>
        </is>
      </c>
      <c r="B329" s="1" t="n">
        <v>45982</v>
      </c>
      <c r="C329" s="1" t="n">
        <v>46198</v>
      </c>
      <c r="D329" t="inlineStr">
        <is>
          <t>UPPSALA LÄN</t>
        </is>
      </c>
      <c r="E329" t="inlineStr">
        <is>
          <t>HEBY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20612-2026</t>
        </is>
      </c>
      <c r="B330" s="1" t="n">
        <v>46140</v>
      </c>
      <c r="C330" s="1" t="n">
        <v>46198</v>
      </c>
      <c r="D330" t="inlineStr">
        <is>
          <t>UPPSALA LÄN</t>
        </is>
      </c>
      <c r="E330" t="inlineStr">
        <is>
          <t>HEBY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16404-2023</t>
        </is>
      </c>
      <c r="B331" s="1" t="n">
        <v>45029</v>
      </c>
      <c r="C331" s="1" t="n">
        <v>46198</v>
      </c>
      <c r="D331" t="inlineStr">
        <is>
          <t>UPPSALA LÄN</t>
        </is>
      </c>
      <c r="E331" t="inlineStr">
        <is>
          <t>HEBY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40435-2025</t>
        </is>
      </c>
      <c r="B332" s="1" t="n">
        <v>45895</v>
      </c>
      <c r="C332" s="1" t="n">
        <v>46198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51733-2025</t>
        </is>
      </c>
      <c r="B333" s="1" t="n">
        <v>45951</v>
      </c>
      <c r="C333" s="1" t="n">
        <v>46198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16167-2024</t>
        </is>
      </c>
      <c r="B334" s="1" t="n">
        <v>45406</v>
      </c>
      <c r="C334" s="1" t="n">
        <v>46198</v>
      </c>
      <c r="D334" t="inlineStr">
        <is>
          <t>UPPSALA LÄN</t>
        </is>
      </c>
      <c r="E334" t="inlineStr">
        <is>
          <t>HEBY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50172-2024</t>
        </is>
      </c>
      <c r="B335" s="1" t="n">
        <v>45599</v>
      </c>
      <c r="C335" s="1" t="n">
        <v>46198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59837-2025</t>
        </is>
      </c>
      <c r="B336" s="1" t="n">
        <v>45992</v>
      </c>
      <c r="C336" s="1" t="n">
        <v>46198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26099-2025</t>
        </is>
      </c>
      <c r="B337" s="1" t="n">
        <v>45805</v>
      </c>
      <c r="C337" s="1" t="n">
        <v>46198</v>
      </c>
      <c r="D337" t="inlineStr">
        <is>
          <t>UPPSALA LÄN</t>
        </is>
      </c>
      <c r="E337" t="inlineStr">
        <is>
          <t>HEBY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738-2022</t>
        </is>
      </c>
      <c r="B338" s="1" t="n">
        <v>44568</v>
      </c>
      <c r="C338" s="1" t="n">
        <v>46198</v>
      </c>
      <c r="D338" t="inlineStr">
        <is>
          <t>UPPSALA LÄN</t>
        </is>
      </c>
      <c r="E338" t="inlineStr">
        <is>
          <t>HEBY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60836-2025</t>
        </is>
      </c>
      <c r="B339" s="1" t="n">
        <v>45999</v>
      </c>
      <c r="C339" s="1" t="n">
        <v>46198</v>
      </c>
      <c r="D339" t="inlineStr">
        <is>
          <t>UPPSALA LÄN</t>
        </is>
      </c>
      <c r="E339" t="inlineStr">
        <is>
          <t>HEBY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33385-2023</t>
        </is>
      </c>
      <c r="B340" s="1" t="n">
        <v>45128</v>
      </c>
      <c r="C340" s="1" t="n">
        <v>46198</v>
      </c>
      <c r="D340" t="inlineStr">
        <is>
          <t>UPPSALA LÄN</t>
        </is>
      </c>
      <c r="E340" t="inlineStr">
        <is>
          <t>HEBY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13243-2022</t>
        </is>
      </c>
      <c r="B341" s="1" t="n">
        <v>44644</v>
      </c>
      <c r="C341" s="1" t="n">
        <v>46198</v>
      </c>
      <c r="D341" t="inlineStr">
        <is>
          <t>UPPSALA LÄN</t>
        </is>
      </c>
      <c r="E341" t="inlineStr">
        <is>
          <t>HEBY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2227-2023</t>
        </is>
      </c>
      <c r="B342" s="1" t="n">
        <v>44942</v>
      </c>
      <c r="C342" s="1" t="n">
        <v>46198</v>
      </c>
      <c r="D342" t="inlineStr">
        <is>
          <t>UPPSALA LÄN</t>
        </is>
      </c>
      <c r="E342" t="inlineStr">
        <is>
          <t>HEBY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61883-2025</t>
        </is>
      </c>
      <c r="B343" s="1" t="n">
        <v>46003</v>
      </c>
      <c r="C343" s="1" t="n">
        <v>46198</v>
      </c>
      <c r="D343" t="inlineStr">
        <is>
          <t>UPPSALA LÄN</t>
        </is>
      </c>
      <c r="E343" t="inlineStr">
        <is>
          <t>HEBY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61884-2025</t>
        </is>
      </c>
      <c r="B344" s="1" t="n">
        <v>46003</v>
      </c>
      <c r="C344" s="1" t="n">
        <v>46198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61886-2025</t>
        </is>
      </c>
      <c r="B345" s="1" t="n">
        <v>46003</v>
      </c>
      <c r="C345" s="1" t="n">
        <v>46198</v>
      </c>
      <c r="D345" t="inlineStr">
        <is>
          <t>UPPSALA LÄN</t>
        </is>
      </c>
      <c r="E345" t="inlineStr">
        <is>
          <t>HEBY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19559-2025</t>
        </is>
      </c>
      <c r="B346" s="1" t="n">
        <v>45770</v>
      </c>
      <c r="C346" s="1" t="n">
        <v>46198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14585-2023</t>
        </is>
      </c>
      <c r="B347" s="1" t="n">
        <v>45013</v>
      </c>
      <c r="C347" s="1" t="n">
        <v>46198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62042-2025</t>
        </is>
      </c>
      <c r="B348" s="1" t="n">
        <v>46005</v>
      </c>
      <c r="C348" s="1" t="n">
        <v>46198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62105-2025</t>
        </is>
      </c>
      <c r="B349" s="1" t="n">
        <v>46006</v>
      </c>
      <c r="C349" s="1" t="n">
        <v>46198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62475-2025</t>
        </is>
      </c>
      <c r="B350" s="1" t="n">
        <v>46007</v>
      </c>
      <c r="C350" s="1" t="n">
        <v>46198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26559-2023</t>
        </is>
      </c>
      <c r="B351" s="1" t="n">
        <v>45092</v>
      </c>
      <c r="C351" s="1" t="n">
        <v>46198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15326-2022</t>
        </is>
      </c>
      <c r="B352" s="1" t="n">
        <v>44659</v>
      </c>
      <c r="C352" s="1" t="n">
        <v>46198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19683-2022</t>
        </is>
      </c>
      <c r="B353" s="1" t="n">
        <v>44694</v>
      </c>
      <c r="C353" s="1" t="n">
        <v>46198</v>
      </c>
      <c r="D353" t="inlineStr">
        <is>
          <t>UPPSALA LÄN</t>
        </is>
      </c>
      <c r="E353" t="inlineStr">
        <is>
          <t>HEBY</t>
        </is>
      </c>
      <c r="G353" t="n">
        <v>22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6-2026</t>
        </is>
      </c>
      <c r="B354" s="1" t="n">
        <v>46023</v>
      </c>
      <c r="C354" s="1" t="n">
        <v>46198</v>
      </c>
      <c r="D354" t="inlineStr">
        <is>
          <t>UPPSALA LÄN</t>
        </is>
      </c>
      <c r="E354" t="inlineStr">
        <is>
          <t>HEBY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59824-2024</t>
        </is>
      </c>
      <c r="B355" s="1" t="n">
        <v>45639</v>
      </c>
      <c r="C355" s="1" t="n">
        <v>46198</v>
      </c>
      <c r="D355" t="inlineStr">
        <is>
          <t>UPPSALA LÄN</t>
        </is>
      </c>
      <c r="E355" t="inlineStr">
        <is>
          <t>HEBY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59858-2024</t>
        </is>
      </c>
      <c r="B356" s="1" t="n">
        <v>45639</v>
      </c>
      <c r="C356" s="1" t="n">
        <v>46198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6226-2024</t>
        </is>
      </c>
      <c r="B357" s="1" t="n">
        <v>45337</v>
      </c>
      <c r="C357" s="1" t="n">
        <v>46198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48029-2024</t>
        </is>
      </c>
      <c r="B358" s="1" t="n">
        <v>45589</v>
      </c>
      <c r="C358" s="1" t="n">
        <v>46198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42731-2023</t>
        </is>
      </c>
      <c r="B359" s="1" t="n">
        <v>45181</v>
      </c>
      <c r="C359" s="1" t="n">
        <v>46198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21143-2023</t>
        </is>
      </c>
      <c r="B360" s="1" t="n">
        <v>45062</v>
      </c>
      <c r="C360" s="1" t="n">
        <v>46198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34140-2023</t>
        </is>
      </c>
      <c r="B361" s="1" t="n">
        <v>45135</v>
      </c>
      <c r="C361" s="1" t="n">
        <v>46198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10069-2024</t>
        </is>
      </c>
      <c r="B362" s="1" t="n">
        <v>45364</v>
      </c>
      <c r="C362" s="1" t="n">
        <v>46198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2562-2026</t>
        </is>
      </c>
      <c r="B363" s="1" t="n">
        <v>46037</v>
      </c>
      <c r="C363" s="1" t="n">
        <v>46198</v>
      </c>
      <c r="D363" t="inlineStr">
        <is>
          <t>UPPSALA LÄN</t>
        </is>
      </c>
      <c r="E363" t="inlineStr">
        <is>
          <t>HEBY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43957-2021</t>
        </is>
      </c>
      <c r="B364" s="1" t="n">
        <v>44434</v>
      </c>
      <c r="C364" s="1" t="n">
        <v>46198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64899-2021</t>
        </is>
      </c>
      <c r="B365" s="1" t="n">
        <v>44512</v>
      </c>
      <c r="C365" s="1" t="n">
        <v>46198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59015-2022</t>
        </is>
      </c>
      <c r="B366" s="1" t="n">
        <v>44903</v>
      </c>
      <c r="C366" s="1" t="n">
        <v>46198</v>
      </c>
      <c r="D366" t="inlineStr">
        <is>
          <t>UPPSALA LÄN</t>
        </is>
      </c>
      <c r="E366" t="inlineStr">
        <is>
          <t>HEBY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4425-2026</t>
        </is>
      </c>
      <c r="B367" s="1" t="n">
        <v>46045</v>
      </c>
      <c r="C367" s="1" t="n">
        <v>46198</v>
      </c>
      <c r="D367" t="inlineStr">
        <is>
          <t>UPPSALA LÄN</t>
        </is>
      </c>
      <c r="E367" t="inlineStr">
        <is>
          <t>HEBY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4093-2026</t>
        </is>
      </c>
      <c r="B368" s="1" t="n">
        <v>46044</v>
      </c>
      <c r="C368" s="1" t="n">
        <v>46198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35865-2022</t>
        </is>
      </c>
      <c r="B369" s="1" t="n">
        <v>44802</v>
      </c>
      <c r="C369" s="1" t="n">
        <v>46198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35868-2022</t>
        </is>
      </c>
      <c r="B370" s="1" t="n">
        <v>44802</v>
      </c>
      <c r="C370" s="1" t="n">
        <v>46198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25997-2022</t>
        </is>
      </c>
      <c r="B371" s="1" t="n">
        <v>44734</v>
      </c>
      <c r="C371" s="1" t="n">
        <v>46198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66055-2021</t>
        </is>
      </c>
      <c r="B372" s="1" t="n">
        <v>44517</v>
      </c>
      <c r="C372" s="1" t="n">
        <v>46198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4641-2026</t>
        </is>
      </c>
      <c r="B373" s="1" t="n">
        <v>46048</v>
      </c>
      <c r="C373" s="1" t="n">
        <v>46198</v>
      </c>
      <c r="D373" t="inlineStr">
        <is>
          <t>UPPSALA LÄN</t>
        </is>
      </c>
      <c r="E373" t="inlineStr">
        <is>
          <t>HEBY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46198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58913-2023</t>
        </is>
      </c>
      <c r="B375" s="1" t="n">
        <v>45250</v>
      </c>
      <c r="C375" s="1" t="n">
        <v>46198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6305-2026</t>
        </is>
      </c>
      <c r="B376" s="1" t="n">
        <v>46051</v>
      </c>
      <c r="C376" s="1" t="n">
        <v>46198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9352-2026</t>
        </is>
      </c>
      <c r="B377" s="1" t="n">
        <v>46070</v>
      </c>
      <c r="C377" s="1" t="n">
        <v>46198</v>
      </c>
      <c r="D377" t="inlineStr">
        <is>
          <t>UPPSALA LÄN</t>
        </is>
      </c>
      <c r="E377" t="inlineStr">
        <is>
          <t>HEBY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5855-2026</t>
        </is>
      </c>
      <c r="B378" s="1" t="n">
        <v>46052</v>
      </c>
      <c r="C378" s="1" t="n">
        <v>46198</v>
      </c>
      <c r="D378" t="inlineStr">
        <is>
          <t>UPPSALA LÄN</t>
        </is>
      </c>
      <c r="E378" t="inlineStr">
        <is>
          <t>HEBY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6043-2026</t>
        </is>
      </c>
      <c r="B379" s="1" t="n">
        <v>46052</v>
      </c>
      <c r="C379" s="1" t="n">
        <v>46198</v>
      </c>
      <c r="D379" t="inlineStr">
        <is>
          <t>UPPSALA LÄN</t>
        </is>
      </c>
      <c r="E379" t="inlineStr">
        <is>
          <t>HEBY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11555-2026</t>
        </is>
      </c>
      <c r="B380" s="1" t="n">
        <v>46084</v>
      </c>
      <c r="C380" s="1" t="n">
        <v>46198</v>
      </c>
      <c r="D380" t="inlineStr">
        <is>
          <t>UPPSALA LÄN</t>
        </is>
      </c>
      <c r="E380" t="inlineStr">
        <is>
          <t>HEBY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5966-2026</t>
        </is>
      </c>
      <c r="B381" s="1" t="n">
        <v>46052</v>
      </c>
      <c r="C381" s="1" t="n">
        <v>46198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56623-2023</t>
        </is>
      </c>
      <c r="B382" s="1" t="n">
        <v>45243</v>
      </c>
      <c r="C382" s="1" t="n">
        <v>46198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6622-2026</t>
        </is>
      </c>
      <c r="B383" s="1" t="n">
        <v>46056</v>
      </c>
      <c r="C383" s="1" t="n">
        <v>46198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6969-2026</t>
        </is>
      </c>
      <c r="B384" s="1" t="n">
        <v>46057</v>
      </c>
      <c r="C384" s="1" t="n">
        <v>46198</v>
      </c>
      <c r="D384" t="inlineStr">
        <is>
          <t>UPPSALA LÄN</t>
        </is>
      </c>
      <c r="E384" t="inlineStr">
        <is>
          <t>HEBY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6996-2026</t>
        </is>
      </c>
      <c r="B385" s="1" t="n">
        <v>46057</v>
      </c>
      <c r="C385" s="1" t="n">
        <v>46198</v>
      </c>
      <c r="D385" t="inlineStr">
        <is>
          <t>UPPSALA LÄN</t>
        </is>
      </c>
      <c r="E385" t="inlineStr">
        <is>
          <t>HEBY</t>
        </is>
      </c>
      <c r="F385" t="inlineStr">
        <is>
          <t>Kommuner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34146-2022</t>
        </is>
      </c>
      <c r="B386" s="1" t="n">
        <v>44791</v>
      </c>
      <c r="C386" s="1" t="n">
        <v>46198</v>
      </c>
      <c r="D386" t="inlineStr">
        <is>
          <t>UPPSALA LÄN</t>
        </is>
      </c>
      <c r="E386" t="inlineStr">
        <is>
          <t>HEBY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2860-2023</t>
        </is>
      </c>
      <c r="B387" s="1" t="n">
        <v>44945</v>
      </c>
      <c r="C387" s="1" t="n">
        <v>46198</v>
      </c>
      <c r="D387" t="inlineStr">
        <is>
          <t>UPPSALA LÄN</t>
        </is>
      </c>
      <c r="E387" t="inlineStr">
        <is>
          <t>HEBY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7216-2026</t>
        </is>
      </c>
      <c r="B388" s="1" t="n">
        <v>46058</v>
      </c>
      <c r="C388" s="1" t="n">
        <v>46198</v>
      </c>
      <c r="D388" t="inlineStr">
        <is>
          <t>UPPSALA LÄN</t>
        </is>
      </c>
      <c r="E388" t="inlineStr">
        <is>
          <t>HEBY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7320-2026</t>
        </is>
      </c>
      <c r="B389" s="1" t="n">
        <v>46058</v>
      </c>
      <c r="C389" s="1" t="n">
        <v>46198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7473-2026</t>
        </is>
      </c>
      <c r="B390" s="1" t="n">
        <v>46059</v>
      </c>
      <c r="C390" s="1" t="n">
        <v>46198</v>
      </c>
      <c r="D390" t="inlineStr">
        <is>
          <t>UPPSALA LÄN</t>
        </is>
      </c>
      <c r="E390" t="inlineStr">
        <is>
          <t>HEBY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7222-2026</t>
        </is>
      </c>
      <c r="B391" s="1" t="n">
        <v>46058</v>
      </c>
      <c r="C391" s="1" t="n">
        <v>46198</v>
      </c>
      <c r="D391" t="inlineStr">
        <is>
          <t>UPPSALA LÄN</t>
        </is>
      </c>
      <c r="E391" t="inlineStr">
        <is>
          <t>HEBY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7986-2026</t>
        </is>
      </c>
      <c r="B392" s="1" t="n">
        <v>46063</v>
      </c>
      <c r="C392" s="1" t="n">
        <v>46198</v>
      </c>
      <c r="D392" t="inlineStr">
        <is>
          <t>UPPSALA LÄN</t>
        </is>
      </c>
      <c r="E392" t="inlineStr">
        <is>
          <t>HEBY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8003-2026</t>
        </is>
      </c>
      <c r="B393" s="1" t="n">
        <v>46063</v>
      </c>
      <c r="C393" s="1" t="n">
        <v>46198</v>
      </c>
      <c r="D393" t="inlineStr">
        <is>
          <t>UPPSALA LÄN</t>
        </is>
      </c>
      <c r="E393" t="inlineStr">
        <is>
          <t>HEBY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31560-2023</t>
        </is>
      </c>
      <c r="B394" s="1" t="n">
        <v>45117</v>
      </c>
      <c r="C394" s="1" t="n">
        <v>46198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8051-2023</t>
        </is>
      </c>
      <c r="B395" s="1" t="n">
        <v>44974</v>
      </c>
      <c r="C395" s="1" t="n">
        <v>46198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30891-2023</t>
        </is>
      </c>
      <c r="B396" s="1" t="n">
        <v>45113</v>
      </c>
      <c r="C396" s="1" t="n">
        <v>46198</v>
      </c>
      <c r="D396" t="inlineStr">
        <is>
          <t>UPPSALA LÄN</t>
        </is>
      </c>
      <c r="E396" t="inlineStr">
        <is>
          <t>HEBY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33705-2023</t>
        </is>
      </c>
      <c r="B397" s="1" t="n">
        <v>45132</v>
      </c>
      <c r="C397" s="1" t="n">
        <v>46198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33706-2023</t>
        </is>
      </c>
      <c r="B398" s="1" t="n">
        <v>45132</v>
      </c>
      <c r="C398" s="1" t="n">
        <v>46198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</v>
      </c>
      <c r="C399" s="1" t="n">
        <v>46198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9356-2026</t>
        </is>
      </c>
      <c r="B400" s="1" t="n">
        <v>46070</v>
      </c>
      <c r="C400" s="1" t="n">
        <v>46198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19764-2023</t>
        </is>
      </c>
      <c r="B401" s="1" t="n">
        <v>45050</v>
      </c>
      <c r="C401" s="1" t="n">
        <v>46198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6660-2026</t>
        </is>
      </c>
      <c r="B402" s="1" t="n">
        <v>46056</v>
      </c>
      <c r="C402" s="1" t="n">
        <v>46198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9348-2026</t>
        </is>
      </c>
      <c r="B403" s="1" t="n">
        <v>46070</v>
      </c>
      <c r="C403" s="1" t="n">
        <v>46198</v>
      </c>
      <c r="D403" t="inlineStr">
        <is>
          <t>UPPSALA LÄN</t>
        </is>
      </c>
      <c r="E403" t="inlineStr">
        <is>
          <t>HEBY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9456-2026</t>
        </is>
      </c>
      <c r="B404" s="1" t="n">
        <v>46071</v>
      </c>
      <c r="C404" s="1" t="n">
        <v>46198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9877-2026</t>
        </is>
      </c>
      <c r="B405" s="1" t="n">
        <v>46073</v>
      </c>
      <c r="C405" s="1" t="n">
        <v>46198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9895-2026</t>
        </is>
      </c>
      <c r="B406" s="1" t="n">
        <v>46073</v>
      </c>
      <c r="C406" s="1" t="n">
        <v>46198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2611-2023</t>
        </is>
      </c>
      <c r="B407" s="1" t="n">
        <v>44944</v>
      </c>
      <c r="C407" s="1" t="n">
        <v>46198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10131-2026</t>
        </is>
      </c>
      <c r="B408" s="1" t="n">
        <v>46076</v>
      </c>
      <c r="C408" s="1" t="n">
        <v>46198</v>
      </c>
      <c r="D408" t="inlineStr">
        <is>
          <t>UPPSALA LÄN</t>
        </is>
      </c>
      <c r="E408" t="inlineStr">
        <is>
          <t>HEBY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42859-2024</t>
        </is>
      </c>
      <c r="B409" s="1" t="n">
        <v>45566</v>
      </c>
      <c r="C409" s="1" t="n">
        <v>46198</v>
      </c>
      <c r="D409" t="inlineStr">
        <is>
          <t>UPPSALA LÄN</t>
        </is>
      </c>
      <c r="E409" t="inlineStr">
        <is>
          <t>HEBY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7128-2026</t>
        </is>
      </c>
      <c r="B410" s="1" t="n">
        <v>46058</v>
      </c>
      <c r="C410" s="1" t="n">
        <v>46198</v>
      </c>
      <c r="D410" t="inlineStr">
        <is>
          <t>UPPSALA LÄN</t>
        </is>
      </c>
      <c r="E410" t="inlineStr">
        <is>
          <t>HEBY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16660-2023</t>
        </is>
      </c>
      <c r="B411" s="1" t="n">
        <v>45030</v>
      </c>
      <c r="C411" s="1" t="n">
        <v>46198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13603-2023</t>
        </is>
      </c>
      <c r="B412" s="1" t="n">
        <v>45006</v>
      </c>
      <c r="C412" s="1" t="n">
        <v>46198</v>
      </c>
      <c r="D412" t="inlineStr">
        <is>
          <t>UPPSALA LÄN</t>
        </is>
      </c>
      <c r="E412" t="inlineStr">
        <is>
          <t>HEBY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31586-2023</t>
        </is>
      </c>
      <c r="B413" s="1" t="n">
        <v>45117</v>
      </c>
      <c r="C413" s="1" t="n">
        <v>46198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11056-2026</t>
        </is>
      </c>
      <c r="B414" s="1" t="n">
        <v>46079</v>
      </c>
      <c r="C414" s="1" t="n">
        <v>46198</v>
      </c>
      <c r="D414" t="inlineStr">
        <is>
          <t>UPPSALA LÄN</t>
        </is>
      </c>
      <c r="E414" t="inlineStr">
        <is>
          <t>HEBY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6203-2023</t>
        </is>
      </c>
      <c r="B415" s="1" t="n">
        <v>44964</v>
      </c>
      <c r="C415" s="1" t="n">
        <v>46198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45821-2023</t>
        </is>
      </c>
      <c r="B416" s="1" t="n">
        <v>45195</v>
      </c>
      <c r="C416" s="1" t="n">
        <v>46198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34593-2023</t>
        </is>
      </c>
      <c r="B417" s="1" t="n">
        <v>45138</v>
      </c>
      <c r="C417" s="1" t="n">
        <v>46198</v>
      </c>
      <c r="D417" t="inlineStr">
        <is>
          <t>UPPSALA LÄN</t>
        </is>
      </c>
      <c r="E417" t="inlineStr">
        <is>
          <t>HEBY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18849-2024</t>
        </is>
      </c>
      <c r="B418" s="1" t="n">
        <v>45426</v>
      </c>
      <c r="C418" s="1" t="n">
        <v>46198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13302-2026</t>
        </is>
      </c>
      <c r="B419" s="1" t="n">
        <v>46094</v>
      </c>
      <c r="C419" s="1" t="n">
        <v>46198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39154-2023</t>
        </is>
      </c>
      <c r="B420" s="1" t="n">
        <v>45166</v>
      </c>
      <c r="C420" s="1" t="n">
        <v>46198</v>
      </c>
      <c r="D420" t="inlineStr">
        <is>
          <t>UPPSALA LÄN</t>
        </is>
      </c>
      <c r="E420" t="inlineStr">
        <is>
          <t>HEBY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44464-2021</t>
        </is>
      </c>
      <c r="B421" s="1" t="n">
        <v>44435</v>
      </c>
      <c r="C421" s="1" t="n">
        <v>46198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11715-2024</t>
        </is>
      </c>
      <c r="B422" s="1" t="n">
        <v>45373</v>
      </c>
      <c r="C422" s="1" t="n">
        <v>46198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13099-2026</t>
        </is>
      </c>
      <c r="B423" s="1" t="n">
        <v>46093</v>
      </c>
      <c r="C423" s="1" t="n">
        <v>46198</v>
      </c>
      <c r="D423" t="inlineStr">
        <is>
          <t>UPPSALA LÄN</t>
        </is>
      </c>
      <c r="E423" t="inlineStr">
        <is>
          <t>HEBY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13092-2026</t>
        </is>
      </c>
      <c r="B424" s="1" t="n">
        <v>46093</v>
      </c>
      <c r="C424" s="1" t="n">
        <v>46198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50281-2023</t>
        </is>
      </c>
      <c r="B425" s="1" t="n">
        <v>45216</v>
      </c>
      <c r="C425" s="1" t="n">
        <v>46198</v>
      </c>
      <c r="D425" t="inlineStr">
        <is>
          <t>UPPSALA LÄN</t>
        </is>
      </c>
      <c r="E425" t="inlineStr">
        <is>
          <t>HEBY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13089-2026</t>
        </is>
      </c>
      <c r="B426" s="1" t="n">
        <v>46093</v>
      </c>
      <c r="C426" s="1" t="n">
        <v>46198</v>
      </c>
      <c r="D426" t="inlineStr">
        <is>
          <t>UPPSALA LÄN</t>
        </is>
      </c>
      <c r="E426" t="inlineStr">
        <is>
          <t>HEBY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13097-2026</t>
        </is>
      </c>
      <c r="B427" s="1" t="n">
        <v>46093</v>
      </c>
      <c r="C427" s="1" t="n">
        <v>46198</v>
      </c>
      <c r="D427" t="inlineStr">
        <is>
          <t>UPPSALA LÄN</t>
        </is>
      </c>
      <c r="E427" t="inlineStr">
        <is>
          <t>HEBY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31143-2023</t>
        </is>
      </c>
      <c r="B428" s="1" t="n">
        <v>45103</v>
      </c>
      <c r="C428" s="1" t="n">
        <v>46198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11835-2024</t>
        </is>
      </c>
      <c r="B429" s="1" t="n">
        <v>45376</v>
      </c>
      <c r="C429" s="1" t="n">
        <v>46198</v>
      </c>
      <c r="D429" t="inlineStr">
        <is>
          <t>UPPSALA LÄN</t>
        </is>
      </c>
      <c r="E429" t="inlineStr">
        <is>
          <t>HEBY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14765-2026</t>
        </is>
      </c>
      <c r="B430" s="1" t="n">
        <v>46101</v>
      </c>
      <c r="C430" s="1" t="n">
        <v>46198</v>
      </c>
      <c r="D430" t="inlineStr">
        <is>
          <t>UPPSALA LÄN</t>
        </is>
      </c>
      <c r="E430" t="inlineStr">
        <is>
          <t>HEBY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24558-2023</t>
        </is>
      </c>
      <c r="B431" s="1" t="n">
        <v>45083</v>
      </c>
      <c r="C431" s="1" t="n">
        <v>46198</v>
      </c>
      <c r="D431" t="inlineStr">
        <is>
          <t>UPPSALA LÄN</t>
        </is>
      </c>
      <c r="E431" t="inlineStr">
        <is>
          <t>HEBY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2641-2023</t>
        </is>
      </c>
      <c r="B432" s="1" t="n">
        <v>44944</v>
      </c>
      <c r="C432" s="1" t="n">
        <v>46198</v>
      </c>
      <c r="D432" t="inlineStr">
        <is>
          <t>UPPSALA LÄN</t>
        </is>
      </c>
      <c r="E432" t="inlineStr">
        <is>
          <t>HEBY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9623-2026</t>
        </is>
      </c>
      <c r="B433" s="1" t="n">
        <v>46072</v>
      </c>
      <c r="C433" s="1" t="n">
        <v>46198</v>
      </c>
      <c r="D433" t="inlineStr">
        <is>
          <t>UPPSALA LÄN</t>
        </is>
      </c>
      <c r="E433" t="inlineStr">
        <is>
          <t>HEBY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12489-2024</t>
        </is>
      </c>
      <c r="B434" s="1" t="n">
        <v>45379</v>
      </c>
      <c r="C434" s="1" t="n">
        <v>46198</v>
      </c>
      <c r="D434" t="inlineStr">
        <is>
          <t>UPPSALA LÄN</t>
        </is>
      </c>
      <c r="E434" t="inlineStr">
        <is>
          <t>HEBY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1755-2022</t>
        </is>
      </c>
      <c r="B435" s="1" t="n">
        <v>44574</v>
      </c>
      <c r="C435" s="1" t="n">
        <v>46198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56398-2023</t>
        </is>
      </c>
      <c r="B436" s="1" t="n">
        <v>45243</v>
      </c>
      <c r="C436" s="1" t="n">
        <v>46198</v>
      </c>
      <c r="D436" t="inlineStr">
        <is>
          <t>UPPSALA LÄN</t>
        </is>
      </c>
      <c r="E436" t="inlineStr">
        <is>
          <t>HEBY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16164-2026</t>
        </is>
      </c>
      <c r="B437" s="1" t="n">
        <v>46110</v>
      </c>
      <c r="C437" s="1" t="n">
        <v>46198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3641-2022</t>
        </is>
      </c>
      <c r="B438" s="1" t="n">
        <v>44586</v>
      </c>
      <c r="C438" s="1" t="n">
        <v>46198</v>
      </c>
      <c r="D438" t="inlineStr">
        <is>
          <t>UPPSALA LÄN</t>
        </is>
      </c>
      <c r="E438" t="inlineStr">
        <is>
          <t>HEBY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16515-2026</t>
        </is>
      </c>
      <c r="B439" s="1" t="n">
        <v>46112</v>
      </c>
      <c r="C439" s="1" t="n">
        <v>46198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59486-2021</t>
        </is>
      </c>
      <c r="B440" s="1" t="n">
        <v>44491</v>
      </c>
      <c r="C440" s="1" t="n">
        <v>46198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16357-2026</t>
        </is>
      </c>
      <c r="B441" s="1" t="n">
        <v>46111</v>
      </c>
      <c r="C441" s="1" t="n">
        <v>46198</v>
      </c>
      <c r="D441" t="inlineStr">
        <is>
          <t>UPPSALA LÄN</t>
        </is>
      </c>
      <c r="E441" t="inlineStr">
        <is>
          <t>HEBY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16513-2026</t>
        </is>
      </c>
      <c r="B442" s="1" t="n">
        <v>46112</v>
      </c>
      <c r="C442" s="1" t="n">
        <v>46198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16509-2026</t>
        </is>
      </c>
      <c r="B443" s="1" t="n">
        <v>46112</v>
      </c>
      <c r="C443" s="1" t="n">
        <v>46198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16506-2026</t>
        </is>
      </c>
      <c r="B444" s="1" t="n">
        <v>46112</v>
      </c>
      <c r="C444" s="1" t="n">
        <v>46198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16511-2026</t>
        </is>
      </c>
      <c r="B445" s="1" t="n">
        <v>46112</v>
      </c>
      <c r="C445" s="1" t="n">
        <v>46198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17078-2026</t>
        </is>
      </c>
      <c r="B446" s="1" t="n">
        <v>46114</v>
      </c>
      <c r="C446" s="1" t="n">
        <v>46198</v>
      </c>
      <c r="D446" t="inlineStr">
        <is>
          <t>UPPSALA LÄN</t>
        </is>
      </c>
      <c r="E446" t="inlineStr">
        <is>
          <t>HEBY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60461-2022</t>
        </is>
      </c>
      <c r="B447" s="1" t="n">
        <v>44911</v>
      </c>
      <c r="C447" s="1" t="n">
        <v>46198</v>
      </c>
      <c r="D447" t="inlineStr">
        <is>
          <t>UPPSALA LÄN</t>
        </is>
      </c>
      <c r="E447" t="inlineStr">
        <is>
          <t>HEBY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17077-2026</t>
        </is>
      </c>
      <c r="B448" s="1" t="n">
        <v>46114</v>
      </c>
      <c r="C448" s="1" t="n">
        <v>46198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3368-2024</t>
        </is>
      </c>
      <c r="B449" s="1" t="n">
        <v>45317</v>
      </c>
      <c r="C449" s="1" t="n">
        <v>46198</v>
      </c>
      <c r="D449" t="inlineStr">
        <is>
          <t>UPPSALA LÄN</t>
        </is>
      </c>
      <c r="E449" t="inlineStr">
        <is>
          <t>HEBY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9043-2023</t>
        </is>
      </c>
      <c r="B450" s="1" t="n">
        <v>44979</v>
      </c>
      <c r="C450" s="1" t="n">
        <v>46198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27879-2023</t>
        </is>
      </c>
      <c r="B451" s="1" t="n">
        <v>45098</v>
      </c>
      <c r="C451" s="1" t="n">
        <v>46198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22865-2026</t>
        </is>
      </c>
      <c r="B452" s="1" t="n">
        <v>46160</v>
      </c>
      <c r="C452" s="1" t="n">
        <v>46198</v>
      </c>
      <c r="D452" t="inlineStr">
        <is>
          <t>UPPSALA LÄN</t>
        </is>
      </c>
      <c r="E452" t="inlineStr">
        <is>
          <t>HEBY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17239-2026</t>
        </is>
      </c>
      <c r="B453" s="1" t="n">
        <v>46119</v>
      </c>
      <c r="C453" s="1" t="n">
        <v>46198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56884-2022</t>
        </is>
      </c>
      <c r="B454" s="1" t="n">
        <v>44888</v>
      </c>
      <c r="C454" s="1" t="n">
        <v>46198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8783-2023</t>
        </is>
      </c>
      <c r="B455" s="1" t="n">
        <v>44978</v>
      </c>
      <c r="C455" s="1" t="n">
        <v>46198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191-2024</t>
        </is>
      </c>
      <c r="B456" s="1" t="n">
        <v>45294</v>
      </c>
      <c r="C456" s="1" t="n">
        <v>46198</v>
      </c>
      <c r="D456" t="inlineStr">
        <is>
          <t>UPPSALA LÄN</t>
        </is>
      </c>
      <c r="E456" t="inlineStr">
        <is>
          <t>HEBY</t>
        </is>
      </c>
      <c r="F456" t="inlineStr">
        <is>
          <t>Kommuner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23490-2026</t>
        </is>
      </c>
      <c r="B457" s="1" t="n">
        <v>46163</v>
      </c>
      <c r="C457" s="1" t="n">
        <v>46198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11379-2025</t>
        </is>
      </c>
      <c r="B458" s="1" t="n">
        <v>45726</v>
      </c>
      <c r="C458" s="1" t="n">
        <v>46198</v>
      </c>
      <c r="D458" t="inlineStr">
        <is>
          <t>UPPSALA LÄN</t>
        </is>
      </c>
      <c r="E458" t="inlineStr">
        <is>
          <t>HEBY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24067-2026</t>
        </is>
      </c>
      <c r="B459" s="1" t="n">
        <v>46164</v>
      </c>
      <c r="C459" s="1" t="n">
        <v>46198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35.2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24212-2026</t>
        </is>
      </c>
      <c r="B460" s="1" t="n">
        <v>46168</v>
      </c>
      <c r="C460" s="1" t="n">
        <v>46198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18380-2026</t>
        </is>
      </c>
      <c r="B461" s="1" t="n">
        <v>46126</v>
      </c>
      <c r="C461" s="1" t="n">
        <v>46198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35644-2024</t>
        </is>
      </c>
      <c r="B462" s="1" t="n">
        <v>45532</v>
      </c>
      <c r="C462" s="1" t="n">
        <v>46198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23930-2026</t>
        </is>
      </c>
      <c r="B463" s="1" t="n">
        <v>46167</v>
      </c>
      <c r="C463" s="1" t="n">
        <v>46198</v>
      </c>
      <c r="D463" t="inlineStr">
        <is>
          <t>UPPSALA LÄN</t>
        </is>
      </c>
      <c r="E463" t="inlineStr">
        <is>
          <t>HEBY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39157-2023</t>
        </is>
      </c>
      <c r="B464" s="1" t="n">
        <v>45166</v>
      </c>
      <c r="C464" s="1" t="n">
        <v>46198</v>
      </c>
      <c r="D464" t="inlineStr">
        <is>
          <t>UPPSALA LÄN</t>
        </is>
      </c>
      <c r="E464" t="inlineStr">
        <is>
          <t>HEBY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9766-2023</t>
        </is>
      </c>
      <c r="B465" s="1" t="n">
        <v>44984</v>
      </c>
      <c r="C465" s="1" t="n">
        <v>46198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2541-2023</t>
        </is>
      </c>
      <c r="B466" s="1" t="n">
        <v>44943</v>
      </c>
      <c r="C466" s="1" t="n">
        <v>46198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2553-2023</t>
        </is>
      </c>
      <c r="B467" s="1" t="n">
        <v>44943</v>
      </c>
      <c r="C467" s="1" t="n">
        <v>46198</v>
      </c>
      <c r="D467" t="inlineStr">
        <is>
          <t>UPPSALA LÄN</t>
        </is>
      </c>
      <c r="E467" t="inlineStr">
        <is>
          <t>HEBY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2617-2023</t>
        </is>
      </c>
      <c r="B468" s="1" t="n">
        <v>44944</v>
      </c>
      <c r="C468" s="1" t="n">
        <v>46198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59207-2023</t>
        </is>
      </c>
      <c r="B469" s="1" t="n">
        <v>45252</v>
      </c>
      <c r="C469" s="1" t="n">
        <v>46198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18374-2026</t>
        </is>
      </c>
      <c r="B470" s="1" t="n">
        <v>46126</v>
      </c>
      <c r="C470" s="1" t="n">
        <v>46198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24336-2026</t>
        </is>
      </c>
      <c r="B471" s="1" t="n">
        <v>46169</v>
      </c>
      <c r="C471" s="1" t="n">
        <v>46198</v>
      </c>
      <c r="D471" t="inlineStr">
        <is>
          <t>UPPSALA LÄN</t>
        </is>
      </c>
      <c r="E471" t="inlineStr">
        <is>
          <t>HEBY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18545-2026</t>
        </is>
      </c>
      <c r="B472" s="1" t="n">
        <v>46127</v>
      </c>
      <c r="C472" s="1" t="n">
        <v>46198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60295-2021</t>
        </is>
      </c>
      <c r="B473" s="1" t="n">
        <v>44495</v>
      </c>
      <c r="C473" s="1" t="n">
        <v>46198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62145-2022</t>
        </is>
      </c>
      <c r="B474" s="1" t="n">
        <v>44914</v>
      </c>
      <c r="C474" s="1" t="n">
        <v>46198</v>
      </c>
      <c r="D474" t="inlineStr">
        <is>
          <t>UPPSALA LÄN</t>
        </is>
      </c>
      <c r="E474" t="inlineStr">
        <is>
          <t>HEBY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8046-2023</t>
        </is>
      </c>
      <c r="B475" s="1" t="n">
        <v>44974</v>
      </c>
      <c r="C475" s="1" t="n">
        <v>46198</v>
      </c>
      <c r="D475" t="inlineStr">
        <is>
          <t>UPPSALA LÄN</t>
        </is>
      </c>
      <c r="E475" t="inlineStr">
        <is>
          <t>HEBY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40924-2023</t>
        </is>
      </c>
      <c r="B476" s="1" t="n">
        <v>45173</v>
      </c>
      <c r="C476" s="1" t="n">
        <v>46198</v>
      </c>
      <c r="D476" t="inlineStr">
        <is>
          <t>UPPSALA LÄN</t>
        </is>
      </c>
      <c r="E476" t="inlineStr">
        <is>
          <t>HEBY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40926-2023</t>
        </is>
      </c>
      <c r="B477" s="1" t="n">
        <v>45173</v>
      </c>
      <c r="C477" s="1" t="n">
        <v>46198</v>
      </c>
      <c r="D477" t="inlineStr">
        <is>
          <t>UPPSALA LÄN</t>
        </is>
      </c>
      <c r="E477" t="inlineStr">
        <is>
          <t>HEBY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4487-2023</t>
        </is>
      </c>
      <c r="B478" s="1" t="n">
        <v>44956</v>
      </c>
      <c r="C478" s="1" t="n">
        <v>46198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24991-2026</t>
        </is>
      </c>
      <c r="B479" s="1" t="n">
        <v>46174</v>
      </c>
      <c r="C479" s="1" t="n">
        <v>46198</v>
      </c>
      <c r="D479" t="inlineStr">
        <is>
          <t>UPPSALA LÄN</t>
        </is>
      </c>
      <c r="E479" t="inlineStr">
        <is>
          <t>HEBY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19337-2026</t>
        </is>
      </c>
      <c r="B480" s="1" t="n">
        <v>46133</v>
      </c>
      <c r="C480" s="1" t="n">
        <v>46198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15427-2025</t>
        </is>
      </c>
      <c r="B481" s="1" t="n">
        <v>45747</v>
      </c>
      <c r="C481" s="1" t="n">
        <v>46198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7173-2024</t>
        </is>
      </c>
      <c r="B482" s="1" t="n">
        <v>45344</v>
      </c>
      <c r="C482" s="1" t="n">
        <v>46198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24963-2026</t>
        </is>
      </c>
      <c r="B483" s="1" t="n">
        <v>46174</v>
      </c>
      <c r="C483" s="1" t="n">
        <v>46198</v>
      </c>
      <c r="D483" t="inlineStr">
        <is>
          <t>UPPSALA LÄN</t>
        </is>
      </c>
      <c r="E483" t="inlineStr">
        <is>
          <t>HEBY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19744-2026</t>
        </is>
      </c>
      <c r="B484" s="1" t="n">
        <v>46135</v>
      </c>
      <c r="C484" s="1" t="n">
        <v>46198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29340-2022</t>
        </is>
      </c>
      <c r="B485" s="1" t="n">
        <v>44752</v>
      </c>
      <c r="C485" s="1" t="n">
        <v>46198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20066-2026</t>
        </is>
      </c>
      <c r="B486" s="1" t="n">
        <v>46135</v>
      </c>
      <c r="C486" s="1" t="n">
        <v>46198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5633-2025</t>
        </is>
      </c>
      <c r="B487" s="1" t="n">
        <v>45693</v>
      </c>
      <c r="C487" s="1" t="n">
        <v>46198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13978-2023</t>
        </is>
      </c>
      <c r="B488" s="1" t="n">
        <v>45008</v>
      </c>
      <c r="C488" s="1" t="n">
        <v>46198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11057-2024</t>
        </is>
      </c>
      <c r="B489" s="1" t="n">
        <v>45370</v>
      </c>
      <c r="C489" s="1" t="n">
        <v>46198</v>
      </c>
      <c r="D489" t="inlineStr">
        <is>
          <t>UPPSALA LÄN</t>
        </is>
      </c>
      <c r="E489" t="inlineStr">
        <is>
          <t>HEBY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6866-2022</t>
        </is>
      </c>
      <c r="B490" s="1" t="n">
        <v>44602</v>
      </c>
      <c r="C490" s="1" t="n">
        <v>46198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19718-2023</t>
        </is>
      </c>
      <c r="B491" s="1" t="n">
        <v>45050</v>
      </c>
      <c r="C491" s="1" t="n">
        <v>46198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60456-2022</t>
        </is>
      </c>
      <c r="B492" s="1" t="n">
        <v>44911</v>
      </c>
      <c r="C492" s="1" t="n">
        <v>46198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8805-2023</t>
        </is>
      </c>
      <c r="B493" s="1" t="n">
        <v>44978</v>
      </c>
      <c r="C493" s="1" t="n">
        <v>46198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14916-2025</t>
        </is>
      </c>
      <c r="B494" s="1" t="n">
        <v>45743</v>
      </c>
      <c r="C494" s="1" t="n">
        <v>46198</v>
      </c>
      <c r="D494" t="inlineStr">
        <is>
          <t>UPPSALA LÄN</t>
        </is>
      </c>
      <c r="E494" t="inlineStr">
        <is>
          <t>HEBY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478-2025</t>
        </is>
      </c>
      <c r="B495" s="1" t="n">
        <v>45664</v>
      </c>
      <c r="C495" s="1" t="n">
        <v>46198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18278-2024</t>
        </is>
      </c>
      <c r="B496" s="1" t="n">
        <v>45422</v>
      </c>
      <c r="C496" s="1" t="n">
        <v>46198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28226-2023</t>
        </is>
      </c>
      <c r="B497" s="1" t="n">
        <v>45099</v>
      </c>
      <c r="C497" s="1" t="n">
        <v>46198</v>
      </c>
      <c r="D497" t="inlineStr">
        <is>
          <t>UPPSALA LÄN</t>
        </is>
      </c>
      <c r="E497" t="inlineStr">
        <is>
          <t>HEBY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53911-2023</t>
        </is>
      </c>
      <c r="B498" s="1" t="n">
        <v>45231</v>
      </c>
      <c r="C498" s="1" t="n">
        <v>46198</v>
      </c>
      <c r="D498" t="inlineStr">
        <is>
          <t>UPPSALA LÄN</t>
        </is>
      </c>
      <c r="E498" t="inlineStr">
        <is>
          <t>HEBY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32181-2024</t>
        </is>
      </c>
      <c r="B499" s="1" t="n">
        <v>45511</v>
      </c>
      <c r="C499" s="1" t="n">
        <v>46198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21293-2023</t>
        </is>
      </c>
      <c r="B500" s="1" t="n">
        <v>45058</v>
      </c>
      <c r="C500" s="1" t="n">
        <v>46198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11503-2023</t>
        </is>
      </c>
      <c r="B501" s="1" t="n">
        <v>44993</v>
      </c>
      <c r="C501" s="1" t="n">
        <v>46198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44093-2024</t>
        </is>
      </c>
      <c r="B502" s="1" t="n">
        <v>45572</v>
      </c>
      <c r="C502" s="1" t="n">
        <v>46198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40533-2022</t>
        </is>
      </c>
      <c r="B503" s="1" t="n">
        <v>44823</v>
      </c>
      <c r="C503" s="1" t="n">
        <v>46198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29387-2022</t>
        </is>
      </c>
      <c r="B504" s="1" t="n">
        <v>44753</v>
      </c>
      <c r="C504" s="1" t="n">
        <v>46198</v>
      </c>
      <c r="D504" t="inlineStr">
        <is>
          <t>UPPSALA LÄN</t>
        </is>
      </c>
      <c r="E504" t="inlineStr">
        <is>
          <t>HEBY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31903-2023</t>
        </is>
      </c>
      <c r="B505" s="1" t="n">
        <v>45118</v>
      </c>
      <c r="C505" s="1" t="n">
        <v>46198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46408-2024</t>
        </is>
      </c>
      <c r="B506" s="1" t="n">
        <v>45582</v>
      </c>
      <c r="C506" s="1" t="n">
        <v>46198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4213-2023</t>
        </is>
      </c>
      <c r="B507" s="1" t="n">
        <v>44951</v>
      </c>
      <c r="C507" s="1" t="n">
        <v>46198</v>
      </c>
      <c r="D507" t="inlineStr">
        <is>
          <t>UPPSALA LÄN</t>
        </is>
      </c>
      <c r="E507" t="inlineStr">
        <is>
          <t>HEBY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7468-2025</t>
        </is>
      </c>
      <c r="B508" s="1" t="n">
        <v>45705</v>
      </c>
      <c r="C508" s="1" t="n">
        <v>46198</v>
      </c>
      <c r="D508" t="inlineStr">
        <is>
          <t>UPPSALA LÄN</t>
        </is>
      </c>
      <c r="E508" t="inlineStr">
        <is>
          <t>HEBY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45917-2023</t>
        </is>
      </c>
      <c r="B509" s="1" t="n">
        <v>45195</v>
      </c>
      <c r="C509" s="1" t="n">
        <v>46198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61453-2022</t>
        </is>
      </c>
      <c r="B510" s="1" t="n">
        <v>44916</v>
      </c>
      <c r="C510" s="1" t="n">
        <v>46198</v>
      </c>
      <c r="D510" t="inlineStr">
        <is>
          <t>UPPSALA LÄN</t>
        </is>
      </c>
      <c r="E510" t="inlineStr">
        <is>
          <t>HEBY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29396-2022</t>
        </is>
      </c>
      <c r="B511" s="1" t="n">
        <v>44753</v>
      </c>
      <c r="C511" s="1" t="n">
        <v>46198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8660-2022</t>
        </is>
      </c>
      <c r="B512" s="1" t="n">
        <v>44613</v>
      </c>
      <c r="C512" s="1" t="n">
        <v>46198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23065-2023</t>
        </is>
      </c>
      <c r="B513" s="1" t="n">
        <v>45075</v>
      </c>
      <c r="C513" s="1" t="n">
        <v>46198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46198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41546-2023</t>
        </is>
      </c>
      <c r="B515" s="1" t="n">
        <v>45175</v>
      </c>
      <c r="C515" s="1" t="n">
        <v>46198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8881-2025</t>
        </is>
      </c>
      <c r="B516" s="1" t="n">
        <v>45713</v>
      </c>
      <c r="C516" s="1" t="n">
        <v>46198</v>
      </c>
      <c r="D516" t="inlineStr">
        <is>
          <t>UPPSALA LÄN</t>
        </is>
      </c>
      <c r="E516" t="inlineStr">
        <is>
          <t>HEBY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9497-2023</t>
        </is>
      </c>
      <c r="B517" s="1" t="n">
        <v>44981</v>
      </c>
      <c r="C517" s="1" t="n">
        <v>46198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31564-2023</t>
        </is>
      </c>
      <c r="B518" s="1" t="n">
        <v>45117</v>
      </c>
      <c r="C518" s="1" t="n">
        <v>46198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31566-2023</t>
        </is>
      </c>
      <c r="B519" s="1" t="n">
        <v>45117</v>
      </c>
      <c r="C519" s="1" t="n">
        <v>46198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31567-2023</t>
        </is>
      </c>
      <c r="B520" s="1" t="n">
        <v>45117</v>
      </c>
      <c r="C520" s="1" t="n">
        <v>46198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45964-2021</t>
        </is>
      </c>
      <c r="B521" s="1" t="n">
        <v>44441</v>
      </c>
      <c r="C521" s="1" t="n">
        <v>46198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58914-2023</t>
        </is>
      </c>
      <c r="B522" s="1" t="n">
        <v>45250</v>
      </c>
      <c r="C522" s="1" t="n">
        <v>46198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46198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11573-2025</t>
        </is>
      </c>
      <c r="B524" s="1" t="n">
        <v>45727</v>
      </c>
      <c r="C524" s="1" t="n">
        <v>46198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4388-2025</t>
        </is>
      </c>
      <c r="B525" s="1" t="n">
        <v>45686</v>
      </c>
      <c r="C525" s="1" t="n">
        <v>46198</v>
      </c>
      <c r="D525" t="inlineStr">
        <is>
          <t>UPPSALA LÄN</t>
        </is>
      </c>
      <c r="E525" t="inlineStr">
        <is>
          <t>HEBY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31139-2023</t>
        </is>
      </c>
      <c r="B526" s="1" t="n">
        <v>45103</v>
      </c>
      <c r="C526" s="1" t="n">
        <v>46198</v>
      </c>
      <c r="D526" t="inlineStr">
        <is>
          <t>UPPSALA LÄN</t>
        </is>
      </c>
      <c r="E526" t="inlineStr">
        <is>
          <t>HEBY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38049-2021</t>
        </is>
      </c>
      <c r="B527" s="1" t="n">
        <v>44404</v>
      </c>
      <c r="C527" s="1" t="n">
        <v>46198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9815-2022</t>
        </is>
      </c>
      <c r="B528" s="1" t="n">
        <v>44620</v>
      </c>
      <c r="C528" s="1" t="n">
        <v>46198</v>
      </c>
      <c r="D528" t="inlineStr">
        <is>
          <t>UPPSALA LÄN</t>
        </is>
      </c>
      <c r="E528" t="inlineStr">
        <is>
          <t>HEBY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1086-2025</t>
        </is>
      </c>
      <c r="B529" s="1" t="n">
        <v>45666</v>
      </c>
      <c r="C529" s="1" t="n">
        <v>46198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15424-2025</t>
        </is>
      </c>
      <c r="B530" s="1" t="n">
        <v>45747</v>
      </c>
      <c r="C530" s="1" t="n">
        <v>46198</v>
      </c>
      <c r="D530" t="inlineStr">
        <is>
          <t>UPPSALA LÄN</t>
        </is>
      </c>
      <c r="E530" t="inlineStr">
        <is>
          <t>HEBY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14437-2024</t>
        </is>
      </c>
      <c r="B531" s="1" t="n">
        <v>45394</v>
      </c>
      <c r="C531" s="1" t="n">
        <v>46198</v>
      </c>
      <c r="D531" t="inlineStr">
        <is>
          <t>UPPSALA LÄN</t>
        </is>
      </c>
      <c r="E531" t="inlineStr">
        <is>
          <t>HEBY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37073-2024</t>
        </is>
      </c>
      <c r="B532" s="1" t="n">
        <v>45539</v>
      </c>
      <c r="C532" s="1" t="n">
        <v>46198</v>
      </c>
      <c r="D532" t="inlineStr">
        <is>
          <t>UPPSALA LÄN</t>
        </is>
      </c>
      <c r="E532" t="inlineStr">
        <is>
          <t>HEBY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13213-2022</t>
        </is>
      </c>
      <c r="B533" s="1" t="n">
        <v>44644</v>
      </c>
      <c r="C533" s="1" t="n">
        <v>46198</v>
      </c>
      <c r="D533" t="inlineStr">
        <is>
          <t>UPPSALA LÄN</t>
        </is>
      </c>
      <c r="E533" t="inlineStr">
        <is>
          <t>HEBY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8699-2024</t>
        </is>
      </c>
      <c r="B534" s="1" t="n">
        <v>45355</v>
      </c>
      <c r="C534" s="1" t="n">
        <v>46198</v>
      </c>
      <c r="D534" t="inlineStr">
        <is>
          <t>UPPSALA LÄN</t>
        </is>
      </c>
      <c r="E534" t="inlineStr">
        <is>
          <t>HEBY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13601-2024</t>
        </is>
      </c>
      <c r="B535" s="1" t="n">
        <v>45390</v>
      </c>
      <c r="C535" s="1" t="n">
        <v>46198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22333-2025</t>
        </is>
      </c>
      <c r="B536" s="1" t="n">
        <v>45786</v>
      </c>
      <c r="C536" s="1" t="n">
        <v>46198</v>
      </c>
      <c r="D536" t="inlineStr">
        <is>
          <t>UPPSALA LÄN</t>
        </is>
      </c>
      <c r="E536" t="inlineStr">
        <is>
          <t>HEBY</t>
        </is>
      </c>
      <c r="F536" t="inlineStr">
        <is>
          <t>Kyrkan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22334-2025</t>
        </is>
      </c>
      <c r="B537" s="1" t="n">
        <v>45786</v>
      </c>
      <c r="C537" s="1" t="n">
        <v>46198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22455-2025</t>
        </is>
      </c>
      <c r="B538" s="1" t="n">
        <v>45786</v>
      </c>
      <c r="C538" s="1" t="n">
        <v>46198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22460-2025</t>
        </is>
      </c>
      <c r="B539" s="1" t="n">
        <v>45786</v>
      </c>
      <c r="C539" s="1" t="n">
        <v>46198</v>
      </c>
      <c r="D539" t="inlineStr">
        <is>
          <t>UPPSALA LÄN</t>
        </is>
      </c>
      <c r="E539" t="inlineStr">
        <is>
          <t>HEBY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3234-2023</t>
        </is>
      </c>
      <c r="B540" s="1" t="n">
        <v>44946</v>
      </c>
      <c r="C540" s="1" t="n">
        <v>46198</v>
      </c>
      <c r="D540" t="inlineStr">
        <is>
          <t>UPPSALA LÄN</t>
        </is>
      </c>
      <c r="E540" t="inlineStr">
        <is>
          <t>HEBY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4740-2024</t>
        </is>
      </c>
      <c r="B541" s="1" t="n">
        <v>45328</v>
      </c>
      <c r="C541" s="1" t="n">
        <v>46198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33734-2023</t>
        </is>
      </c>
      <c r="B542" s="1" t="n">
        <v>45133</v>
      </c>
      <c r="C542" s="1" t="n">
        <v>46198</v>
      </c>
      <c r="D542" t="inlineStr">
        <is>
          <t>UPPSALA LÄN</t>
        </is>
      </c>
      <c r="E542" t="inlineStr">
        <is>
          <t>HEBY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48948-2023</t>
        </is>
      </c>
      <c r="B543" s="1" t="n">
        <v>45209</v>
      </c>
      <c r="C543" s="1" t="n">
        <v>46198</v>
      </c>
      <c r="D543" t="inlineStr">
        <is>
          <t>UPPSALA LÄN</t>
        </is>
      </c>
      <c r="E543" t="inlineStr">
        <is>
          <t>HEBY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32867-2023</t>
        </is>
      </c>
      <c r="B544" s="1" t="n">
        <v>45112</v>
      </c>
      <c r="C544" s="1" t="n">
        <v>46198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24381-2025</t>
        </is>
      </c>
      <c r="B545" s="1" t="n">
        <v>45797</v>
      </c>
      <c r="C545" s="1" t="n">
        <v>46198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41556-2023</t>
        </is>
      </c>
      <c r="B546" s="1" t="n">
        <v>45175</v>
      </c>
      <c r="C546" s="1" t="n">
        <v>46198</v>
      </c>
      <c r="D546" t="inlineStr">
        <is>
          <t>UPPSALA LÄN</t>
        </is>
      </c>
      <c r="E546" t="inlineStr">
        <is>
          <t>HEBY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52796-2024</t>
        </is>
      </c>
      <c r="B547" s="1" t="n">
        <v>45610</v>
      </c>
      <c r="C547" s="1" t="n">
        <v>46198</v>
      </c>
      <c r="D547" t="inlineStr">
        <is>
          <t>UPPSALA LÄN</t>
        </is>
      </c>
      <c r="E547" t="inlineStr">
        <is>
          <t>HEBY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38831-2024</t>
        </is>
      </c>
      <c r="B548" s="1" t="n">
        <v>45547</v>
      </c>
      <c r="C548" s="1" t="n">
        <v>46198</v>
      </c>
      <c r="D548" t="inlineStr">
        <is>
          <t>UPPSALA LÄN</t>
        </is>
      </c>
      <c r="E548" t="inlineStr">
        <is>
          <t>HEBY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33350-2024</t>
        </is>
      </c>
      <c r="B549" s="1" t="n">
        <v>45519</v>
      </c>
      <c r="C549" s="1" t="n">
        <v>46198</v>
      </c>
      <c r="D549" t="inlineStr">
        <is>
          <t>UPPSALA LÄN</t>
        </is>
      </c>
      <c r="E549" t="inlineStr">
        <is>
          <t>HEBY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25677-2025</t>
        </is>
      </c>
      <c r="B550" s="1" t="n">
        <v>45803</v>
      </c>
      <c r="C550" s="1" t="n">
        <v>46198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7497-2025</t>
        </is>
      </c>
      <c r="B551" s="1" t="n">
        <v>45705</v>
      </c>
      <c r="C551" s="1" t="n">
        <v>46198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25969-2025</t>
        </is>
      </c>
      <c r="B552" s="1" t="n">
        <v>45804</v>
      </c>
      <c r="C552" s="1" t="n">
        <v>46198</v>
      </c>
      <c r="D552" t="inlineStr">
        <is>
          <t>UPPSALA LÄN</t>
        </is>
      </c>
      <c r="E552" t="inlineStr">
        <is>
          <t>HEBY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25968-2025</t>
        </is>
      </c>
      <c r="B553" s="1" t="n">
        <v>45804</v>
      </c>
      <c r="C553" s="1" t="n">
        <v>46198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13676-2024</t>
        </is>
      </c>
      <c r="B554" s="1" t="n">
        <v>45390</v>
      </c>
      <c r="C554" s="1" t="n">
        <v>46198</v>
      </c>
      <c r="D554" t="inlineStr">
        <is>
          <t>UPPSALA LÄN</t>
        </is>
      </c>
      <c r="E554" t="inlineStr">
        <is>
          <t>HEBY</t>
        </is>
      </c>
      <c r="G554" t="n">
        <v>15.8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8199-2025</t>
        </is>
      </c>
      <c r="B555" s="1" t="n">
        <v>45708</v>
      </c>
      <c r="C555" s="1" t="n">
        <v>46198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9758-2023</t>
        </is>
      </c>
      <c r="B556" s="1" t="n">
        <v>44984</v>
      </c>
      <c r="C556" s="1" t="n">
        <v>46198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56795-2024</t>
        </is>
      </c>
      <c r="B557" s="1" t="n">
        <v>45628</v>
      </c>
      <c r="C557" s="1" t="n">
        <v>46198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3466-2025</t>
        </is>
      </c>
      <c r="B558" s="1" t="n">
        <v>45680</v>
      </c>
      <c r="C558" s="1" t="n">
        <v>46198</v>
      </c>
      <c r="D558" t="inlineStr">
        <is>
          <t>UPPSALA LÄN</t>
        </is>
      </c>
      <c r="E558" t="inlineStr">
        <is>
          <t>HEBY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49536-2024</t>
        </is>
      </c>
      <c r="B559" s="1" t="n">
        <v>45596</v>
      </c>
      <c r="C559" s="1" t="n">
        <v>46198</v>
      </c>
      <c r="D559" t="inlineStr">
        <is>
          <t>UPPSALA LÄN</t>
        </is>
      </c>
      <c r="E559" t="inlineStr">
        <is>
          <t>HEBY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14884-2024</t>
        </is>
      </c>
      <c r="B560" s="1" t="n">
        <v>45398</v>
      </c>
      <c r="C560" s="1" t="n">
        <v>46198</v>
      </c>
      <c r="D560" t="inlineStr">
        <is>
          <t>UPPSALA LÄN</t>
        </is>
      </c>
      <c r="E560" t="inlineStr">
        <is>
          <t>HEBY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33366-2024</t>
        </is>
      </c>
      <c r="B561" s="1" t="n">
        <v>45519</v>
      </c>
      <c r="C561" s="1" t="n">
        <v>46198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25525-2023</t>
        </is>
      </c>
      <c r="B562" s="1" t="n">
        <v>45089</v>
      </c>
      <c r="C562" s="1" t="n">
        <v>46198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28561-2025</t>
        </is>
      </c>
      <c r="B563" s="1" t="n">
        <v>45818</v>
      </c>
      <c r="C563" s="1" t="n">
        <v>46198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28558-2025</t>
        </is>
      </c>
      <c r="B564" s="1" t="n">
        <v>45818</v>
      </c>
      <c r="C564" s="1" t="n">
        <v>46198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28812-2025</t>
        </is>
      </c>
      <c r="B565" s="1" t="n">
        <v>45820</v>
      </c>
      <c r="C565" s="1" t="n">
        <v>46198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29739-2025</t>
        </is>
      </c>
      <c r="B566" s="1" t="n">
        <v>45825</v>
      </c>
      <c r="C566" s="1" t="n">
        <v>46198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30440-2025</t>
        </is>
      </c>
      <c r="B567" s="1" t="n">
        <v>45827</v>
      </c>
      <c r="C567" s="1" t="n">
        <v>46198</v>
      </c>
      <c r="D567" t="inlineStr">
        <is>
          <t>UPPSALA LÄN</t>
        </is>
      </c>
      <c r="E567" t="inlineStr">
        <is>
          <t>HEBY</t>
        </is>
      </c>
      <c r="F567" t="inlineStr">
        <is>
          <t>Övriga Aktiebolag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29968-2025</t>
        </is>
      </c>
      <c r="B568" s="1" t="n">
        <v>45826</v>
      </c>
      <c r="C568" s="1" t="n">
        <v>46198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30418-2025</t>
        </is>
      </c>
      <c r="B569" s="1" t="n">
        <v>45827</v>
      </c>
      <c r="C569" s="1" t="n">
        <v>46198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19132-2025</t>
        </is>
      </c>
      <c r="B570" s="1" t="n">
        <v>45764</v>
      </c>
      <c r="C570" s="1" t="n">
        <v>46198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19132-2025</t>
        </is>
      </c>
      <c r="B571" s="1" t="n">
        <v>45764</v>
      </c>
      <c r="C571" s="1" t="n">
        <v>46198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43.4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31058-2025</t>
        </is>
      </c>
      <c r="B572" s="1" t="n">
        <v>45832</v>
      </c>
      <c r="C572" s="1" t="n">
        <v>46198</v>
      </c>
      <c r="D572" t="inlineStr">
        <is>
          <t>UPPSALA LÄN</t>
        </is>
      </c>
      <c r="E572" t="inlineStr">
        <is>
          <t>HEBY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32432-2025</t>
        </is>
      </c>
      <c r="B573" s="1" t="n">
        <v>45838</v>
      </c>
      <c r="C573" s="1" t="n">
        <v>46198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29747-2025</t>
        </is>
      </c>
      <c r="B574" s="1" t="n">
        <v>45825</v>
      </c>
      <c r="C574" s="1" t="n">
        <v>46198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34559-2025</t>
        </is>
      </c>
      <c r="B575" s="1" t="n">
        <v>45847</v>
      </c>
      <c r="C575" s="1" t="n">
        <v>46198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34072-2025</t>
        </is>
      </c>
      <c r="B576" s="1" t="n">
        <v>45845</v>
      </c>
      <c r="C576" s="1" t="n">
        <v>46198</v>
      </c>
      <c r="D576" t="inlineStr">
        <is>
          <t>UPPSALA LÄN</t>
        </is>
      </c>
      <c r="E576" t="inlineStr">
        <is>
          <t>HEBY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35106-2025</t>
        </is>
      </c>
      <c r="B577" s="1" t="n">
        <v>45852</v>
      </c>
      <c r="C577" s="1" t="n">
        <v>46198</v>
      </c>
      <c r="D577" t="inlineStr">
        <is>
          <t>UPPSALA LÄN</t>
        </is>
      </c>
      <c r="E577" t="inlineStr">
        <is>
          <t>HEBY</t>
        </is>
      </c>
      <c r="F577" t="inlineStr">
        <is>
          <t>Kyrkan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64888-2023</t>
        </is>
      </c>
      <c r="B578" s="1" t="n">
        <v>45282</v>
      </c>
      <c r="C578" s="1" t="n">
        <v>46198</v>
      </c>
      <c r="D578" t="inlineStr">
        <is>
          <t>UPPSALA LÄN</t>
        </is>
      </c>
      <c r="E578" t="inlineStr">
        <is>
          <t>HEBY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35265-2025</t>
        </is>
      </c>
      <c r="B579" s="1" t="n">
        <v>45852</v>
      </c>
      <c r="C579" s="1" t="n">
        <v>46198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2026-06-25T00:47:09Z</dcterms:created>
  <dcterms:modified xmlns:dcterms="http://purl.org/dc/terms/" xmlns:xsi="http://www.w3.org/2001/XMLSchema-instance" xsi:type="dcterms:W3CDTF">2026-06-25T00:47:10Z</dcterms:modified>
</cp:coreProperties>
</file>
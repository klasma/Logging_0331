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45634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45634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45634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45634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45634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45634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45634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45634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45634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45634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45634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45634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45634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45634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45634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45634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55274-2024</t>
        </is>
      </c>
      <c r="B18" s="1" t="n">
        <v>45621</v>
      </c>
      <c r="C18" s="1" t="n">
        <v>45634</v>
      </c>
      <c r="D18" t="inlineStr">
        <is>
          <t>UPPSALA LÄN</t>
        </is>
      </c>
      <c r="E18" t="inlineStr">
        <is>
          <t>HEBY</t>
        </is>
      </c>
      <c r="G18" t="n">
        <v>14.9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Björksplintborre
Mörk husmossa
Blåsippa
Revlummer</t>
        </is>
      </c>
      <c r="S18">
        <f>HYPERLINK("https://klasma.github.io/Logging_0331/artfynd/A 55274-2024 artfynd.xlsx", "A 55274-2024")</f>
        <v/>
      </c>
      <c r="T18">
        <f>HYPERLINK("https://klasma.github.io/Logging_0331/kartor/A 55274-2024 karta.png", "A 55274-2024")</f>
        <v/>
      </c>
      <c r="U18">
        <f>HYPERLINK("https://klasma.github.io/Logging_0331/knärot/A 55274-2024 karta knärot.png", "A 55274-2024")</f>
        <v/>
      </c>
      <c r="V18">
        <f>HYPERLINK("https://klasma.github.io/Logging_0331/klagomål/A 55274-2024 FSC-klagomål.docx", "A 55274-2024")</f>
        <v/>
      </c>
      <c r="W18">
        <f>HYPERLINK("https://klasma.github.io/Logging_0331/klagomålsmail/A 55274-2024 FSC-klagomål mail.docx", "A 55274-2024")</f>
        <v/>
      </c>
      <c r="X18">
        <f>HYPERLINK("https://klasma.github.io/Logging_0331/tillsyn/A 55274-2024 tillsynsbegäran.docx", "A 55274-2024")</f>
        <v/>
      </c>
      <c r="Y18">
        <f>HYPERLINK("https://klasma.github.io/Logging_0331/tillsynsmail/A 55274-2024 tillsynsbegäran mail.docx", "A 55274-2024")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45634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45634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45634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45634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45634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45634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45634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45634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45634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45634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45634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45634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45634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45634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45634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45634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45634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45634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45634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45634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45634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45634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45634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45634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45634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45634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45634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45634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45634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45634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45634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45634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45634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45634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45634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45634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45634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45634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45634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45634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45634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45634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45634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45634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45634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45634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45634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45634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45634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45634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45634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45634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45634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45634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45634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45634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45634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45634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45634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45634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45634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45634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45634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45634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45634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45634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45634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45634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45634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45634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45634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45634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45634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45634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45634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45634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45634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45634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45634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45634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45634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45634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45634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45634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45634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45634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45634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45634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45634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45634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45634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45634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45634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45634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45634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45634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45634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45634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45634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45634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45634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45634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45634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45634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45634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45634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45634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45634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45634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45634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45634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45634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45634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45634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45634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45634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45634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45634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45634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45634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45634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45634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45634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45634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45634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45634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45634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45634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45634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45634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45634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45634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45634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45634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45634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45634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45634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45634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45634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45634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45634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45634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45634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45634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45634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45634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45634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45634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45634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45634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45634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45634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45634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45634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45634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45634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45634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45634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45634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45634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45634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45634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45634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45634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45634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45634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45634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45634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45634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45634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45634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45634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45634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45634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45634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45634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45634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45634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45634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45634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45634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45634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45634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45634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45634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45634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45634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45634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45634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45634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45634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45634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45634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45634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45634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45634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45634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45634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45634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45634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45634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45634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45634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45634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45634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45634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45634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45634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45634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45634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45634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45634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45634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45634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45634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45634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45634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45634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45634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45634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45634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45634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45634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45634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45634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45634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45634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45634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45634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45634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45634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45634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45634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45634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45634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45634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45634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45634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45634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45634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45634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45634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45634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45634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45634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45634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45634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45634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45634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45634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45634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45634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45634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45634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45634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45634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45634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45634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45634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45634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45634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45634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45634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45634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45634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45634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45634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45634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45634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45634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45634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45634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45634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45634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45634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45634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45634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45634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45634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45634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45634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45634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45634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45634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45634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45634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45634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45634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45634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45634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45634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45634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45634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45634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45634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45634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45634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45634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45634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45634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45634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45634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45634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45634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45634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45634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45634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45634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45634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45634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45634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45634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45634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45634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45634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45634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45634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45634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45634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45634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45634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45634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45634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45634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45634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45634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45634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45634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45634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45634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45634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45634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45634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45634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45634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45634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45634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45634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45634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45634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45634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45634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45634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45634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45634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45634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45634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45634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45634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45634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45634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45634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45634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45634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45634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45634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45634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45634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45634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45634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45634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45634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45634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45634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45634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45634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45634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45634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45634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45634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45634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45634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45634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45634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45634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45634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45634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45634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45634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45634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45634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45634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45634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45634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45634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45634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45634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45634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45634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45634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45634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45634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45634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45634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45634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45634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45634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45634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45634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45634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45634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45634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45634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45634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45634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45634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45634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45634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45634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45634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45634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45634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45634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45634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45634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45634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45634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45634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45634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45634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45634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45634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45634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45634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45634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45634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45634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45634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45634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45634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45634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45634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45634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45634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45634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45634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45634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45634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45634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45634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45634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45634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45634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45634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45634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45634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45634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45634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45634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45634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45634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45634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45634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45634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45634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45634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45634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45634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45634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45634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45634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45634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45634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45634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45634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45634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45634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45634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45634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45634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45634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45634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45634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45634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45634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45634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45634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45634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45634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45634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45634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45634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45634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45634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45634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45634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45634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45634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45634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45634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45634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45634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45634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45634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45634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45634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45634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45634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45634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45634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45634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45634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45634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45634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45634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45634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45634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45634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45634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45634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45634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45634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45634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45634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45634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45634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45634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45634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45634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45634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45634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45634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45634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45634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45634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45634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45634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45634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45634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45634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45634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45634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45634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45634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45634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45634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45634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45634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45634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45634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45634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45634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45634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45634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45634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45634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45634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45634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45634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45634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45634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45634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45634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45634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45634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45634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45634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45634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45634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45634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45634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45634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45634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45634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45634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45634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45634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45634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45634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45634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45634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45634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45634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45634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45634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45634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45634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45634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45634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45634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45634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45634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45634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45634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45634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45634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45634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45634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45634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45634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45634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45634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45634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45634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45634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45634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45634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45634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45634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45634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45634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45634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45634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45634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45634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45634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45634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45634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45634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45634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45634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45634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45634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45634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45634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45634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45634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45634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45634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45634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45634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45634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45634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45634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45634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45634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45634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45634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45634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45634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45634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45634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45634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45634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45634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45634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45634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45634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45634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45634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45634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45634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45634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45634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45634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45634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45634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45634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45634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45634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45634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45634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45634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45634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45634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45634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45634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45634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45634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45634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45634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45634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45634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45634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45634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45634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45634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45634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45634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45634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45634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45634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45634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45634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45634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45634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45634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45634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45634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45634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45634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45634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45634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45634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45634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45634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45634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45634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45634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45634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45634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45634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45634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45634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45634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45634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45634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45634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45634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45634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45634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45634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45634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45634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45634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45634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45634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45634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45634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45634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45634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45634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45634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45634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45634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45634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45634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45634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45634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45634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45634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45634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45634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45634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45634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45634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45634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45634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45634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45634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45634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45634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45634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45634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45634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45634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45634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45634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45634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45634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45634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45634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45634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45634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45634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45634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45634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45634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45634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45634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45634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45634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45634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45634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45634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45634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45634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45634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45634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45634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45634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45634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45634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45634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45634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45634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45634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45634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45634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45634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45634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45634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45634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45634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45634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45634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45634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45634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45634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45634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45634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45634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45634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45634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45634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45634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45634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45634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45634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45634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45634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45634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45634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45634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45634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45634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45634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45634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45634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45634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45634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45634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45634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45634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45634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45634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45634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45634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45634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45634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45634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45634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45634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45634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45634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45634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45634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45634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45634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45634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45634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45634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45634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45634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45634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45634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45634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45634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45634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45634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45634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45634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45634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45634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45634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45634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45634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45634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45634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45634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45634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45634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45634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45634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45634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45634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45634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45634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45634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45634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45634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45634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45634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45634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45634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45634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45634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45634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45634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45634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45634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45634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45634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45634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45634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45634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45634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45634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45634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45634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45634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45634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45634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45634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45634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45634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45634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45634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45634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45634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45634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45634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45634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45634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45634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45634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45634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45634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45634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45634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45634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45634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45634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45634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45634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45634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45634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45634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45634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45634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45634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45634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45634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45634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45634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45634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45634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45634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45634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45634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45634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45634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45634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45634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45634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45634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45634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45634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45634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45634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45634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45634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45634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45634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45634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45634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45634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45634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45634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45634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45634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45634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45634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45634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45634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45634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45634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45634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45634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45634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45634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45634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45634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45634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45634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45634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45634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45634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45634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45634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45634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45634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45634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45634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45634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45634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45634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45634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45634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45634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45634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45634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45634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45634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45634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45634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45634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45634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45634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45634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45634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45634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45634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45634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45634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45634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45634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45634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45634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45634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45634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45634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45634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45634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45634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45634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45634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45634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45634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45634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45634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45634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45634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45634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45634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45634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45634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45634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45634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45634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45634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45634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45634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45634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45634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45634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45634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45634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45634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45634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45634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45634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45634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45634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45634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45634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45634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45634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45634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45634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51753-2024</t>
        </is>
      </c>
      <c r="B1039" s="1" t="n">
        <v>45607</v>
      </c>
      <c r="C1039" s="1" t="n">
        <v>45634</v>
      </c>
      <c r="D1039" t="inlineStr">
        <is>
          <t>UPPSALA LÄN</t>
        </is>
      </c>
      <c r="E1039" t="inlineStr">
        <is>
          <t>HEBY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45634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45634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45634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45634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45634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45634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45634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45634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45634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55082-2024</t>
        </is>
      </c>
      <c r="B1049" s="1" t="n">
        <v>45621</v>
      </c>
      <c r="C1049" s="1" t="n">
        <v>45634</v>
      </c>
      <c r="D1049" t="inlineStr">
        <is>
          <t>UPPSALA LÄN</t>
        </is>
      </c>
      <c r="E1049" t="inlineStr">
        <is>
          <t>HEBY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55473-2024</t>
        </is>
      </c>
      <c r="B1050" s="1" t="n">
        <v>45622</v>
      </c>
      <c r="C1050" s="1" t="n">
        <v>45634</v>
      </c>
      <c r="D1050" t="inlineStr">
        <is>
          <t>UPPSALA LÄN</t>
        </is>
      </c>
      <c r="E1050" t="inlineStr">
        <is>
          <t>HEBY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55644-2024</t>
        </is>
      </c>
      <c r="B1051" s="1" t="n">
        <v>45622</v>
      </c>
      <c r="C1051" s="1" t="n">
        <v>45634</v>
      </c>
      <c r="D1051" t="inlineStr">
        <is>
          <t>UPPSALA LÄN</t>
        </is>
      </c>
      <c r="E1051" t="inlineStr">
        <is>
          <t>HEBY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45634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45634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45634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45634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45634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45634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45634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45634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57897-2024</t>
        </is>
      </c>
      <c r="B1060" s="1" t="n">
        <v>45631</v>
      </c>
      <c r="C1060" s="1" t="n">
        <v>45634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2024-12-08T15:09:08Z</dcterms:created>
  <dcterms:modified xmlns:dcterms="http://purl.org/dc/terms/" xmlns:xsi="http://www.w3.org/2001/XMLSchema-instance" xsi:type="dcterms:W3CDTF">2024-12-08T15:09:09Z</dcterms:modified>
</cp:coreProperties>
</file>
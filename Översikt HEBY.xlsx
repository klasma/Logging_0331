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46302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46302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46302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46302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46302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46302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46302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46302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46302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46302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46302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46302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46302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46302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46302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46302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46302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46302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46302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46302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46302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46302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46302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46302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46302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46302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46302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46302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46302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46302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46302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46302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46302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46302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46302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46302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46302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46302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46302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46302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46302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46302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46302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46302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46302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46302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20530-2026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46302</v>
      </c>
      <c r="F65" t="inlineStr">
        <is>
          <t>UPPSALA LÄN</t>
        </is>
      </c>
      <c r="G65" t="inlineStr">
        <is>
          <t>HEBY</t>
        </is>
      </c>
      <c r="I65" t="n">
        <v>5.3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Björksplintborre</t>
        </is>
      </c>
      <c r="W65">
        <f>HYPERLINK("https://klasma.github.io/Logging_0331/artfynd/A 20530-2026 artfynd.xlsx", "A 20530-2026")</f>
        <v/>
      </c>
      <c r="X65">
        <f>HYPERLINK("https://klasma.github.io/Logging_0331/kartor/A 20530-2026 karta.png", "A 20530-2026")</f>
        <v/>
      </c>
      <c r="Y65">
        <f>HYPERLINK("https://klasma.github.io/Logging_0331/kartor_geotiff/A 20530-2026 georefererad karta.tif", "A 20530-2026")</f>
        <v/>
      </c>
      <c r="AA65">
        <f>HYPERLINK("https://klasma.github.io/Logging_0331/klagomål/A 20530-2026 FSC-klagomål.docx", "A 20530-2026")</f>
        <v/>
      </c>
      <c r="AB65">
        <f>HYPERLINK("https://klasma.github.io/Logging_0331/klagomålsmail/A 20530-2026 FSC-klagomål mail.docx", "A 20530-2026")</f>
        <v/>
      </c>
      <c r="AC65">
        <f>HYPERLINK("https://klasma.github.io/Logging_0331/tillsyn/A 20530-2026 tillsynsbegäran.docx", "A 20530-2026")</f>
        <v/>
      </c>
      <c r="AD65">
        <f>HYPERLINK("https://klasma.github.io/Logging_0331/tillsynsmail/A 20530-2026 tillsynsbegäran mail.docx", "A 20530-2026")</f>
        <v/>
      </c>
    </row>
    <row r="66" ht="15" customHeight="1">
      <c r="A66" t="inlineStr">
        <is>
          <t>A 24562-2023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45083</v>
      </c>
      <c r="E66" s="1" t="n">
        <v>46302</v>
      </c>
      <c r="F66" t="inlineStr">
        <is>
          <t>UPPSALA LÄN</t>
        </is>
      </c>
      <c r="G66" t="inlineStr">
        <is>
          <t>HEBY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Grönpyrola</t>
        </is>
      </c>
      <c r="W66">
        <f>HYPERLINK("https://klasma.github.io/Logging_0331/artfynd/A 24562-2023 artfynd.xlsx", "A 24562-2023")</f>
        <v/>
      </c>
      <c r="X66">
        <f>HYPERLINK("https://klasma.github.io/Logging_0331/kartor/A 24562-2023 karta.png", "A 24562-2023")</f>
        <v/>
      </c>
      <c r="Y66">
        <f>HYPERLINK("https://klasma.github.io/Logging_0331/kartor_geotiff/A 24562-2023 georefererad karta.tif", "A 24562-2023")</f>
        <v/>
      </c>
      <c r="AA66">
        <f>HYPERLINK("https://klasma.github.io/Logging_0331/klagomål/A 24562-2023 FSC-klagomål.docx", "A 24562-2023")</f>
        <v/>
      </c>
      <c r="AB66">
        <f>HYPERLINK("https://klasma.github.io/Logging_0331/klagomålsmail/A 24562-2023 FSC-klagomål mail.docx", "A 24562-2023")</f>
        <v/>
      </c>
      <c r="AC66">
        <f>HYPERLINK("https://klasma.github.io/Logging_0331/tillsyn/A 24562-2023 tillsynsbegäran.docx", "A 24562-2023")</f>
        <v/>
      </c>
      <c r="AD66">
        <f>HYPERLINK("https://klasma.github.io/Logging_0331/tillsynsmail/A 24562-2023 tillsynsbegäran mail.docx", "A 24562-2023")</f>
        <v/>
      </c>
    </row>
    <row r="67" ht="15" customHeight="1">
      <c r="A67" t="inlineStr">
        <is>
          <t>A 55663-2024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46302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4.5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Ullticka</t>
        </is>
      </c>
      <c r="W67">
        <f>HYPERLINK("https://klasma.github.io/Logging_0331/artfynd/A 55663-2024 artfynd.xlsx", "A 55663-2024")</f>
        <v/>
      </c>
      <c r="X67">
        <f>HYPERLINK("https://klasma.github.io/Logging_0331/kartor/A 55663-2024 karta.png", "A 55663-2024")</f>
        <v/>
      </c>
      <c r="Y67">
        <f>HYPERLINK("https://klasma.github.io/Logging_0331/kartor_geotiff/A 55663-2024 georefererad karta.tif", "A 55663-2024")</f>
        <v/>
      </c>
      <c r="AA67">
        <f>HYPERLINK("https://klasma.github.io/Logging_0331/klagomål/A 55663-2024 FSC-klagomål.docx", "A 55663-2024")</f>
        <v/>
      </c>
      <c r="AB67">
        <f>HYPERLINK("https://klasma.github.io/Logging_0331/klagomålsmail/A 55663-2024 FSC-klagomål mail.docx", "A 55663-2024")</f>
        <v/>
      </c>
      <c r="AC67">
        <f>HYPERLINK("https://klasma.github.io/Logging_0331/tillsyn/A 55663-2024 tillsynsbegäran.docx", "A 55663-2024")</f>
        <v/>
      </c>
      <c r="AD67">
        <f>HYPERLINK("https://klasma.github.io/Logging_0331/tillsynsmail/A 55663-2024 tillsynsbegäran mail.docx", "A 55663-2024")</f>
        <v/>
      </c>
    </row>
    <row r="68" ht="15" customHeight="1">
      <c r="A68" t="inlineStr">
        <is>
          <t>A 9618-2026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46302</v>
      </c>
      <c r="F68" t="inlineStr">
        <is>
          <t>UPPSALA LÄN</t>
        </is>
      </c>
      <c r="G68" t="inlineStr">
        <is>
          <t>HEBY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HYPERLINK("https://klasma.github.io/Logging_0331/artfynd/A 9618-2026 artfynd.xlsx", "A 9618-2026")</f>
        <v/>
      </c>
      <c r="X68">
        <f>HYPERLINK("https://klasma.github.io/Logging_0331/kartor/A 9618-2026 karta.png", "A 9618-2026")</f>
        <v/>
      </c>
      <c r="Y68">
        <f>HYPERLINK("https://klasma.github.io/Logging_0331/kartor_geotiff/A 9618-2026 georefererad karta.tif", "A 9618-2026")</f>
        <v/>
      </c>
      <c r="AA68">
        <f>HYPERLINK("https://klasma.github.io/Logging_0331/klagomål/A 9618-2026 FSC-klagomål.docx", "A 9618-2026")</f>
        <v/>
      </c>
      <c r="AB68">
        <f>HYPERLINK("https://klasma.github.io/Logging_0331/klagomålsmail/A 9618-2026 FSC-klagomål mail.docx", "A 9618-2026")</f>
        <v/>
      </c>
      <c r="AC68">
        <f>HYPERLINK("https://klasma.github.io/Logging_0331/tillsyn/A 9618-2026 tillsynsbegäran.docx", "A 9618-2026")</f>
        <v/>
      </c>
      <c r="AD68">
        <f>HYPERLINK("https://klasma.github.io/Logging_0331/tillsynsmail/A 9618-2026 tillsynsbegäran mail.docx", "A 9618-2026")</f>
        <v/>
      </c>
    </row>
    <row r="69" ht="15" customHeight="1">
      <c r="A69" t="inlineStr">
        <is>
          <t>A 55763-2025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45972</v>
      </c>
      <c r="E69" s="1" t="n">
        <v>46302</v>
      </c>
      <c r="F69" t="inlineStr">
        <is>
          <t>UPPSALA LÄN</t>
        </is>
      </c>
      <c r="G69" t="inlineStr">
        <is>
          <t>HEBY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Kandelabersvamp</t>
        </is>
      </c>
      <c r="W69">
        <f>HYPERLINK("https://klasma.github.io/Logging_0331/artfynd/A 55763-2025 artfynd.xlsx", "A 55763-2025")</f>
        <v/>
      </c>
      <c r="X69">
        <f>HYPERLINK("https://klasma.github.io/Logging_0331/kartor/A 55763-2025 karta.png", "A 55763-2025")</f>
        <v/>
      </c>
      <c r="Y69">
        <f>HYPERLINK("https://klasma.github.io/Logging_0331/kartor_geotiff/A 55763-2025 georefererad karta.tif", "A 55763-2025")</f>
        <v/>
      </c>
      <c r="AA69">
        <f>HYPERLINK("https://klasma.github.io/Logging_0331/klagomål/A 55763-2025 FSC-klagomål.docx", "A 55763-2025")</f>
        <v/>
      </c>
      <c r="AB69">
        <f>HYPERLINK("https://klasma.github.io/Logging_0331/klagomålsmail/A 55763-2025 FSC-klagomål mail.docx", "A 55763-2025")</f>
        <v/>
      </c>
      <c r="AC69">
        <f>HYPERLINK("https://klasma.github.io/Logging_0331/tillsyn/A 55763-2025 tillsynsbegäran.docx", "A 55763-2025")</f>
        <v/>
      </c>
      <c r="AD69">
        <f>HYPERLINK("https://klasma.github.io/Logging_0331/tillsynsmail/A 55763-2025 tillsynsbegäran mail.docx", "A 55763-2025")</f>
        <v/>
      </c>
    </row>
    <row r="70" ht="15" customHeight="1">
      <c r="A70" t="inlineStr">
        <is>
          <t>A 17697-2024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46302</v>
      </c>
      <c r="F70" t="inlineStr">
        <is>
          <t>UPPSALA LÄN</t>
        </is>
      </c>
      <c r="G70" t="inlineStr">
        <is>
          <t>HEBY</t>
        </is>
      </c>
      <c r="I70" t="n">
        <v>0.6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Mindre bastardsvärmare</t>
        </is>
      </c>
      <c r="W70">
        <f>HYPERLINK("https://klasma.github.io/Logging_0331/artfynd/A 17697-2024 artfynd.xlsx", "A 17697-2024")</f>
        <v/>
      </c>
      <c r="X70">
        <f>HYPERLINK("https://klasma.github.io/Logging_0331/kartor/A 17697-2024 karta.png", "A 17697-2024")</f>
        <v/>
      </c>
      <c r="Y70">
        <f>HYPERLINK("https://klasma.github.io/Logging_0331/kartor_geotiff/A 17697-2024 georefererad karta.tif", "A 17697-2024")</f>
        <v/>
      </c>
      <c r="AA70">
        <f>HYPERLINK("https://klasma.github.io/Logging_0331/klagomål/A 17697-2024 FSC-klagomål.docx", "A 17697-2024")</f>
        <v/>
      </c>
      <c r="AB70">
        <f>HYPERLINK("https://klasma.github.io/Logging_0331/klagomålsmail/A 17697-2024 FSC-klagomål mail.docx", "A 17697-2024")</f>
        <v/>
      </c>
      <c r="AC70">
        <f>HYPERLINK("https://klasma.github.io/Logging_0331/tillsyn/A 17697-2024 tillsynsbegäran.docx", "A 17697-2024")</f>
        <v/>
      </c>
      <c r="AD70">
        <f>HYPERLINK("https://klasma.github.io/Logging_0331/tillsynsmail/A 17697-2024 tillsynsbegäran mail.docx", "A 17697-2024")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46302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46302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31885-2026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46231</v>
      </c>
      <c r="E73" s="1" t="n">
        <v>46302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Platt spretmossa</t>
        </is>
      </c>
      <c r="W73">
        <f>HYPERLINK("https://klasma.github.io/Logging_0331/artfynd/A 31885-2026 artfynd.xlsx", "A 31885-2026")</f>
        <v/>
      </c>
      <c r="X73">
        <f>HYPERLINK("https://klasma.github.io/Logging_0331/kartor/A 31885-2026 karta.png", "A 31885-2026")</f>
        <v/>
      </c>
      <c r="Y73">
        <f>HYPERLINK("https://klasma.github.io/Logging_0331/kartor_geotiff/A 31885-2026 georefererad karta.tif", "A 31885-2026")</f>
        <v/>
      </c>
      <c r="AA73">
        <f>HYPERLINK("https://klasma.github.io/Logging_0331/klagomål/A 31885-2026 FSC-klagomål.docx", "A 31885-2026")</f>
        <v/>
      </c>
      <c r="AB73">
        <f>HYPERLINK("https://klasma.github.io/Logging_0331/klagomålsmail/A 31885-2026 FSC-klagomål mail.docx", "A 31885-2026")</f>
        <v/>
      </c>
      <c r="AC73">
        <f>HYPERLINK("https://klasma.github.io/Logging_0331/tillsyn/A 31885-2026 tillsynsbegäran.docx", "A 31885-2026")</f>
        <v/>
      </c>
      <c r="AD73">
        <f>HYPERLINK("https://klasma.github.io/Logging_0331/tillsynsmail/A 31885-2026 tillsynsbegäran mail.docx", "A 31885-2026")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46302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HYPERLINK("https://klasma.github.io/Logging_0331/artfynd/A 61598-2021 artfynd.xlsx", "A 61598-2021")</f>
        <v/>
      </c>
      <c r="X74">
        <f>HYPERLINK("https://klasma.github.io/Logging_0331/kartor/A 61598-2021 karta.png", "A 61598-2021")</f>
        <v/>
      </c>
      <c r="Y74">
        <f>HYPERLINK("https://klasma.github.io/Logging_0331/kartor_geotiff/A 61598-2021 georefererad karta.tif", "A 61598-2021")</f>
        <v/>
      </c>
      <c r="AA74">
        <f>HYPERLINK("https://klasma.github.io/Logging_0331/klagomål/A 61598-2021 FSC-klagomål.docx", "A 61598-2021")</f>
        <v/>
      </c>
      <c r="AB74">
        <f>HYPERLINK("https://klasma.github.io/Logging_0331/klagomålsmail/A 61598-2021 FSC-klagomål mail.docx", "A 61598-2021")</f>
        <v/>
      </c>
      <c r="AC74">
        <f>HYPERLINK("https://klasma.github.io/Logging_0331/tillsyn/A 61598-2021 tillsynsbegäran.docx", "A 61598-2021")</f>
        <v/>
      </c>
      <c r="AD74">
        <f>HYPERLINK("https://klasma.github.io/Logging_0331/tillsynsmail/A 61598-2021 tillsynsbegäran mail.docx", "A 61598-2021")</f>
        <v/>
      </c>
      <c r="AE74">
        <f>HYPERLINK("https://klasma.github.io/Logging_0331/fåglar/A 61598-2021 prioriterade fågelarter.docx", "A 61598-2021")</f>
        <v/>
      </c>
    </row>
    <row r="75" ht="15" customHeight="1">
      <c r="A75" t="inlineStr">
        <is>
          <t>A 27871-2023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46302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HYPERLINK("https://klasma.github.io/Logging_0331/artfynd/A 27871-2023 artfynd.xlsx", "A 27871-2023")</f>
        <v/>
      </c>
      <c r="X75">
        <f>HYPERLINK("https://klasma.github.io/Logging_0331/kartor/A 27871-2023 karta.png", "A 27871-2023")</f>
        <v/>
      </c>
      <c r="Y75">
        <f>HYPERLINK("https://klasma.github.io/Logging_0331/kartor_geotiff/A 27871-2023 georefererad karta.tif", "A 27871-2023")</f>
        <v/>
      </c>
      <c r="AA75">
        <f>HYPERLINK("https://klasma.github.io/Logging_0331/klagomål/A 27871-2023 FSC-klagomål.docx", "A 27871-2023")</f>
        <v/>
      </c>
      <c r="AB75">
        <f>HYPERLINK("https://klasma.github.io/Logging_0331/klagomålsmail/A 27871-2023 FSC-klagomål mail.docx", "A 27871-2023")</f>
        <v/>
      </c>
      <c r="AC75">
        <f>HYPERLINK("https://klasma.github.io/Logging_0331/tillsyn/A 27871-2023 tillsynsbegäran.docx", "A 27871-2023")</f>
        <v/>
      </c>
      <c r="AD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46302</v>
      </c>
      <c r="F76" t="inlineStr">
        <is>
          <t>UPPSALA LÄN</t>
        </is>
      </c>
      <c r="G76" t="inlineStr">
        <is>
          <t>HEBY</t>
        </is>
      </c>
      <c r="I76" t="n">
        <v>3.9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11</v>
      </c>
      <c r="U76" t="n">
        <v>0</v>
      </c>
      <c r="V76" s="2" t="inlineStr">
        <is>
          <t>Motaggsvamp</t>
        </is>
      </c>
      <c r="W76">
        <f>HYPERLINK("https://klasma.github.io/Logging_0331/artfynd/A 8624-2024 artfynd.xlsx", "A 8624-2024")</f>
        <v/>
      </c>
      <c r="X76">
        <f>HYPERLINK("https://klasma.github.io/Logging_0331/kartor/A 8624-2024 karta.png", "A 8624-2024")</f>
        <v/>
      </c>
      <c r="Y76">
        <f>HYPERLINK("https://klasma.github.io/Logging_0331/kartor_geotiff/A 8624-2024 georefererad karta.tif", "A 8624-2024")</f>
        <v/>
      </c>
      <c r="AA76">
        <f>HYPERLINK("https://klasma.github.io/Logging_0331/klagomål/A 8624-2024 FSC-klagomål.docx", "A 8624-2024")</f>
        <v/>
      </c>
      <c r="AB76">
        <f>HYPERLINK("https://klasma.github.io/Logging_0331/klagomålsmail/A 8624-2024 FSC-klagomål mail.docx", "A 8624-2024")</f>
        <v/>
      </c>
      <c r="AC76">
        <f>HYPERLINK("https://klasma.github.io/Logging_0331/tillsyn/A 8624-2024 tillsynsbegäran.docx", "A 8624-2024")</f>
        <v/>
      </c>
      <c r="AD76">
        <f>HYPERLINK("https://klasma.github.io/Logging_0331/tillsynsmail/A 8624-2024 tillsynsbegäran mail.docx", "A 8624-2024")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46302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26596-2024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45469</v>
      </c>
      <c r="E78" s="1" t="n">
        <v>46302</v>
      </c>
      <c r="F78" t="inlineStr">
        <is>
          <t>UPPSALA LÄN</t>
        </is>
      </c>
      <c r="G78" t="inlineStr">
        <is>
          <t>HEBY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Stenichnus poweri</t>
        </is>
      </c>
      <c r="W78">
        <f>HYPERLINK("https://klasma.github.io/Logging_0331/artfynd/A 26596-2024 artfynd.xlsx", "A 26596-2024")</f>
        <v/>
      </c>
      <c r="X78">
        <f>HYPERLINK("https://klasma.github.io/Logging_0331/kartor/A 26596-2024 karta.png", "A 26596-2024")</f>
        <v/>
      </c>
      <c r="Y78">
        <f>HYPERLINK("https://klasma.github.io/Logging_0331/kartor_geotiff/A 26596-2024 georefererad karta.tif", "A 26596-2024")</f>
        <v/>
      </c>
      <c r="AA78">
        <f>HYPERLINK("https://klasma.github.io/Logging_0331/klagomål/A 26596-2024 FSC-klagomål.docx", "A 26596-2024")</f>
        <v/>
      </c>
      <c r="AB78">
        <f>HYPERLINK("https://klasma.github.io/Logging_0331/klagomålsmail/A 26596-2024 FSC-klagomål mail.docx", "A 26596-2024")</f>
        <v/>
      </c>
      <c r="AC78">
        <f>HYPERLINK("https://klasma.github.io/Logging_0331/tillsyn/A 26596-2024 tillsynsbegäran.docx", "A 26596-2024")</f>
        <v/>
      </c>
      <c r="AD78">
        <f>HYPERLINK("https://klasma.github.io/Logging_0331/tillsynsmail/A 26596-2024 tillsynsbegäran mail.docx", "A 26596-2024")</f>
        <v/>
      </c>
    </row>
    <row r="79" ht="15" customHeight="1">
      <c r="A79" t="inlineStr">
        <is>
          <t>A 53992-2023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46302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Igelkott</t>
        </is>
      </c>
      <c r="W79">
        <f>HYPERLINK("https://klasma.github.io/Logging_0331/artfynd/A 53992-2023 artfynd.xlsx", "A 53992-2023")</f>
        <v/>
      </c>
      <c r="X79">
        <f>HYPERLINK("https://klasma.github.io/Logging_0331/kartor/A 53992-2023 karta.png", "A 53992-2023")</f>
        <v/>
      </c>
      <c r="Y79">
        <f>HYPERLINK("https://klasma.github.io/Logging_0331/kartor_geotiff/A 53992-2023 georefererad karta.tif", "A 53992-2023")</f>
        <v/>
      </c>
      <c r="AA79">
        <f>HYPERLINK("https://klasma.github.io/Logging_0331/klagomål/A 53992-2023 FSC-klagomål.docx", "A 53992-2023")</f>
        <v/>
      </c>
      <c r="AB79">
        <f>HYPERLINK("https://klasma.github.io/Logging_0331/klagomålsmail/A 53992-2023 FSC-klagomål mail.docx", "A 53992-2023")</f>
        <v/>
      </c>
      <c r="AC79">
        <f>HYPERLINK("https://klasma.github.io/Logging_0331/tillsyn/A 53992-2023 tillsynsbegäran.docx", "A 53992-2023")</f>
        <v/>
      </c>
      <c r="AD79">
        <f>HYPERLINK("https://klasma.github.io/Logging_0331/tillsynsmail/A 53992-2023 tillsynsbegäran mail.docx", "A 53992-2023")</f>
        <v/>
      </c>
    </row>
    <row r="80" ht="15" customHeight="1">
      <c r="A80" t="inlineStr">
        <is>
          <t>A 40506-2026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46295</v>
      </c>
      <c r="E80" s="1" t="n">
        <v>46302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7.1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 glada</t>
        </is>
      </c>
      <c r="W80">
        <f>HYPERLINK("https://klasma.github.io/Logging_0331/artfynd/A 40506-2026 artfynd.xlsx", "A 40506-2026")</f>
        <v/>
      </c>
      <c r="X80">
        <f>HYPERLINK("https://klasma.github.io/Logging_0331/kartor/A 40506-2026 karta.png", "A 40506-2026")</f>
        <v/>
      </c>
      <c r="Y80">
        <f>HYPERLINK("https://klasma.github.io/Logging_0331/kartor_geotiff/A 40506-2026 georefererad karta.tif", "A 40506-2026")</f>
        <v/>
      </c>
      <c r="AA80">
        <f>HYPERLINK("https://klasma.github.io/Logging_0331/klagomål/A 40506-2026 FSC-klagomål.docx", "A 40506-2026")</f>
        <v/>
      </c>
      <c r="AB80">
        <f>HYPERLINK("https://klasma.github.io/Logging_0331/klagomålsmail/A 40506-2026 FSC-klagomål mail.docx", "A 40506-2026")</f>
        <v/>
      </c>
      <c r="AC80">
        <f>HYPERLINK("https://klasma.github.io/Logging_0331/tillsyn/A 40506-2026 tillsynsbegäran.docx", "A 40506-2026")</f>
        <v/>
      </c>
      <c r="AD80">
        <f>HYPERLINK("https://klasma.github.io/Logging_0331/tillsynsmail/A 40506-2026 tillsynsbegäran mail.docx", "A 40506-2026")</f>
        <v/>
      </c>
      <c r="AE80">
        <f>HYPERLINK("https://klasma.github.io/Logging_0331/fåglar/A 40506-2026 prioriterade fågelarter.docx", "A 40506-2026")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46302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46302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46302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46302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46302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46302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46302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46302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46302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46302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46302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46302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46302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46302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46302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46302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46302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46302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46302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46302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46302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46302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46302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46302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46302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46302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46302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46302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46302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46302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46302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46302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46302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46302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46302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46302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46302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46302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46302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46302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46302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46302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46302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46302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46302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46302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46302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46302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46302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46302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46302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46302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46302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46302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46302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46302</v>
      </c>
      <c r="F136" t="inlineStr">
        <is>
          <t>UPPSALA LÄN</t>
        </is>
      </c>
      <c r="G136" t="inlineStr">
        <is>
          <t>HEBY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46302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46302</v>
      </c>
      <c r="F138" t="inlineStr">
        <is>
          <t>UPPSALA LÄN</t>
        </is>
      </c>
      <c r="G138" t="inlineStr">
        <is>
          <t>HEBY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73622-2021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46302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46302</v>
      </c>
      <c r="F140" t="inlineStr">
        <is>
          <t>UPPSALA LÄN</t>
        </is>
      </c>
      <c r="G140" t="inlineStr">
        <is>
          <t>HEBY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46302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46302</v>
      </c>
      <c r="F142" t="inlineStr">
        <is>
          <t>UPPSALA LÄN</t>
        </is>
      </c>
      <c r="G142" t="inlineStr">
        <is>
          <t>HEBY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46302</v>
      </c>
      <c r="F143" t="inlineStr">
        <is>
          <t>UPPSALA LÄN</t>
        </is>
      </c>
      <c r="G143" t="inlineStr">
        <is>
          <t>HEBY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45599</v>
      </c>
      <c r="E144" s="1" t="n">
        <v>46302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46302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46302</v>
      </c>
      <c r="F146" t="inlineStr">
        <is>
          <t>UPPSALA LÄN</t>
        </is>
      </c>
      <c r="G146" t="inlineStr">
        <is>
          <t>HEBY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46302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46302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46302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46302</v>
      </c>
      <c r="F150" t="inlineStr">
        <is>
          <t>UPPSALA LÄN</t>
        </is>
      </c>
      <c r="G150" t="inlineStr">
        <is>
          <t>HEBY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46302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44694</v>
      </c>
      <c r="E152" s="1" t="n">
        <v>46302</v>
      </c>
      <c r="F152" t="inlineStr">
        <is>
          <t>UPPSALA LÄN</t>
        </is>
      </c>
      <c r="G152" t="inlineStr">
        <is>
          <t>HEBY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46302</v>
      </c>
      <c r="F153" t="inlineStr">
        <is>
          <t>UPPSALA LÄN</t>
        </is>
      </c>
      <c r="G153" t="inlineStr">
        <is>
          <t>HEBY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46302</v>
      </c>
      <c r="F154" t="inlineStr">
        <is>
          <t>UPPSALA LÄN</t>
        </is>
      </c>
      <c r="G154" t="inlineStr">
        <is>
          <t>HEBY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46302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70976-2021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44538</v>
      </c>
      <c r="E156" s="1" t="n">
        <v>46302</v>
      </c>
      <c r="F156" t="inlineStr">
        <is>
          <t>UPPSALA LÄN</t>
        </is>
      </c>
      <c r="G156" t="inlineStr">
        <is>
          <t>HEBY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45688</v>
      </c>
      <c r="E157" s="1" t="n">
        <v>46302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72180-2021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46302</v>
      </c>
      <c r="F158" t="inlineStr">
        <is>
          <t>UPPSALA LÄN</t>
        </is>
      </c>
      <c r="G158" t="inlineStr">
        <is>
          <t>HEBY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46302</v>
      </c>
      <c r="F159" t="inlineStr">
        <is>
          <t>UPPSALA LÄN</t>
        </is>
      </c>
      <c r="G159" t="inlineStr">
        <is>
          <t>HEBY</t>
        </is>
      </c>
      <c r="I159" t="n">
        <v>18.8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46302</v>
      </c>
      <c r="F160" t="inlineStr">
        <is>
          <t>UPPSALA LÄN</t>
        </is>
      </c>
      <c r="G160" t="inlineStr">
        <is>
          <t>HEBY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37782-2022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44810</v>
      </c>
      <c r="E161" s="1" t="n">
        <v>46302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46302</v>
      </c>
      <c r="F162" t="inlineStr">
        <is>
          <t>UPPSALA LÄN</t>
        </is>
      </c>
      <c r="G162" t="inlineStr">
        <is>
          <t>HEBY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46302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46302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41.8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46302</v>
      </c>
      <c r="F165" t="inlineStr">
        <is>
          <t>UPPSALA LÄN</t>
        </is>
      </c>
      <c r="G165" t="inlineStr">
        <is>
          <t>HEBY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46302</v>
      </c>
      <c r="F166" t="inlineStr">
        <is>
          <t>UPPSALA LÄN</t>
        </is>
      </c>
      <c r="G166" t="inlineStr">
        <is>
          <t>HEBY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66873-2021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46302</v>
      </c>
      <c r="F167" t="inlineStr">
        <is>
          <t>UPPSALA LÄN</t>
        </is>
      </c>
      <c r="G167" t="inlineStr">
        <is>
          <t>HEBY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46302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46302</v>
      </c>
      <c r="F169" t="inlineStr">
        <is>
          <t>UPPSALA LÄN</t>
        </is>
      </c>
      <c r="G169" t="inlineStr">
        <is>
          <t>HEBY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50859-2022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44862</v>
      </c>
      <c r="E170" s="1" t="n">
        <v>46302</v>
      </c>
      <c r="F170" t="inlineStr">
        <is>
          <t>UPPSALA LÄN</t>
        </is>
      </c>
      <c r="G170" t="inlineStr">
        <is>
          <t>HEBY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46302</v>
      </c>
      <c r="F171" t="inlineStr">
        <is>
          <t>UPPSALA LÄN</t>
        </is>
      </c>
      <c r="G171" t="inlineStr">
        <is>
          <t>HEBY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46302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60722-2022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44913</v>
      </c>
      <c r="E173" s="1" t="n">
        <v>46302</v>
      </c>
      <c r="F173" t="inlineStr">
        <is>
          <t>UPPSALA LÄN</t>
        </is>
      </c>
      <c r="G173" t="inlineStr">
        <is>
          <t>HEBY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45293</v>
      </c>
      <c r="E174" s="1" t="n">
        <v>46302</v>
      </c>
      <c r="F174" t="inlineStr">
        <is>
          <t>UPPSALA LÄN</t>
        </is>
      </c>
      <c r="G174" t="inlineStr">
        <is>
          <t>HEBY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46302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46302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46302</v>
      </c>
      <c r="F177" t="inlineStr">
        <is>
          <t>UPPSALA LÄN</t>
        </is>
      </c>
      <c r="G177" t="inlineStr">
        <is>
          <t>HEBY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46302</v>
      </c>
      <c r="F178" t="inlineStr">
        <is>
          <t>UPPSALA LÄN</t>
        </is>
      </c>
      <c r="G178" t="inlineStr">
        <is>
          <t>HEBY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46302</v>
      </c>
      <c r="F179" t="inlineStr">
        <is>
          <t>UPPSALA LÄN</t>
        </is>
      </c>
      <c r="G179" t="inlineStr">
        <is>
          <t>HEBY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46302</v>
      </c>
      <c r="F180" t="inlineStr">
        <is>
          <t>UPPSALA LÄN</t>
        </is>
      </c>
      <c r="G180" t="inlineStr">
        <is>
          <t>HEBY</t>
        </is>
      </c>
      <c r="I180" t="n">
        <v>15.8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46302</v>
      </c>
      <c r="F181" t="inlineStr">
        <is>
          <t>UPPSALA LÄN</t>
        </is>
      </c>
      <c r="G181" t="inlineStr">
        <is>
          <t>HEBY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46302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46302</v>
      </c>
      <c r="F183" t="inlineStr">
        <is>
          <t>UPPSALA LÄN</t>
        </is>
      </c>
      <c r="G183" t="inlineStr">
        <is>
          <t>HEBY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45680</v>
      </c>
      <c r="E184" s="1" t="n">
        <v>46302</v>
      </c>
      <c r="F184" t="inlineStr">
        <is>
          <t>UPPSALA LÄN</t>
        </is>
      </c>
      <c r="G184" t="inlineStr">
        <is>
          <t>HEBY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46302</v>
      </c>
      <c r="F185" t="inlineStr">
        <is>
          <t>UPPSALA LÄN</t>
        </is>
      </c>
      <c r="G185" t="inlineStr">
        <is>
          <t>HEBY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45398</v>
      </c>
      <c r="E186" s="1" t="n">
        <v>46302</v>
      </c>
      <c r="F186" t="inlineStr">
        <is>
          <t>UPPSALA LÄN</t>
        </is>
      </c>
      <c r="G186" t="inlineStr">
        <is>
          <t>HEBY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46302</v>
      </c>
      <c r="F187" t="inlineStr">
        <is>
          <t>UPPSALA LÄN</t>
        </is>
      </c>
      <c r="G187" t="inlineStr">
        <is>
          <t>HEBY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46302</v>
      </c>
      <c r="F188" t="inlineStr">
        <is>
          <t>UPPSALA LÄN</t>
        </is>
      </c>
      <c r="G188" t="inlineStr">
        <is>
          <t>HEBY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46302</v>
      </c>
      <c r="F189" t="inlineStr">
        <is>
          <t>UPPSALA LÄN</t>
        </is>
      </c>
      <c r="G189" t="inlineStr">
        <is>
          <t>HEBY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46302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46302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46302</v>
      </c>
      <c r="F192" t="inlineStr">
        <is>
          <t>UPPSALA LÄN</t>
        </is>
      </c>
      <c r="G192" t="inlineStr">
        <is>
          <t>HEBY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46302</v>
      </c>
      <c r="F193" t="inlineStr">
        <is>
          <t>UPPSALA LÄN</t>
        </is>
      </c>
      <c r="G193" t="inlineStr">
        <is>
          <t>HEBY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46302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46302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46302</v>
      </c>
      <c r="F196" t="inlineStr">
        <is>
          <t>UPPSALA LÄN</t>
        </is>
      </c>
      <c r="G196" t="inlineStr">
        <is>
          <t>HEBY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46302</v>
      </c>
      <c r="F197" t="inlineStr">
        <is>
          <t>UPPSALA LÄN</t>
        </is>
      </c>
      <c r="G197" t="inlineStr">
        <is>
          <t>HEBY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46302</v>
      </c>
      <c r="F198" t="inlineStr">
        <is>
          <t>UPPSALA LÄN</t>
        </is>
      </c>
      <c r="G198" t="inlineStr">
        <is>
          <t>HEBY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46302</v>
      </c>
      <c r="F199" t="inlineStr">
        <is>
          <t>UPPSALA LÄN</t>
        </is>
      </c>
      <c r="G199" t="inlineStr">
        <is>
          <t>HEBY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11555-2026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46084</v>
      </c>
      <c r="E200" s="1" t="n">
        <v>46302</v>
      </c>
      <c r="F200" t="inlineStr">
        <is>
          <t>UPPSALA LÄN</t>
        </is>
      </c>
      <c r="G200" t="inlineStr">
        <is>
          <t>HEBY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46302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46302</v>
      </c>
      <c r="F202" t="inlineStr">
        <is>
          <t>UPPSALA LÄN</t>
        </is>
      </c>
      <c r="G202" t="inlineStr">
        <is>
          <t>HEBY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46302</v>
      </c>
      <c r="F203" t="inlineStr">
        <is>
          <t>UPPSALA LÄN</t>
        </is>
      </c>
      <c r="G203" t="inlineStr">
        <is>
          <t>HEBY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46302</v>
      </c>
      <c r="F204" t="inlineStr">
        <is>
          <t>UPPSALA LÄN</t>
        </is>
      </c>
      <c r="G204" t="inlineStr">
        <is>
          <t>HEBY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46302</v>
      </c>
      <c r="F205" t="inlineStr">
        <is>
          <t>UPPSALA LÄN</t>
        </is>
      </c>
      <c r="G205" t="inlineStr">
        <is>
          <t>HEBY</t>
        </is>
      </c>
      <c r="H205" t="inlineStr">
        <is>
          <t>Kommuner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46302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46302</v>
      </c>
      <c r="F207" t="inlineStr">
        <is>
          <t>UPPSALA LÄN</t>
        </is>
      </c>
      <c r="G207" t="inlineStr">
        <is>
          <t>HEBY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46302</v>
      </c>
      <c r="F208" t="inlineStr">
        <is>
          <t>UPPSALA LÄN</t>
        </is>
      </c>
      <c r="G208" t="inlineStr">
        <is>
          <t>HEBY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46302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46302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46059</v>
      </c>
      <c r="E211" s="1" t="n">
        <v>46302</v>
      </c>
      <c r="F211" t="inlineStr">
        <is>
          <t>UPPSALA LÄN</t>
        </is>
      </c>
      <c r="G211" t="inlineStr">
        <is>
          <t>HEBY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45279</v>
      </c>
      <c r="E212" s="1" t="n">
        <v>46302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46302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46302</v>
      </c>
      <c r="F214" t="inlineStr">
        <is>
          <t>UPPSALA LÄN</t>
        </is>
      </c>
      <c r="G214" t="inlineStr">
        <is>
          <t>HEBY</t>
        </is>
      </c>
      <c r="H214" t="inlineStr">
        <is>
          <t>Övriga Aktiebolag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46302</v>
      </c>
      <c r="F215" t="inlineStr">
        <is>
          <t>UPPSALA LÄN</t>
        </is>
      </c>
      <c r="G215" t="inlineStr">
        <is>
          <t>HEBY</t>
        </is>
      </c>
      <c r="H215" t="inlineStr">
        <is>
          <t>Kyrkan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46063</v>
      </c>
      <c r="E216" s="1" t="n">
        <v>46302</v>
      </c>
      <c r="F216" t="inlineStr">
        <is>
          <t>UPPSALA LÄN</t>
        </is>
      </c>
      <c r="G216" t="inlineStr">
        <is>
          <t>HEBY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46063</v>
      </c>
      <c r="E217" s="1" t="n">
        <v>46302</v>
      </c>
      <c r="F217" t="inlineStr">
        <is>
          <t>UPPSALA LÄN</t>
        </is>
      </c>
      <c r="G217" t="inlineStr">
        <is>
          <t>HEBY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46302</v>
      </c>
      <c r="F218" t="inlineStr">
        <is>
          <t>UPPSALA LÄN</t>
        </is>
      </c>
      <c r="G218" t="inlineStr">
        <is>
          <t>HEBY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46302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46302</v>
      </c>
      <c r="F220" t="inlineStr">
        <is>
          <t>UPPSALA LÄN</t>
        </is>
      </c>
      <c r="G220" t="inlineStr">
        <is>
          <t>HEBY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46302</v>
      </c>
      <c r="F221" t="inlineStr">
        <is>
          <t>UPPSALA LÄN</t>
        </is>
      </c>
      <c r="G221" t="inlineStr">
        <is>
          <t>HEBY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28812-2025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45820</v>
      </c>
      <c r="E222" s="1" t="n">
        <v>46302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46302</v>
      </c>
      <c r="F223" t="inlineStr">
        <is>
          <t>UPPSALA LÄN</t>
        </is>
      </c>
      <c r="G223" t="inlineStr">
        <is>
          <t>HEBY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46302</v>
      </c>
      <c r="F224" t="inlineStr">
        <is>
          <t>UPPSALA LÄN</t>
        </is>
      </c>
      <c r="G224" t="inlineStr">
        <is>
          <t>HEBY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46302</v>
      </c>
      <c r="F225" t="inlineStr">
        <is>
          <t>UPPSALA LÄN</t>
        </is>
      </c>
      <c r="G225" t="inlineStr">
        <is>
          <t>HEBY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46302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46302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46302</v>
      </c>
      <c r="F228" t="inlineStr">
        <is>
          <t>UPPSALA LÄN</t>
        </is>
      </c>
      <c r="G228" t="inlineStr">
        <is>
          <t>HEBY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46302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46302</v>
      </c>
      <c r="F230" t="inlineStr">
        <is>
          <t>UPPSALA LÄN</t>
        </is>
      </c>
      <c r="G230" t="inlineStr">
        <is>
          <t>HEBY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46302</v>
      </c>
      <c r="F231" t="inlineStr">
        <is>
          <t>UPPSALA LÄN</t>
        </is>
      </c>
      <c r="G231" t="inlineStr">
        <is>
          <t>HEBY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46302</v>
      </c>
      <c r="F232" t="inlineStr">
        <is>
          <t>UPPSALA LÄN</t>
        </is>
      </c>
      <c r="G232" t="inlineStr">
        <is>
          <t>HEBY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46302</v>
      </c>
      <c r="F233" t="inlineStr">
        <is>
          <t>UPPSALA LÄN</t>
        </is>
      </c>
      <c r="G233" t="inlineStr">
        <is>
          <t>HEBY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46302</v>
      </c>
      <c r="F234" t="inlineStr">
        <is>
          <t>UPPSALA LÄN</t>
        </is>
      </c>
      <c r="G234" t="inlineStr">
        <is>
          <t>HEBY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46302</v>
      </c>
      <c r="F235" t="inlineStr">
        <is>
          <t>UPPSALA LÄN</t>
        </is>
      </c>
      <c r="G235" t="inlineStr">
        <is>
          <t>HEBY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46302</v>
      </c>
      <c r="F236" t="inlineStr">
        <is>
          <t>UPPSALA LÄN</t>
        </is>
      </c>
      <c r="G236" t="inlineStr">
        <is>
          <t>HEBY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46302</v>
      </c>
      <c r="F237" t="inlineStr">
        <is>
          <t>UPPSALA LÄN</t>
        </is>
      </c>
      <c r="G237" t="inlineStr">
        <is>
          <t>HEBY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46302</v>
      </c>
      <c r="F238" t="inlineStr">
        <is>
          <t>UPPSALA LÄN</t>
        </is>
      </c>
      <c r="G238" t="inlineStr">
        <is>
          <t>HEBY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46302</v>
      </c>
      <c r="F239" t="inlineStr">
        <is>
          <t>UPPSALA LÄN</t>
        </is>
      </c>
      <c r="G239" t="inlineStr">
        <is>
          <t>HEBY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46302</v>
      </c>
      <c r="F240" t="inlineStr">
        <is>
          <t>UPPSALA LÄN</t>
        </is>
      </c>
      <c r="G240" t="inlineStr">
        <is>
          <t>HEBY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45502</v>
      </c>
      <c r="E241" s="1" t="n">
        <v>46302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46302</v>
      </c>
      <c r="F242" t="inlineStr">
        <is>
          <t>UPPSALA LÄN</t>
        </is>
      </c>
      <c r="G242" t="inlineStr">
        <is>
          <t>HEBY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46302</v>
      </c>
      <c r="F243" t="inlineStr">
        <is>
          <t>UPPSALA LÄN</t>
        </is>
      </c>
      <c r="G243" t="inlineStr">
        <is>
          <t>HEBY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45764</v>
      </c>
      <c r="E244" s="1" t="n">
        <v>46302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46302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43.4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46302</v>
      </c>
      <c r="F246" t="inlineStr">
        <is>
          <t>UPPSALA LÄN</t>
        </is>
      </c>
      <c r="G246" t="inlineStr">
        <is>
          <t>HEBY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46302</v>
      </c>
      <c r="F247" t="inlineStr">
        <is>
          <t>UPPSALA LÄN</t>
        </is>
      </c>
      <c r="G247" t="inlineStr">
        <is>
          <t>HEBY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46302</v>
      </c>
      <c r="F248" t="inlineStr">
        <is>
          <t>UPPSALA LÄN</t>
        </is>
      </c>
      <c r="G248" t="inlineStr">
        <is>
          <t>HEBY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46302</v>
      </c>
      <c r="F249" t="inlineStr">
        <is>
          <t>UPPSALA LÄN</t>
        </is>
      </c>
      <c r="G249" t="inlineStr">
        <is>
          <t>HEBY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51091-2023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45218</v>
      </c>
      <c r="E250" s="1" t="n">
        <v>46302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46302</v>
      </c>
      <c r="F251" t="inlineStr">
        <is>
          <t>UPPSALA LÄN</t>
        </is>
      </c>
      <c r="G251" t="inlineStr">
        <is>
          <t>HEBY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46302</v>
      </c>
      <c r="F252" t="inlineStr">
        <is>
          <t>UPPSALA LÄN</t>
        </is>
      </c>
      <c r="G252" t="inlineStr">
        <is>
          <t>HEBY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46302</v>
      </c>
      <c r="F253" t="inlineStr">
        <is>
          <t>UPPSALA LÄN</t>
        </is>
      </c>
      <c r="G253" t="inlineStr">
        <is>
          <t>HEBY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46302</v>
      </c>
      <c r="F254" t="inlineStr">
        <is>
          <t>UPPSALA LÄN</t>
        </is>
      </c>
      <c r="G254" t="inlineStr">
        <is>
          <t>HEBY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46302</v>
      </c>
      <c r="F255" t="inlineStr">
        <is>
          <t>UPPSALA LÄN</t>
        </is>
      </c>
      <c r="G255" t="inlineStr">
        <is>
          <t>HEBY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32245-2022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44781</v>
      </c>
      <c r="E256" s="1" t="n">
        <v>46302</v>
      </c>
      <c r="F256" t="inlineStr">
        <is>
          <t>UPPSALA LÄN</t>
        </is>
      </c>
      <c r="G256" t="inlineStr">
        <is>
          <t>HEBY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46302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44984</v>
      </c>
      <c r="E258" s="1" t="n">
        <v>46302</v>
      </c>
      <c r="F258" t="inlineStr">
        <is>
          <t>UPPSALA LÄN</t>
        </is>
      </c>
      <c r="G258" t="inlineStr">
        <is>
          <t>HEBY</t>
        </is>
      </c>
      <c r="H258" t="inlineStr">
        <is>
          <t>Allmännings- och besparingsskogar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44623</v>
      </c>
      <c r="E259" s="1" t="n">
        <v>46302</v>
      </c>
      <c r="F259" t="inlineStr">
        <is>
          <t>UPPSALA LÄN</t>
        </is>
      </c>
      <c r="G259" t="inlineStr">
        <is>
          <t>HEBY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46302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46302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46302</v>
      </c>
      <c r="F262" t="inlineStr">
        <is>
          <t>UPPSALA LÄN</t>
        </is>
      </c>
      <c r="G262" t="inlineStr">
        <is>
          <t>HEBY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46302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46302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46302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46302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46302</v>
      </c>
      <c r="F267" t="inlineStr">
        <is>
          <t>UPPSALA LÄN</t>
        </is>
      </c>
      <c r="G267" t="inlineStr">
        <is>
          <t>HEBY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45339</v>
      </c>
      <c r="E268" s="1" t="n">
        <v>46302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45331</v>
      </c>
      <c r="E269" s="1" t="n">
        <v>46302</v>
      </c>
      <c r="F269" t="inlineStr">
        <is>
          <t>UPPSALA LÄN</t>
        </is>
      </c>
      <c r="G269" t="inlineStr">
        <is>
          <t>HEBY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46302</v>
      </c>
      <c r="F270" t="inlineStr">
        <is>
          <t>UPPSALA LÄN</t>
        </is>
      </c>
      <c r="G270" t="inlineStr">
        <is>
          <t>HEBY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45852</v>
      </c>
      <c r="E271" s="1" t="n">
        <v>46302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10.3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54594-2024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45617</v>
      </c>
      <c r="E272" s="1" t="n">
        <v>46302</v>
      </c>
      <c r="F272" t="inlineStr">
        <is>
          <t>UPPSALA LÄN</t>
        </is>
      </c>
      <c r="G272" t="inlineStr">
        <is>
          <t>HEBY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45852</v>
      </c>
      <c r="E273" s="1" t="n">
        <v>46302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46302</v>
      </c>
      <c r="F274" t="inlineStr">
        <is>
          <t>UPPSALA LÄN</t>
        </is>
      </c>
      <c r="G274" t="inlineStr">
        <is>
          <t>HEBY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46110</v>
      </c>
      <c r="E275" s="1" t="n">
        <v>46302</v>
      </c>
      <c r="F275" t="inlineStr">
        <is>
          <t>UPPSALA LÄN</t>
        </is>
      </c>
      <c r="G275" t="inlineStr">
        <is>
          <t>HEBY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44614</v>
      </c>
      <c r="E276" s="1" t="n">
        <v>46302</v>
      </c>
      <c r="F276" t="inlineStr">
        <is>
          <t>UPPSALA LÄN</t>
        </is>
      </c>
      <c r="G276" t="inlineStr">
        <is>
          <t>HEBY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46302</v>
      </c>
      <c r="F277" t="inlineStr">
        <is>
          <t>UPPSALA LÄN</t>
        </is>
      </c>
      <c r="G277" t="inlineStr">
        <is>
          <t>HEBY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46302</v>
      </c>
      <c r="F278" t="inlineStr">
        <is>
          <t>UPPSALA LÄN</t>
        </is>
      </c>
      <c r="G278" t="inlineStr">
        <is>
          <t>HEBY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46302</v>
      </c>
      <c r="F279" t="inlineStr">
        <is>
          <t>UPPSALA LÄN</t>
        </is>
      </c>
      <c r="G279" t="inlineStr">
        <is>
          <t>HEBY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46302</v>
      </c>
      <c r="F280" t="inlineStr">
        <is>
          <t>UPPSALA LÄN</t>
        </is>
      </c>
      <c r="G280" t="inlineStr">
        <is>
          <t>HEBY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46302</v>
      </c>
      <c r="F281" t="inlineStr">
        <is>
          <t>UPPSALA LÄN</t>
        </is>
      </c>
      <c r="G281" t="inlineStr">
        <is>
          <t>HEBY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46302</v>
      </c>
      <c r="F282" t="inlineStr">
        <is>
          <t>UPPSALA LÄN</t>
        </is>
      </c>
      <c r="G282" t="inlineStr">
        <is>
          <t>HEBY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16506-2026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46112</v>
      </c>
      <c r="E283" s="1" t="n">
        <v>46302</v>
      </c>
      <c r="F283" t="inlineStr">
        <is>
          <t>UPPSALA LÄN</t>
        </is>
      </c>
      <c r="G283" t="inlineStr">
        <is>
          <t>HEBY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46302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33376-2024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46302</v>
      </c>
      <c r="F285" t="inlineStr">
        <is>
          <t>UPPSALA LÄN</t>
        </is>
      </c>
      <c r="G285" t="inlineStr">
        <is>
          <t>HEBY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46302</v>
      </c>
      <c r="F286" t="inlineStr">
        <is>
          <t>UPPSALA LÄN</t>
        </is>
      </c>
      <c r="G286" t="inlineStr">
        <is>
          <t>HEBY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45586</v>
      </c>
      <c r="E287" s="1" t="n">
        <v>46302</v>
      </c>
      <c r="F287" t="inlineStr">
        <is>
          <t>UPPSALA LÄN</t>
        </is>
      </c>
      <c r="G287" t="inlineStr">
        <is>
          <t>HEBY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21000-2022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44701</v>
      </c>
      <c r="E288" s="1" t="n">
        <v>46302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väst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46302</v>
      </c>
      <c r="F289" t="inlineStr">
        <is>
          <t>UPPSALA LÄN</t>
        </is>
      </c>
      <c r="G289" t="inlineStr">
        <is>
          <t>HEBY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46302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46302</v>
      </c>
      <c r="F291" t="inlineStr">
        <is>
          <t>UPPSALA LÄN</t>
        </is>
      </c>
      <c r="G291" t="inlineStr">
        <is>
          <t>HEBY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45958</v>
      </c>
      <c r="E292" s="1" t="n">
        <v>46302</v>
      </c>
      <c r="F292" t="inlineStr">
        <is>
          <t>UPPSALA LÄN</t>
        </is>
      </c>
      <c r="G292" t="inlineStr">
        <is>
          <t>HEBY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46302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46302</v>
      </c>
      <c r="F294" t="inlineStr">
        <is>
          <t>UPPSALA LÄN</t>
        </is>
      </c>
      <c r="G294" t="inlineStr">
        <is>
          <t>HEBY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46302</v>
      </c>
      <c r="F295" t="inlineStr">
        <is>
          <t>UPPSALA LÄN</t>
        </is>
      </c>
      <c r="G295" t="inlineStr">
        <is>
          <t>HEBY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46302</v>
      </c>
      <c r="F296" t="inlineStr">
        <is>
          <t>UPPSALA LÄN</t>
        </is>
      </c>
      <c r="G296" t="inlineStr">
        <is>
          <t>HEBY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55018-2025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46302</v>
      </c>
      <c r="F297" t="inlineStr">
        <is>
          <t>UPPSALA LÄN</t>
        </is>
      </c>
      <c r="G297" t="inlineStr">
        <is>
          <t>HEBY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46302</v>
      </c>
      <c r="F298" t="inlineStr">
        <is>
          <t>UPPSALA LÄN</t>
        </is>
      </c>
      <c r="G298" t="inlineStr">
        <is>
          <t>HEBY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46302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46302</v>
      </c>
      <c r="F300" t="inlineStr">
        <is>
          <t>UPPSALA LÄN</t>
        </is>
      </c>
      <c r="G300" t="inlineStr">
        <is>
          <t>HEBY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46302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66.90000000000001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46302</v>
      </c>
      <c r="F302" t="inlineStr">
        <is>
          <t>UPPSALA LÄN</t>
        </is>
      </c>
      <c r="G302" t="inlineStr">
        <is>
          <t>HEBY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46302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45342</v>
      </c>
      <c r="E304" s="1" t="n">
        <v>46302</v>
      </c>
      <c r="F304" t="inlineStr">
        <is>
          <t>UPPSALA LÄN</t>
        </is>
      </c>
      <c r="G304" t="inlineStr">
        <is>
          <t>HEBY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46302</v>
      </c>
      <c r="F305" t="inlineStr">
        <is>
          <t>UPPSALA LÄN</t>
        </is>
      </c>
      <c r="G305" t="inlineStr">
        <is>
          <t>HEBY</t>
        </is>
      </c>
      <c r="H305" t="inlineStr">
        <is>
          <t>Kyrkan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46302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55488-2025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45971</v>
      </c>
      <c r="E307" s="1" t="n">
        <v>46302</v>
      </c>
      <c r="F307" t="inlineStr">
        <is>
          <t>UPPSALA LÄN</t>
        </is>
      </c>
      <c r="G307" t="inlineStr">
        <is>
          <t>HEBY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55496-2025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45971</v>
      </c>
      <c r="E308" s="1" t="n">
        <v>46302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46302</v>
      </c>
      <c r="F309" t="inlineStr">
        <is>
          <t>UPPSALA LÄN</t>
        </is>
      </c>
      <c r="G309" t="inlineStr">
        <is>
          <t>HEBY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46302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46302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öst AB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45674</v>
      </c>
      <c r="E312" s="1" t="n">
        <v>46302</v>
      </c>
      <c r="F312" t="inlineStr">
        <is>
          <t>UPPSALA LÄN</t>
        </is>
      </c>
      <c r="G312" t="inlineStr">
        <is>
          <t>HEBY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46302</v>
      </c>
      <c r="F313" t="inlineStr">
        <is>
          <t>UPPSALA LÄN</t>
        </is>
      </c>
      <c r="G313" t="inlineStr">
        <is>
          <t>HEBY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46302</v>
      </c>
      <c r="F314" t="inlineStr">
        <is>
          <t>UPPSALA LÄN</t>
        </is>
      </c>
      <c r="G314" t="inlineStr">
        <is>
          <t>HEBY</t>
        </is>
      </c>
      <c r="H314" t="inlineStr">
        <is>
          <t>Allmännings- och besparingsskogar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70158-2021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44533</v>
      </c>
      <c r="E315" s="1" t="n">
        <v>46302</v>
      </c>
      <c r="F315" t="inlineStr">
        <is>
          <t>UPPSALA LÄN</t>
        </is>
      </c>
      <c r="G315" t="inlineStr">
        <is>
          <t>HEBY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46302</v>
      </c>
      <c r="F316" t="inlineStr">
        <is>
          <t>UPPSALA LÄN</t>
        </is>
      </c>
      <c r="G316" t="inlineStr">
        <is>
          <t>HEBY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45317</v>
      </c>
      <c r="E317" s="1" t="n">
        <v>46302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44754</v>
      </c>
      <c r="E318" s="1" t="n">
        <v>46302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46302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46302</v>
      </c>
      <c r="F320" t="inlineStr">
        <is>
          <t>UPPSALA LÄN</t>
        </is>
      </c>
      <c r="G320" t="inlineStr">
        <is>
          <t>HEBY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46302</v>
      </c>
      <c r="F321" t="inlineStr">
        <is>
          <t>UPPSALA LÄN</t>
        </is>
      </c>
      <c r="G321" t="inlineStr">
        <is>
          <t>HEBY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45891</v>
      </c>
      <c r="E322" s="1" t="n">
        <v>46302</v>
      </c>
      <c r="F322" t="inlineStr">
        <is>
          <t>UPPSALA LÄN</t>
        </is>
      </c>
      <c r="G322" t="inlineStr">
        <is>
          <t>HEBY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45946</v>
      </c>
      <c r="E323" s="1" t="n">
        <v>46302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46302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öst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46302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öst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46302</v>
      </c>
      <c r="F326" t="inlineStr">
        <is>
          <t>UPPSALA LÄN</t>
        </is>
      </c>
      <c r="G326" t="inlineStr">
        <is>
          <t>HEBY</t>
        </is>
      </c>
      <c r="H326" t="inlineStr">
        <is>
          <t>Allmännings- och besparingsskogar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46302</v>
      </c>
      <c r="F327" t="inlineStr">
        <is>
          <t>UPPSALA LÄN</t>
        </is>
      </c>
      <c r="G327" t="inlineStr">
        <is>
          <t>HEBY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46302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46302</v>
      </c>
      <c r="F329" t="inlineStr">
        <is>
          <t>UPPSALA LÄN</t>
        </is>
      </c>
      <c r="G329" t="inlineStr">
        <is>
          <t>HEBY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46302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45884</v>
      </c>
      <c r="E331" s="1" t="n">
        <v>46302</v>
      </c>
      <c r="F331" t="inlineStr">
        <is>
          <t>UPPSALA LÄN</t>
        </is>
      </c>
      <c r="G331" t="inlineStr">
        <is>
          <t>HEBY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46302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46302</v>
      </c>
      <c r="F333" t="inlineStr">
        <is>
          <t>UPPSALA LÄN</t>
        </is>
      </c>
      <c r="G333" t="inlineStr">
        <is>
          <t>HEBY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46302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44697</v>
      </c>
      <c r="E335" s="1" t="n">
        <v>46302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väst AB</t>
        </is>
      </c>
      <c r="I335" t="n">
        <v>14.3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62042-2025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46005</v>
      </c>
      <c r="E336" s="1" t="n">
        <v>46302</v>
      </c>
      <c r="F336" t="inlineStr">
        <is>
          <t>UPPSALA LÄN</t>
        </is>
      </c>
      <c r="G336" t="inlineStr">
        <is>
          <t>HEBY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62475-2025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46007</v>
      </c>
      <c r="E337" s="1" t="n">
        <v>46302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46302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öst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46302</v>
      </c>
      <c r="F339" t="inlineStr">
        <is>
          <t>UPPSALA LÄN</t>
        </is>
      </c>
      <c r="G339" t="inlineStr">
        <is>
          <t>HEBY</t>
        </is>
      </c>
      <c r="H339" t="inlineStr">
        <is>
          <t>Kyrkan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20470-2026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46302</v>
      </c>
      <c r="F340" t="inlineStr">
        <is>
          <t>UPPSALA LÄN</t>
        </is>
      </c>
      <c r="G340" t="inlineStr">
        <is>
          <t>HEBY</t>
        </is>
      </c>
      <c r="H340" t="inlineStr">
        <is>
          <t>Övriga Aktiebolag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46302</v>
      </c>
      <c r="F341" t="inlineStr">
        <is>
          <t>UPPSALA LÄN</t>
        </is>
      </c>
      <c r="G341" t="inlineStr">
        <is>
          <t>HEBY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46302</v>
      </c>
      <c r="F342" t="inlineStr">
        <is>
          <t>UPPSALA LÄN</t>
        </is>
      </c>
      <c r="G342" t="inlineStr">
        <is>
          <t>HEBY</t>
        </is>
      </c>
      <c r="H342" t="inlineStr">
        <is>
          <t>Övriga Aktiebolag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46302</v>
      </c>
      <c r="F343" t="inlineStr">
        <is>
          <t>UPPSALA LÄN</t>
        </is>
      </c>
      <c r="G343" t="inlineStr">
        <is>
          <t>HEBY</t>
        </is>
      </c>
      <c r="H343" t="inlineStr">
        <is>
          <t>Övriga Aktiebolag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45805</v>
      </c>
      <c r="E344" s="1" t="n">
        <v>46302</v>
      </c>
      <c r="F344" t="inlineStr">
        <is>
          <t>UPPSALA LÄN</t>
        </is>
      </c>
      <c r="G344" t="inlineStr">
        <is>
          <t>HEBY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46023</v>
      </c>
      <c r="E345" s="1" t="n">
        <v>46302</v>
      </c>
      <c r="F345" t="inlineStr">
        <is>
          <t>UPPSALA LÄN</t>
        </is>
      </c>
      <c r="G345" t="inlineStr">
        <is>
          <t>HEBY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46302</v>
      </c>
      <c r="F346" t="inlineStr">
        <is>
          <t>UPPSALA LÄN</t>
        </is>
      </c>
      <c r="G346" t="inlineStr">
        <is>
          <t>HEBY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46302</v>
      </c>
      <c r="F347" t="inlineStr">
        <is>
          <t>UPPSALA LÄN</t>
        </is>
      </c>
      <c r="G347" t="inlineStr">
        <is>
          <t>HEBY</t>
        </is>
      </c>
      <c r="H347" t="inlineStr">
        <is>
          <t>Övriga Aktiebolag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46302</v>
      </c>
      <c r="F348" t="inlineStr">
        <is>
          <t>UPPSALA LÄN</t>
        </is>
      </c>
      <c r="G348" t="inlineStr">
        <is>
          <t>HEBY</t>
        </is>
      </c>
      <c r="H348" t="inlineStr">
        <is>
          <t>Allmännings- och besparingsskogar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45805</v>
      </c>
      <c r="E349" s="1" t="n">
        <v>46302</v>
      </c>
      <c r="F349" t="inlineStr">
        <is>
          <t>UPPSALA LÄN</t>
        </is>
      </c>
      <c r="G349" t="inlineStr">
        <is>
          <t>HEBY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46302</v>
      </c>
      <c r="F350" t="inlineStr">
        <is>
          <t>UPPSALA LÄN</t>
        </is>
      </c>
      <c r="G350" t="inlineStr">
        <is>
          <t>HEBY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44701</v>
      </c>
      <c r="E351" s="1" t="n">
        <v>46302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45770</v>
      </c>
      <c r="E352" s="1" t="n">
        <v>46302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46160</v>
      </c>
      <c r="E353" s="1" t="n">
        <v>46302</v>
      </c>
      <c r="F353" t="inlineStr">
        <is>
          <t>UPPSALA LÄN</t>
        </is>
      </c>
      <c r="G353" t="inlineStr">
        <is>
          <t>HEBY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46302</v>
      </c>
      <c r="F354" t="inlineStr">
        <is>
          <t>UPPSALA LÄN</t>
        </is>
      </c>
      <c r="G354" t="inlineStr">
        <is>
          <t>HEBY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46302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35.2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46302</v>
      </c>
      <c r="F356" t="inlineStr">
        <is>
          <t>UPPSALA LÄN</t>
        </is>
      </c>
      <c r="G356" t="inlineStr">
        <is>
          <t>HEBY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46302</v>
      </c>
      <c r="F357" t="inlineStr">
        <is>
          <t>UPPSALA LÄN</t>
        </is>
      </c>
      <c r="G357" t="inlineStr">
        <is>
          <t>HEBY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46302</v>
      </c>
      <c r="F358" t="inlineStr">
        <is>
          <t>UPPSALA LÄN</t>
        </is>
      </c>
      <c r="G358" t="inlineStr">
        <is>
          <t>HEBY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46302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46302</v>
      </c>
      <c r="F360" t="inlineStr">
        <is>
          <t>UPPSALA LÄN</t>
        </is>
      </c>
      <c r="G360" t="inlineStr">
        <is>
          <t>HEBY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46302</v>
      </c>
      <c r="F361" t="inlineStr">
        <is>
          <t>UPPSALA LÄN</t>
        </is>
      </c>
      <c r="G361" t="inlineStr">
        <is>
          <t>HEBY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46302</v>
      </c>
      <c r="F362" t="inlineStr">
        <is>
          <t>UPPSALA LÄN</t>
        </is>
      </c>
      <c r="G362" t="inlineStr">
        <is>
          <t>HEBY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45308</v>
      </c>
      <c r="E363" s="1" t="n">
        <v>46302</v>
      </c>
      <c r="F363" t="inlineStr">
        <is>
          <t>UPPSALA LÄN</t>
        </is>
      </c>
      <c r="G363" t="inlineStr">
        <is>
          <t>HEBY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46302</v>
      </c>
      <c r="F364" t="inlineStr">
        <is>
          <t>UPPSALA LÄN</t>
        </is>
      </c>
      <c r="G364" t="inlineStr">
        <is>
          <t>HEBY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46302</v>
      </c>
      <c r="F365" t="inlineStr">
        <is>
          <t>UPPSALA LÄN</t>
        </is>
      </c>
      <c r="G365" t="inlineStr">
        <is>
          <t>HEBY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44833</v>
      </c>
      <c r="E366" s="1" t="n">
        <v>46302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44978</v>
      </c>
      <c r="E367" s="1" t="n">
        <v>46302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44568</v>
      </c>
      <c r="E368" s="1" t="n">
        <v>46302</v>
      </c>
      <c r="F368" t="inlineStr">
        <is>
          <t>UPPSALA LÄN</t>
        </is>
      </c>
      <c r="G368" t="inlineStr">
        <is>
          <t>HEBY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46302</v>
      </c>
      <c r="F369" t="inlineStr">
        <is>
          <t>UPPSALA LÄN</t>
        </is>
      </c>
      <c r="G369" t="inlineStr">
        <is>
          <t>HEBY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46302</v>
      </c>
      <c r="F370" t="inlineStr">
        <is>
          <t>UPPSALA LÄN</t>
        </is>
      </c>
      <c r="G370" t="inlineStr">
        <is>
          <t>HEBY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46302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46302</v>
      </c>
      <c r="F372" t="inlineStr">
        <is>
          <t>UPPSALA LÄN</t>
        </is>
      </c>
      <c r="G372" t="inlineStr">
        <is>
          <t>HEBY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45364</v>
      </c>
      <c r="E373" s="1" t="n">
        <v>46302</v>
      </c>
      <c r="F373" t="inlineStr">
        <is>
          <t>UPPSALA LÄN</t>
        </is>
      </c>
      <c r="G373" t="inlineStr">
        <is>
          <t>HEBY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46302</v>
      </c>
      <c r="F374" t="inlineStr">
        <is>
          <t>UPPSALA LÄN</t>
        </is>
      </c>
      <c r="G374" t="inlineStr">
        <is>
          <t>HEBY</t>
        </is>
      </c>
      <c r="H374" t="inlineStr">
        <is>
          <t>Övriga Aktiebolag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56352-2021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44480</v>
      </c>
      <c r="E375" s="1" t="n">
        <v>46302</v>
      </c>
      <c r="F375" t="inlineStr">
        <is>
          <t>UPPSALA LÄN</t>
        </is>
      </c>
      <c r="G375" t="inlineStr">
        <is>
          <t>HEBY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46302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46302</v>
      </c>
      <c r="F377" t="inlineStr">
        <is>
          <t>UPPSALA LÄN</t>
        </is>
      </c>
      <c r="G377" t="inlineStr">
        <is>
          <t>HEBY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45181</v>
      </c>
      <c r="E378" s="1" t="n">
        <v>46302</v>
      </c>
      <c r="F378" t="inlineStr">
        <is>
          <t>UPPSALA LÄN</t>
        </is>
      </c>
      <c r="G378" t="inlineStr">
        <is>
          <t>HEBY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45351</v>
      </c>
      <c r="E379" s="1" t="n">
        <v>46302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46302</v>
      </c>
      <c r="F380" t="inlineStr">
        <is>
          <t>UPPSALA LÄN</t>
        </is>
      </c>
      <c r="G380" t="inlineStr">
        <is>
          <t>HEBY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46302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44694</v>
      </c>
      <c r="E382" s="1" t="n">
        <v>46302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46302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väst AB</t>
        </is>
      </c>
      <c r="I383" t="n">
        <v>46.8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48956-2023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46302</v>
      </c>
      <c r="F384" t="inlineStr">
        <is>
          <t>UPPSALA LÄN</t>
        </is>
      </c>
      <c r="G384" t="inlineStr">
        <is>
          <t>HEBY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45197</v>
      </c>
      <c r="E385" s="1" t="n">
        <v>46302</v>
      </c>
      <c r="F385" t="inlineStr">
        <is>
          <t>UPPSALA LÄN</t>
        </is>
      </c>
      <c r="G385" t="inlineStr">
        <is>
          <t>HEBY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46302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41599-2023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46302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45929</v>
      </c>
      <c r="E388" s="1" t="n">
        <v>46302</v>
      </c>
      <c r="F388" t="inlineStr">
        <is>
          <t>UPPSALA LÄN</t>
        </is>
      </c>
      <c r="G388" t="inlineStr">
        <is>
          <t>HEBY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14262-2025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46302</v>
      </c>
      <c r="F389" t="inlineStr">
        <is>
          <t>UPPSALA LÄN</t>
        </is>
      </c>
      <c r="G389" t="inlineStr">
        <is>
          <t>HEBY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45218</v>
      </c>
      <c r="E390" s="1" t="n">
        <v>46302</v>
      </c>
      <c r="F390" t="inlineStr">
        <is>
          <t>UPPSALA LÄN</t>
        </is>
      </c>
      <c r="G390" t="inlineStr">
        <is>
          <t>HEBY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46302</v>
      </c>
      <c r="F391" t="inlineStr">
        <is>
          <t>UPPSALA LÄN</t>
        </is>
      </c>
      <c r="G391" t="inlineStr">
        <is>
          <t>HEBY</t>
        </is>
      </c>
      <c r="H391" t="inlineStr">
        <is>
          <t>Kyrkan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46302</v>
      </c>
      <c r="F392" t="inlineStr">
        <is>
          <t>UPPSALA LÄN</t>
        </is>
      </c>
      <c r="G392" t="inlineStr">
        <is>
          <t>HEBY</t>
        </is>
      </c>
      <c r="H392" t="inlineStr">
        <is>
          <t>Kyrkan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58332-2023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45250</v>
      </c>
      <c r="E393" s="1" t="n">
        <v>46302</v>
      </c>
      <c r="F393" t="inlineStr">
        <is>
          <t>UPPSALA LÄN</t>
        </is>
      </c>
      <c r="G393" t="inlineStr">
        <is>
          <t>HEBY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69377-2021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44531</v>
      </c>
      <c r="E394" s="1" t="n">
        <v>46302</v>
      </c>
      <c r="F394" t="inlineStr">
        <is>
          <t>UPPSALA LÄN</t>
        </is>
      </c>
      <c r="G394" t="inlineStr">
        <is>
          <t>HEBY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64364-2021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44511</v>
      </c>
      <c r="E395" s="1" t="n">
        <v>46302</v>
      </c>
      <c r="F395" t="inlineStr">
        <is>
          <t>UPPSALA LÄN</t>
        </is>
      </c>
      <c r="G395" t="inlineStr">
        <is>
          <t>HEBY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46302</v>
      </c>
      <c r="F396" t="inlineStr">
        <is>
          <t>UPPSALA LÄN</t>
        </is>
      </c>
      <c r="G396" t="inlineStr">
        <is>
          <t>HEBY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45029</v>
      </c>
      <c r="E397" s="1" t="n">
        <v>46302</v>
      </c>
      <c r="F397" t="inlineStr">
        <is>
          <t>UPPSALA LÄN</t>
        </is>
      </c>
      <c r="G397" t="inlineStr">
        <is>
          <t>HEBY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45406</v>
      </c>
      <c r="E398" s="1" t="n">
        <v>46302</v>
      </c>
      <c r="F398" t="inlineStr">
        <is>
          <t>UPPSALA LÄN</t>
        </is>
      </c>
      <c r="G398" t="inlineStr">
        <is>
          <t>HEBY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45599</v>
      </c>
      <c r="E399" s="1" t="n">
        <v>46302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44568</v>
      </c>
      <c r="E400" s="1" t="n">
        <v>46302</v>
      </c>
      <c r="F400" t="inlineStr">
        <is>
          <t>UPPSALA LÄN</t>
        </is>
      </c>
      <c r="G400" t="inlineStr">
        <is>
          <t>HEBY</t>
        </is>
      </c>
      <c r="I400" t="n">
        <v>10.6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45128</v>
      </c>
      <c r="E401" s="1" t="n">
        <v>46302</v>
      </c>
      <c r="F401" t="inlineStr">
        <is>
          <t>UPPSALA LÄN</t>
        </is>
      </c>
      <c r="G401" t="inlineStr">
        <is>
          <t>HEBY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44644</v>
      </c>
      <c r="E402" s="1" t="n">
        <v>46302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46302</v>
      </c>
      <c r="F403" t="inlineStr">
        <is>
          <t>UPPSALA LÄN</t>
        </is>
      </c>
      <c r="G403" t="inlineStr">
        <is>
          <t>HEBY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46262</v>
      </c>
      <c r="E404" s="1" t="n">
        <v>46302</v>
      </c>
      <c r="F404" t="inlineStr">
        <is>
          <t>UPPSALA LÄN</t>
        </is>
      </c>
      <c r="G404" t="inlineStr">
        <is>
          <t>HEBY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46302</v>
      </c>
      <c r="F405" t="inlineStr">
        <is>
          <t>UPPSALA LÄN</t>
        </is>
      </c>
      <c r="G405" t="inlineStr">
        <is>
          <t>HEBY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46302</v>
      </c>
      <c r="F406" t="inlineStr">
        <is>
          <t>UPPSALA LÄN</t>
        </is>
      </c>
      <c r="G406" t="inlineStr">
        <is>
          <t>HEBY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46220</v>
      </c>
      <c r="E407" s="1" t="n">
        <v>46302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55.9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46302</v>
      </c>
      <c r="F408" t="inlineStr">
        <is>
          <t>UPPSALA LÄN</t>
        </is>
      </c>
      <c r="G408" t="inlineStr">
        <is>
          <t>HEBY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46223</v>
      </c>
      <c r="E409" s="1" t="n">
        <v>46302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46223</v>
      </c>
      <c r="E410" s="1" t="n">
        <v>46302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väst AB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44659</v>
      </c>
      <c r="E411" s="1" t="n">
        <v>46302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44694</v>
      </c>
      <c r="E412" s="1" t="n">
        <v>46302</v>
      </c>
      <c r="F412" t="inlineStr">
        <is>
          <t>UPPSALA LÄN</t>
        </is>
      </c>
      <c r="G412" t="inlineStr">
        <is>
          <t>HEBY</t>
        </is>
      </c>
      <c r="I412" t="n">
        <v>22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46224</v>
      </c>
      <c r="E413" s="1" t="n">
        <v>46302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36454-2026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46269</v>
      </c>
      <c r="E414" s="1" t="n">
        <v>46302</v>
      </c>
      <c r="F414" t="inlineStr">
        <is>
          <t>UPPSALA LÄN</t>
        </is>
      </c>
      <c r="G414" t="inlineStr">
        <is>
          <t>HEBY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45639</v>
      </c>
      <c r="E415" s="1" t="n">
        <v>46302</v>
      </c>
      <c r="F415" t="inlineStr">
        <is>
          <t>UPPSALA LÄN</t>
        </is>
      </c>
      <c r="G415" t="inlineStr">
        <is>
          <t>HEBY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6226-2024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45337</v>
      </c>
      <c r="E416" s="1" t="n">
        <v>46302</v>
      </c>
      <c r="F416" t="inlineStr">
        <is>
          <t>UPPSALA LÄN</t>
        </is>
      </c>
      <c r="G416" t="inlineStr">
        <is>
          <t>HEBY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46302</v>
      </c>
      <c r="F417" t="inlineStr">
        <is>
          <t>UPPSALA LÄN</t>
        </is>
      </c>
      <c r="G417" t="inlineStr">
        <is>
          <t>HEBY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46302</v>
      </c>
      <c r="F418" t="inlineStr">
        <is>
          <t>UPPSALA LÄN</t>
        </is>
      </c>
      <c r="G418" t="inlineStr">
        <is>
          <t>HEBY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42731-2023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45181</v>
      </c>
      <c r="E419" s="1" t="n">
        <v>46302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46302</v>
      </c>
      <c r="F420" t="inlineStr">
        <is>
          <t>UPPSALA LÄN</t>
        </is>
      </c>
      <c r="G420" t="inlineStr">
        <is>
          <t>HEBY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46302</v>
      </c>
      <c r="F421" t="inlineStr">
        <is>
          <t>UPPSALA LÄN</t>
        </is>
      </c>
      <c r="G421" t="inlineStr">
        <is>
          <t>HEBY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45135</v>
      </c>
      <c r="E422" s="1" t="n">
        <v>46302</v>
      </c>
      <c r="F422" t="inlineStr">
        <is>
          <t>UPPSALA LÄN</t>
        </is>
      </c>
      <c r="G422" t="inlineStr">
        <is>
          <t>HEBY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10069-2024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46302</v>
      </c>
      <c r="F423" t="inlineStr">
        <is>
          <t>UPPSALA LÄN</t>
        </is>
      </c>
      <c r="G423" t="inlineStr">
        <is>
          <t>HEBY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64899-2021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44512</v>
      </c>
      <c r="E424" s="1" t="n">
        <v>46302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öst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59015-2022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46302</v>
      </c>
      <c r="F425" t="inlineStr">
        <is>
          <t>UPPSALA LÄN</t>
        </is>
      </c>
      <c r="G425" t="inlineStr">
        <is>
          <t>HEBY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46272</v>
      </c>
      <c r="E426" s="1" t="n">
        <v>46302</v>
      </c>
      <c r="F426" t="inlineStr">
        <is>
          <t>UPPSALA LÄN</t>
        </is>
      </c>
      <c r="G426" t="inlineStr">
        <is>
          <t>HEBY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46273</v>
      </c>
      <c r="E427" s="1" t="n">
        <v>46302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44802</v>
      </c>
      <c r="E428" s="1" t="n">
        <v>46302</v>
      </c>
      <c r="F428" t="inlineStr">
        <is>
          <t>UPPSALA LÄN</t>
        </is>
      </c>
      <c r="G428" t="inlineStr">
        <is>
          <t>HEBY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35868-2022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44802</v>
      </c>
      <c r="E429" s="1" t="n">
        <v>46302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44734</v>
      </c>
      <c r="E430" s="1" t="n">
        <v>46302</v>
      </c>
      <c r="F430" t="inlineStr">
        <is>
          <t>UPPSALA LÄN</t>
        </is>
      </c>
      <c r="G430" t="inlineStr">
        <is>
          <t>HEBY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66055-2021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44517</v>
      </c>
      <c r="E431" s="1" t="n">
        <v>46302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öst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46302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46302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74215-2021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44558</v>
      </c>
      <c r="E434" s="1" t="n">
        <v>46302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46302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45250</v>
      </c>
      <c r="E436" s="1" t="n">
        <v>46302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46231</v>
      </c>
      <c r="E437" s="1" t="n">
        <v>46302</v>
      </c>
      <c r="F437" t="inlineStr">
        <is>
          <t>UPPSALA LÄN</t>
        </is>
      </c>
      <c r="G437" t="inlineStr">
        <is>
          <t>HEBY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46231</v>
      </c>
      <c r="E438" s="1" t="n">
        <v>46302</v>
      </c>
      <c r="F438" t="inlineStr">
        <is>
          <t>UPPSALA LÄN</t>
        </is>
      </c>
      <c r="G438" t="inlineStr">
        <is>
          <t>HEBY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46279</v>
      </c>
      <c r="E439" s="1" t="n">
        <v>46302</v>
      </c>
      <c r="F439" t="inlineStr">
        <is>
          <t>UPPSALA LÄN</t>
        </is>
      </c>
      <c r="G439" t="inlineStr">
        <is>
          <t>HEBY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46279</v>
      </c>
      <c r="E440" s="1" t="n">
        <v>46302</v>
      </c>
      <c r="F440" t="inlineStr">
        <is>
          <t>UPPSALA LÄN</t>
        </is>
      </c>
      <c r="G440" t="inlineStr">
        <is>
          <t>HEBY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46302</v>
      </c>
      <c r="F441" t="inlineStr">
        <is>
          <t>UPPSALA LÄN</t>
        </is>
      </c>
      <c r="G441" t="inlineStr">
        <is>
          <t>HEBY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46278</v>
      </c>
      <c r="E442" s="1" t="n">
        <v>46302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34146-2022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44791</v>
      </c>
      <c r="E443" s="1" t="n">
        <v>46302</v>
      </c>
      <c r="F443" t="inlineStr">
        <is>
          <t>UPPSALA LÄN</t>
        </is>
      </c>
      <c r="G443" t="inlineStr">
        <is>
          <t>HEBY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46302</v>
      </c>
      <c r="F444" t="inlineStr">
        <is>
          <t>UPPSALA LÄN</t>
        </is>
      </c>
      <c r="G444" t="inlineStr">
        <is>
          <t>HEBY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46302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46237</v>
      </c>
      <c r="E446" s="1" t="n">
        <v>46302</v>
      </c>
      <c r="F446" t="inlineStr">
        <is>
          <t>UPPSALA LÄN</t>
        </is>
      </c>
      <c r="G446" t="inlineStr">
        <is>
          <t>HEBY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46302</v>
      </c>
      <c r="F447" t="inlineStr">
        <is>
          <t>UPPSALA LÄN</t>
        </is>
      </c>
      <c r="G447" t="inlineStr">
        <is>
          <t>HEBY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46302</v>
      </c>
      <c r="F448" t="inlineStr">
        <is>
          <t>UPPSALA LÄN</t>
        </is>
      </c>
      <c r="G448" t="inlineStr">
        <is>
          <t>HEBY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46302</v>
      </c>
      <c r="F449" t="inlineStr">
        <is>
          <t>UPPSALA LÄN</t>
        </is>
      </c>
      <c r="G449" t="inlineStr">
        <is>
          <t>HEBY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45117</v>
      </c>
      <c r="E450" s="1" t="n">
        <v>46302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46302</v>
      </c>
      <c r="F451" t="inlineStr">
        <is>
          <t>UPPSALA LÄN</t>
        </is>
      </c>
      <c r="G451" t="inlineStr">
        <is>
          <t>HEBY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38036-2026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46302</v>
      </c>
      <c r="F452" t="inlineStr">
        <is>
          <t>UPPSALA LÄN</t>
        </is>
      </c>
      <c r="G452" t="inlineStr">
        <is>
          <t>HEBY</t>
        </is>
      </c>
      <c r="H452" t="inlineStr">
        <is>
          <t>Sveaskog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46280</v>
      </c>
      <c r="E453" s="1" t="n">
        <v>46302</v>
      </c>
      <c r="F453" t="inlineStr">
        <is>
          <t>UPPSALA LÄN</t>
        </is>
      </c>
      <c r="G453" t="inlineStr">
        <is>
          <t>HEBY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46302</v>
      </c>
      <c r="F454" t="inlineStr">
        <is>
          <t>UPPSALA LÄN</t>
        </is>
      </c>
      <c r="G454" t="inlineStr">
        <is>
          <t>HEBY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46302</v>
      </c>
      <c r="F455" t="inlineStr">
        <is>
          <t>UPPSALA LÄN</t>
        </is>
      </c>
      <c r="G455" t="inlineStr">
        <is>
          <t>HEBY</t>
        </is>
      </c>
      <c r="H455" t="inlineStr">
        <is>
          <t>Övriga Aktiebolag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45132</v>
      </c>
      <c r="E456" s="1" t="n">
        <v>46302</v>
      </c>
      <c r="F456" t="inlineStr">
        <is>
          <t>UPPSALA LÄN</t>
        </is>
      </c>
      <c r="G456" t="inlineStr">
        <is>
          <t>HEBY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45132</v>
      </c>
      <c r="E457" s="1" t="n">
        <v>46302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45132</v>
      </c>
      <c r="E458" s="1" t="n">
        <v>46302</v>
      </c>
      <c r="F458" t="inlineStr">
        <is>
          <t>UPPSALA LÄN</t>
        </is>
      </c>
      <c r="G458" t="inlineStr">
        <is>
          <t>HEBY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46281</v>
      </c>
      <c r="E459" s="1" t="n">
        <v>46302</v>
      </c>
      <c r="F459" t="inlineStr">
        <is>
          <t>UPPSALA LÄN</t>
        </is>
      </c>
      <c r="G459" t="inlineStr">
        <is>
          <t>HEBY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45050</v>
      </c>
      <c r="E460" s="1" t="n">
        <v>46302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44944</v>
      </c>
      <c r="E461" s="1" t="n">
        <v>46302</v>
      </c>
      <c r="F461" t="inlineStr">
        <is>
          <t>UPPSALA LÄN</t>
        </is>
      </c>
      <c r="G461" t="inlineStr">
        <is>
          <t>HEBY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42859-2024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46302</v>
      </c>
      <c r="F462" t="inlineStr">
        <is>
          <t>UPPSALA LÄN</t>
        </is>
      </c>
      <c r="G462" t="inlineStr">
        <is>
          <t>HEBY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46302</v>
      </c>
      <c r="F463" t="inlineStr">
        <is>
          <t>UPPSALA LÄN</t>
        </is>
      </c>
      <c r="G463" t="inlineStr">
        <is>
          <t>HEBY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45030</v>
      </c>
      <c r="E464" s="1" t="n">
        <v>46302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45006</v>
      </c>
      <c r="E465" s="1" t="n">
        <v>46302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46302</v>
      </c>
      <c r="F466" t="inlineStr">
        <is>
          <t>UPPSALA LÄN</t>
        </is>
      </c>
      <c r="G466" t="inlineStr">
        <is>
          <t>HEBY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46302</v>
      </c>
      <c r="F467" t="inlineStr">
        <is>
          <t>UPPSALA LÄN</t>
        </is>
      </c>
      <c r="G467" t="inlineStr">
        <is>
          <t>HEBY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45195</v>
      </c>
      <c r="E468" s="1" t="n">
        <v>46302</v>
      </c>
      <c r="F468" t="inlineStr">
        <is>
          <t>UPPSALA LÄN</t>
        </is>
      </c>
      <c r="G468" t="inlineStr">
        <is>
          <t>HEBY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39025-2026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46302</v>
      </c>
      <c r="F469" t="inlineStr">
        <is>
          <t>UPPSALA LÄN</t>
        </is>
      </c>
      <c r="G469" t="inlineStr">
        <is>
          <t>HEBY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46302</v>
      </c>
      <c r="F470" t="inlineStr">
        <is>
          <t>UPPSALA LÄN</t>
        </is>
      </c>
      <c r="G470" t="inlineStr">
        <is>
          <t>HEBY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46289</v>
      </c>
      <c r="E471" s="1" t="n">
        <v>46302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öst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38818-2026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46286</v>
      </c>
      <c r="E472" s="1" t="n">
        <v>46302</v>
      </c>
      <c r="F472" t="inlineStr">
        <is>
          <t>UPPSALA LÄN</t>
        </is>
      </c>
      <c r="G472" t="inlineStr">
        <is>
          <t>HEBY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34593-2023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45138</v>
      </c>
      <c r="E473" s="1" t="n">
        <v>46302</v>
      </c>
      <c r="F473" t="inlineStr">
        <is>
          <t>UPPSALA LÄN</t>
        </is>
      </c>
      <c r="G473" t="inlineStr">
        <is>
          <t>HEBY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46302</v>
      </c>
      <c r="F474" t="inlineStr">
        <is>
          <t>UPPSALA LÄN</t>
        </is>
      </c>
      <c r="G474" t="inlineStr">
        <is>
          <t>HEBY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39683-2026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46289</v>
      </c>
      <c r="E475" s="1" t="n">
        <v>46302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öst AB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39690-2026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46289</v>
      </c>
      <c r="E476" s="1" t="n">
        <v>46302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öst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39688-2026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46289</v>
      </c>
      <c r="E477" s="1" t="n">
        <v>46302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39686-2026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46289</v>
      </c>
      <c r="E478" s="1" t="n">
        <v>46302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öst AB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39549-2026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46289</v>
      </c>
      <c r="E479" s="1" t="n">
        <v>46302</v>
      </c>
      <c r="F479" t="inlineStr">
        <is>
          <t>UPPSALA LÄN</t>
        </is>
      </c>
      <c r="G479" t="inlineStr">
        <is>
          <t>HEBY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39154-2023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46302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45373</v>
      </c>
      <c r="E481" s="1" t="n">
        <v>46302</v>
      </c>
      <c r="F481" t="inlineStr">
        <is>
          <t>UPPSALA LÄN</t>
        </is>
      </c>
      <c r="G481" t="inlineStr">
        <is>
          <t>HEBY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45216</v>
      </c>
      <c r="E482" s="1" t="n">
        <v>46302</v>
      </c>
      <c r="F482" t="inlineStr">
        <is>
          <t>UPPSALA LÄN</t>
        </is>
      </c>
      <c r="G482" t="inlineStr">
        <is>
          <t>HEBY</t>
        </is>
      </c>
      <c r="I482" t="n">
        <v>10.9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46293</v>
      </c>
      <c r="E483" s="1" t="n">
        <v>46302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öst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46302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46302</v>
      </c>
      <c r="F485" t="inlineStr">
        <is>
          <t>UPPSALA LÄN</t>
        </is>
      </c>
      <c r="G485" t="inlineStr">
        <is>
          <t>HEBY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39713-2026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46290</v>
      </c>
      <c r="E486" s="1" t="n">
        <v>46302</v>
      </c>
      <c r="F486" t="inlineStr">
        <is>
          <t>UPPSALA LÄN</t>
        </is>
      </c>
      <c r="G486" t="inlineStr">
        <is>
          <t>HEBY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11835-2024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45376</v>
      </c>
      <c r="E487" s="1" t="n">
        <v>46302</v>
      </c>
      <c r="F487" t="inlineStr">
        <is>
          <t>UPPSALA LÄN</t>
        </is>
      </c>
      <c r="G487" t="inlineStr">
        <is>
          <t>HEBY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45083</v>
      </c>
      <c r="E488" s="1" t="n">
        <v>46302</v>
      </c>
      <c r="F488" t="inlineStr">
        <is>
          <t>UPPSALA LÄN</t>
        </is>
      </c>
      <c r="G488" t="inlineStr">
        <is>
          <t>HEBY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44944</v>
      </c>
      <c r="E489" s="1" t="n">
        <v>46302</v>
      </c>
      <c r="F489" t="inlineStr">
        <is>
          <t>UPPSALA LÄN</t>
        </is>
      </c>
      <c r="G489" t="inlineStr">
        <is>
          <t>HEBY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40222-2026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46293</v>
      </c>
      <c r="E490" s="1" t="n">
        <v>46302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öst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46302</v>
      </c>
      <c r="F491" t="inlineStr">
        <is>
          <t>UPPSALA LÄN</t>
        </is>
      </c>
      <c r="G491" t="inlineStr">
        <is>
          <t>HEBY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44574</v>
      </c>
      <c r="E492" s="1" t="n">
        <v>46302</v>
      </c>
      <c r="F492" t="inlineStr">
        <is>
          <t>UPPSALA LÄN</t>
        </is>
      </c>
      <c r="G492" t="inlineStr">
        <is>
          <t>HEBY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56398-2023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46302</v>
      </c>
      <c r="F493" t="inlineStr">
        <is>
          <t>UPPSALA LÄN</t>
        </is>
      </c>
      <c r="G493" t="inlineStr">
        <is>
          <t>HEBY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44586</v>
      </c>
      <c r="E494" s="1" t="n">
        <v>46302</v>
      </c>
      <c r="F494" t="inlineStr">
        <is>
          <t>UPPSALA LÄN</t>
        </is>
      </c>
      <c r="G494" t="inlineStr">
        <is>
          <t>HEBY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59486-2021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44491</v>
      </c>
      <c r="E495" s="1" t="n">
        <v>46302</v>
      </c>
      <c r="F495" t="inlineStr">
        <is>
          <t>UPPSALA LÄN</t>
        </is>
      </c>
      <c r="G495" t="inlineStr">
        <is>
          <t>HEBY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34270-2026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46302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60461-2022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44911</v>
      </c>
      <c r="E497" s="1" t="n">
        <v>46302</v>
      </c>
      <c r="F497" t="inlineStr">
        <is>
          <t>UPPSALA LÄN</t>
        </is>
      </c>
      <c r="G497" t="inlineStr">
        <is>
          <t>HEBY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40610-2026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46295</v>
      </c>
      <c r="E498" s="1" t="n">
        <v>46302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öst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3368-2024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45317</v>
      </c>
      <c r="E499" s="1" t="n">
        <v>46302</v>
      </c>
      <c r="F499" t="inlineStr">
        <is>
          <t>UPPSALA LÄN</t>
        </is>
      </c>
      <c r="G499" t="inlineStr">
        <is>
          <t>HEBY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44979</v>
      </c>
      <c r="E500" s="1" t="n">
        <v>46302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46302</v>
      </c>
      <c r="F501" t="inlineStr">
        <is>
          <t>UPPSALA LÄN</t>
        </is>
      </c>
      <c r="G501" t="inlineStr">
        <is>
          <t>HEBY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46252</v>
      </c>
      <c r="E502" s="1" t="n">
        <v>46302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46302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40994-2026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46297</v>
      </c>
      <c r="E504" s="1" t="n">
        <v>46302</v>
      </c>
      <c r="F504" t="inlineStr">
        <is>
          <t>UPPSALA LÄN</t>
        </is>
      </c>
      <c r="G504" t="inlineStr">
        <is>
          <t>HEBY</t>
        </is>
      </c>
      <c r="I504" t="n">
        <v>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44978</v>
      </c>
      <c r="E505" s="1" t="n">
        <v>46302</v>
      </c>
      <c r="F505" t="inlineStr">
        <is>
          <t>UPPSALA LÄN</t>
        </is>
      </c>
      <c r="G505" t="inlineStr">
        <is>
          <t>HEBY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40746-2026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46296</v>
      </c>
      <c r="E506" s="1" t="n">
        <v>46302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öst AB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34334-2026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46254</v>
      </c>
      <c r="E507" s="1" t="n">
        <v>46302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46296</v>
      </c>
      <c r="E508" s="1" t="n">
        <v>46302</v>
      </c>
      <c r="F508" t="inlineStr">
        <is>
          <t>UPPSALA LÄN</t>
        </is>
      </c>
      <c r="G508" t="inlineStr">
        <is>
          <t>HEBY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45294</v>
      </c>
      <c r="E509" s="1" t="n">
        <v>46302</v>
      </c>
      <c r="F509" t="inlineStr">
        <is>
          <t>UPPSALA LÄN</t>
        </is>
      </c>
      <c r="G509" t="inlineStr">
        <is>
          <t>HEBY</t>
        </is>
      </c>
      <c r="H509" t="inlineStr">
        <is>
          <t>Kommuner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46302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40741-2026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46296</v>
      </c>
      <c r="E511" s="1" t="n">
        <v>46302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öst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40742-2026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46296</v>
      </c>
      <c r="E512" s="1" t="n">
        <v>46302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öst AB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46302</v>
      </c>
      <c r="F513" t="inlineStr">
        <is>
          <t>UPPSALA LÄN</t>
        </is>
      </c>
      <c r="G513" t="inlineStr">
        <is>
          <t>HEBY</t>
        </is>
      </c>
      <c r="I513" t="n">
        <v>6.8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45532</v>
      </c>
      <c r="E514" s="1" t="n">
        <v>46302</v>
      </c>
      <c r="F514" t="inlineStr">
        <is>
          <t>UPPSALA LÄN</t>
        </is>
      </c>
      <c r="G514" t="inlineStr">
        <is>
          <t>HEBY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46302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46302</v>
      </c>
      <c r="F516" t="inlineStr">
        <is>
          <t>UPPSALA LÄN</t>
        </is>
      </c>
      <c r="G516" t="inlineStr">
        <is>
          <t>HEBY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45166</v>
      </c>
      <c r="E517" s="1" t="n">
        <v>46302</v>
      </c>
      <c r="F517" t="inlineStr">
        <is>
          <t>UPPSALA LÄN</t>
        </is>
      </c>
      <c r="G517" t="inlineStr">
        <is>
          <t>HEBY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9766-2023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44984</v>
      </c>
      <c r="E518" s="1" t="n">
        <v>46302</v>
      </c>
      <c r="F518" t="inlineStr">
        <is>
          <t>UPPSALA LÄN</t>
        </is>
      </c>
      <c r="G518" t="inlineStr">
        <is>
          <t>HEBY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34281-2026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46302</v>
      </c>
      <c r="F519" t="inlineStr">
        <is>
          <t>UPPSALA LÄN</t>
        </is>
      </c>
      <c r="G519" t="inlineStr">
        <is>
          <t>HEBY</t>
        </is>
      </c>
      <c r="H519" t="inlineStr">
        <is>
          <t>Allmännings- och besparingsskogar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44943</v>
      </c>
      <c r="E520" s="1" t="n">
        <v>46302</v>
      </c>
      <c r="F520" t="inlineStr">
        <is>
          <t>UPPSALA LÄN</t>
        </is>
      </c>
      <c r="G520" t="inlineStr">
        <is>
          <t>HEBY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44943</v>
      </c>
      <c r="E521" s="1" t="n">
        <v>46302</v>
      </c>
      <c r="F521" t="inlineStr">
        <is>
          <t>UPPSALA LÄN</t>
        </is>
      </c>
      <c r="G521" t="inlineStr">
        <is>
          <t>HEBY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44944</v>
      </c>
      <c r="E522" s="1" t="n">
        <v>46302</v>
      </c>
      <c r="F522" t="inlineStr">
        <is>
          <t>UPPSALA LÄN</t>
        </is>
      </c>
      <c r="G522" t="inlineStr">
        <is>
          <t>HEBY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45252</v>
      </c>
      <c r="E523" s="1" t="n">
        <v>46302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46296</v>
      </c>
      <c r="E524" s="1" t="n">
        <v>46302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öst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45317</v>
      </c>
      <c r="E525" s="1" t="n">
        <v>46302</v>
      </c>
      <c r="F525" t="inlineStr">
        <is>
          <t>UPPSALA LÄN</t>
        </is>
      </c>
      <c r="G525" t="inlineStr">
        <is>
          <t>HEBY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46302</v>
      </c>
      <c r="F526" t="inlineStr">
        <is>
          <t>UPPSALA LÄN</t>
        </is>
      </c>
      <c r="G526" t="inlineStr">
        <is>
          <t>HEBY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60295-2021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44495</v>
      </c>
      <c r="E527" s="1" t="n">
        <v>46302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46302</v>
      </c>
      <c r="F528" t="inlineStr">
        <is>
          <t>UPPSALA LÄN</t>
        </is>
      </c>
      <c r="G528" t="inlineStr">
        <is>
          <t>HEBY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41312-2026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46300</v>
      </c>
      <c r="E529" s="1" t="n">
        <v>46302</v>
      </c>
      <c r="F529" t="inlineStr">
        <is>
          <t>UPPSALA LÄN</t>
        </is>
      </c>
      <c r="G529" t="inlineStr">
        <is>
          <t>HEBY</t>
        </is>
      </c>
      <c r="I529" t="n">
        <v>17.5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46301</v>
      </c>
      <c r="E530" s="1" t="n">
        <v>46302</v>
      </c>
      <c r="F530" t="inlineStr">
        <is>
          <t>UPPSALA LÄN</t>
        </is>
      </c>
      <c r="G530" t="inlineStr">
        <is>
          <t>HEBY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44974</v>
      </c>
      <c r="E531" s="1" t="n">
        <v>46302</v>
      </c>
      <c r="F531" t="inlineStr">
        <is>
          <t>UPPSALA LÄN</t>
        </is>
      </c>
      <c r="G531" t="inlineStr">
        <is>
          <t>HEBY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40491-2026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46295</v>
      </c>
      <c r="E532" s="1" t="n">
        <v>46302</v>
      </c>
      <c r="F532" t="inlineStr">
        <is>
          <t>UPPSALA LÄN</t>
        </is>
      </c>
      <c r="G532" t="inlineStr">
        <is>
          <t>HEBY</t>
        </is>
      </c>
      <c r="H532" t="inlineStr">
        <is>
          <t>Allmännings- och besparingsskogar</t>
        </is>
      </c>
      <c r="I532" t="n">
        <v>10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46302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46302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40924-2023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46302</v>
      </c>
      <c r="F535" t="inlineStr">
        <is>
          <t>UPPSALA LÄN</t>
        </is>
      </c>
      <c r="G535" t="inlineStr">
        <is>
          <t>HEBY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40926-2023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46302</v>
      </c>
      <c r="F536" t="inlineStr">
        <is>
          <t>UPPSALA LÄN</t>
        </is>
      </c>
      <c r="G536" t="inlineStr">
        <is>
          <t>HEBY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46301</v>
      </c>
      <c r="E537" s="1" t="n">
        <v>46302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46302</v>
      </c>
      <c r="F538" t="inlineStr">
        <is>
          <t>UPPSALA LÄN</t>
        </is>
      </c>
      <c r="G538" t="inlineStr">
        <is>
          <t>HEBY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44956</v>
      </c>
      <c r="E539" s="1" t="n">
        <v>46302</v>
      </c>
      <c r="F539" t="inlineStr">
        <is>
          <t>UPPSALA LÄN</t>
        </is>
      </c>
      <c r="G539" t="inlineStr">
        <is>
          <t>HEBY</t>
        </is>
      </c>
      <c r="H539" t="inlineStr">
        <is>
          <t>Kyrkan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46302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46280</v>
      </c>
      <c r="E541" s="1" t="n">
        <v>46302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46302</v>
      </c>
      <c r="F542" t="inlineStr">
        <is>
          <t>UPPSALA LÄN</t>
        </is>
      </c>
      <c r="G542" t="inlineStr">
        <is>
          <t>HEBY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46302</v>
      </c>
      <c r="F543" t="inlineStr">
        <is>
          <t>UPPSALA LÄN</t>
        </is>
      </c>
      <c r="G543" t="inlineStr">
        <is>
          <t>HEBY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46302</v>
      </c>
      <c r="F544" t="inlineStr">
        <is>
          <t>UPPSALA LÄN</t>
        </is>
      </c>
      <c r="G544" t="inlineStr">
        <is>
          <t>HEBY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46302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41573-2026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46301</v>
      </c>
      <c r="E546" s="1" t="n">
        <v>46302</v>
      </c>
      <c r="F546" t="inlineStr">
        <is>
          <t>UPPSALA LÄN</t>
        </is>
      </c>
      <c r="G546" t="inlineStr">
        <is>
          <t>HEBY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46302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15427-2025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45747</v>
      </c>
      <c r="E548" s="1" t="n">
        <v>46302</v>
      </c>
      <c r="F548" t="inlineStr">
        <is>
          <t>UPPSALA LÄN</t>
        </is>
      </c>
      <c r="G548" t="inlineStr">
        <is>
          <t>HEBY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7173-2024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45344</v>
      </c>
      <c r="E549" s="1" t="n">
        <v>46302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46302</v>
      </c>
      <c r="F550" t="inlineStr">
        <is>
          <t>UPPSALA LÄN</t>
        </is>
      </c>
      <c r="G550" t="inlineStr">
        <is>
          <t>HEBY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46302</v>
      </c>
      <c r="F551" t="inlineStr">
        <is>
          <t>UPPSALA LÄN</t>
        </is>
      </c>
      <c r="G551" t="inlineStr">
        <is>
          <t>HEBY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46302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44752</v>
      </c>
      <c r="E553" s="1" t="n">
        <v>46302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45693</v>
      </c>
      <c r="E554" s="1" t="n">
        <v>46302</v>
      </c>
      <c r="F554" t="inlineStr">
        <is>
          <t>UPPSALA LÄN</t>
        </is>
      </c>
      <c r="G554" t="inlineStr">
        <is>
          <t>HEBY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45008</v>
      </c>
      <c r="E555" s="1" t="n">
        <v>46302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46302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19718-2023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45050</v>
      </c>
      <c r="E557" s="1" t="n">
        <v>46302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60456-2022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44911</v>
      </c>
      <c r="E558" s="1" t="n">
        <v>46302</v>
      </c>
      <c r="F558" t="inlineStr">
        <is>
          <t>UPPSALA LÄN</t>
        </is>
      </c>
      <c r="G558" t="inlineStr">
        <is>
          <t>HEBY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44978</v>
      </c>
      <c r="E559" s="1" t="n">
        <v>46302</v>
      </c>
      <c r="F559" t="inlineStr">
        <is>
          <t>UPPSALA LÄN</t>
        </is>
      </c>
      <c r="G559" t="inlineStr">
        <is>
          <t>HEBY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14916-2025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45743</v>
      </c>
      <c r="E560" s="1" t="n">
        <v>46302</v>
      </c>
      <c r="F560" t="inlineStr">
        <is>
          <t>UPPSALA LÄN</t>
        </is>
      </c>
      <c r="G560" t="inlineStr">
        <is>
          <t>HEBY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45664</v>
      </c>
      <c r="E561" s="1" t="n">
        <v>46302</v>
      </c>
      <c r="F561" t="inlineStr">
        <is>
          <t>UPPSALA LÄN</t>
        </is>
      </c>
      <c r="G561" t="inlineStr">
        <is>
          <t>HEBY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18278-2024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45422</v>
      </c>
      <c r="E562" s="1" t="n">
        <v>46302</v>
      </c>
      <c r="F562" t="inlineStr">
        <is>
          <t>UPPSALA LÄN</t>
        </is>
      </c>
      <c r="G562" t="inlineStr">
        <is>
          <t>HEBY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45099</v>
      </c>
      <c r="E563" s="1" t="n">
        <v>46302</v>
      </c>
      <c r="F563" t="inlineStr">
        <is>
          <t>UPPSALA LÄN</t>
        </is>
      </c>
      <c r="G563" t="inlineStr">
        <is>
          <t>HEBY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53911-2023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45231</v>
      </c>
      <c r="E564" s="1" t="n">
        <v>46302</v>
      </c>
      <c r="F564" t="inlineStr">
        <is>
          <t>UPPSALA LÄN</t>
        </is>
      </c>
      <c r="G564" t="inlineStr">
        <is>
          <t>HEBY</t>
        </is>
      </c>
      <c r="I564" t="n">
        <v>10.3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32181-2024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45511</v>
      </c>
      <c r="E565" s="1" t="n">
        <v>46302</v>
      </c>
      <c r="F565" t="inlineStr">
        <is>
          <t>UPPSALA LÄN</t>
        </is>
      </c>
      <c r="G565" t="inlineStr">
        <is>
          <t>HEBY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21293-2023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45058</v>
      </c>
      <c r="E566" s="1" t="n">
        <v>46302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44993</v>
      </c>
      <c r="E567" s="1" t="n">
        <v>46302</v>
      </c>
      <c r="F567" t="inlineStr">
        <is>
          <t>UPPSALA LÄN</t>
        </is>
      </c>
      <c r="G567" t="inlineStr">
        <is>
          <t>HEBY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46302</v>
      </c>
      <c r="F568" t="inlineStr">
        <is>
          <t>UPPSALA LÄN</t>
        </is>
      </c>
      <c r="G568" t="inlineStr">
        <is>
          <t>HEBY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40533-2022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44823</v>
      </c>
      <c r="E569" s="1" t="n">
        <v>46302</v>
      </c>
      <c r="F569" t="inlineStr">
        <is>
          <t>UPPSALA LÄN</t>
        </is>
      </c>
      <c r="G569" t="inlineStr">
        <is>
          <t>HEBY</t>
        </is>
      </c>
      <c r="H569" t="inlineStr">
        <is>
          <t>Övriga Aktiebolag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29387-2022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44753</v>
      </c>
      <c r="E570" s="1" t="n">
        <v>46302</v>
      </c>
      <c r="F570" t="inlineStr">
        <is>
          <t>UPPSALA LÄN</t>
        </is>
      </c>
      <c r="G570" t="inlineStr">
        <is>
          <t>HEBY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31903-2023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45118</v>
      </c>
      <c r="E571" s="1" t="n">
        <v>46302</v>
      </c>
      <c r="F571" t="inlineStr">
        <is>
          <t>UPPSALA LÄN</t>
        </is>
      </c>
      <c r="G571" t="inlineStr">
        <is>
          <t>HEBY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46408-2024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45582</v>
      </c>
      <c r="E572" s="1" t="n">
        <v>46302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46302</v>
      </c>
      <c r="F573" t="inlineStr">
        <is>
          <t>UPPSALA LÄN</t>
        </is>
      </c>
      <c r="G573" t="inlineStr">
        <is>
          <t>HEBY</t>
        </is>
      </c>
      <c r="I573" t="n">
        <v>11.2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45917-2023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45195</v>
      </c>
      <c r="E574" s="1" t="n">
        <v>46302</v>
      </c>
      <c r="F574" t="inlineStr">
        <is>
          <t>UPPSALA LÄN</t>
        </is>
      </c>
      <c r="G574" t="inlineStr">
        <is>
          <t>HEBY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61453-2022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44916</v>
      </c>
      <c r="E575" s="1" t="n">
        <v>46302</v>
      </c>
      <c r="F575" t="inlineStr">
        <is>
          <t>UPPSALA LÄN</t>
        </is>
      </c>
      <c r="G575" t="inlineStr">
        <is>
          <t>HEBY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29396-2022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44753</v>
      </c>
      <c r="E576" s="1" t="n">
        <v>46302</v>
      </c>
      <c r="F576" t="inlineStr">
        <is>
          <t>UPPSALA LÄN</t>
        </is>
      </c>
      <c r="G576" t="inlineStr">
        <is>
          <t>HEBY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44613</v>
      </c>
      <c r="E577" s="1" t="n">
        <v>46302</v>
      </c>
      <c r="F577" t="inlineStr">
        <is>
          <t>UPPSALA LÄN</t>
        </is>
      </c>
      <c r="G577" t="inlineStr">
        <is>
          <t>HEBY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45075</v>
      </c>
      <c r="E578" s="1" t="n">
        <v>46302</v>
      </c>
      <c r="F578" t="inlineStr">
        <is>
          <t>UPPSALA LÄN</t>
        </is>
      </c>
      <c r="G578" t="inlineStr">
        <is>
          <t>HEBY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52292-2022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44873</v>
      </c>
      <c r="E579" s="1" t="n">
        <v>46302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41546-2023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45175</v>
      </c>
      <c r="E580" s="1" t="n">
        <v>46302</v>
      </c>
      <c r="F580" t="inlineStr">
        <is>
          <t>UPPSALA LÄN</t>
        </is>
      </c>
      <c r="G580" t="inlineStr">
        <is>
          <t>HEBY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8881-2025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45713</v>
      </c>
      <c r="E581" s="1" t="n">
        <v>46302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46302</v>
      </c>
      <c r="F582" t="inlineStr">
        <is>
          <t>UPPSALA LÄN</t>
        </is>
      </c>
      <c r="G582" t="inlineStr">
        <is>
          <t>HEBY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31564-2023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46302</v>
      </c>
      <c r="F583" t="inlineStr">
        <is>
          <t>UPPSALA LÄN</t>
        </is>
      </c>
      <c r="G583" t="inlineStr">
        <is>
          <t>HEBY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45117</v>
      </c>
      <c r="E584" s="1" t="n">
        <v>46302</v>
      </c>
      <c r="F584" t="inlineStr">
        <is>
          <t>UPPSALA LÄN</t>
        </is>
      </c>
      <c r="G584" t="inlineStr">
        <is>
          <t>HEBY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46302</v>
      </c>
      <c r="F585" t="inlineStr">
        <is>
          <t>UPPSALA LÄN</t>
        </is>
      </c>
      <c r="G585" t="inlineStr">
        <is>
          <t>HEBY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58914-2023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45250</v>
      </c>
      <c r="E586" s="1" t="n">
        <v>46302</v>
      </c>
      <c r="F586" t="inlineStr">
        <is>
          <t>UPPSALA LÄN</t>
        </is>
      </c>
      <c r="G586" t="inlineStr">
        <is>
          <t>HEBY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62650-2022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44925</v>
      </c>
      <c r="E587" s="1" t="n">
        <v>46302</v>
      </c>
      <c r="F587" t="inlineStr">
        <is>
          <t>UPPSALA LÄN</t>
        </is>
      </c>
      <c r="G587" t="inlineStr">
        <is>
          <t>HEBY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11573-2025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46302</v>
      </c>
      <c r="F588" t="inlineStr">
        <is>
          <t>UPPSALA LÄN</t>
        </is>
      </c>
      <c r="G588" t="inlineStr">
        <is>
          <t>HEBY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45103</v>
      </c>
      <c r="E589" s="1" t="n">
        <v>46302</v>
      </c>
      <c r="F589" t="inlineStr">
        <is>
          <t>UPPSALA LÄN</t>
        </is>
      </c>
      <c r="G589" t="inlineStr">
        <is>
          <t>HEBY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9815-2022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44620</v>
      </c>
      <c r="E590" s="1" t="n">
        <v>46302</v>
      </c>
      <c r="F590" t="inlineStr">
        <is>
          <t>UPPSALA LÄN</t>
        </is>
      </c>
      <c r="G590" t="inlineStr">
        <is>
          <t>HEBY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15424-2025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45747</v>
      </c>
      <c r="E591" s="1" t="n">
        <v>46302</v>
      </c>
      <c r="F591" t="inlineStr">
        <is>
          <t>UPPSALA LÄN</t>
        </is>
      </c>
      <c r="G591" t="inlineStr">
        <is>
          <t>HEBY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14437-2024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45394</v>
      </c>
      <c r="E592" s="1" t="n">
        <v>46302</v>
      </c>
      <c r="F592" t="inlineStr">
        <is>
          <t>UPPSALA LÄN</t>
        </is>
      </c>
      <c r="G592" t="inlineStr">
        <is>
          <t>HEBY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13213-2022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44644</v>
      </c>
      <c r="E593" s="1" t="n">
        <v>46302</v>
      </c>
      <c r="F593" t="inlineStr">
        <is>
          <t>UPPSALA LÄN</t>
        </is>
      </c>
      <c r="G593" t="inlineStr">
        <is>
          <t>HEBY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8699-2024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45355</v>
      </c>
      <c r="E594" s="1" t="n">
        <v>46302</v>
      </c>
      <c r="F594" t="inlineStr">
        <is>
          <t>UPPSALA LÄN</t>
        </is>
      </c>
      <c r="G594" t="inlineStr">
        <is>
          <t>HEBY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45390</v>
      </c>
      <c r="E595" s="1" t="n">
        <v>46302</v>
      </c>
      <c r="F595" t="inlineStr">
        <is>
          <t>UPPSALA LÄN</t>
        </is>
      </c>
      <c r="G595" t="inlineStr">
        <is>
          <t>HEBY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46302</v>
      </c>
      <c r="F596" t="inlineStr">
        <is>
          <t>UPPSALA LÄN</t>
        </is>
      </c>
      <c r="G596" t="inlineStr">
        <is>
          <t>HEBY</t>
        </is>
      </c>
      <c r="H596" t="inlineStr">
        <is>
          <t>Kyrkan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45786</v>
      </c>
      <c r="E597" s="1" t="n">
        <v>46302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44946</v>
      </c>
      <c r="E598" s="1" t="n">
        <v>46302</v>
      </c>
      <c r="F598" t="inlineStr">
        <is>
          <t>UPPSALA LÄN</t>
        </is>
      </c>
      <c r="G598" t="inlineStr">
        <is>
          <t>HEBY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4740-2024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46302</v>
      </c>
      <c r="F599" t="inlineStr">
        <is>
          <t>UPPSALA LÄN</t>
        </is>
      </c>
      <c r="G599" t="inlineStr">
        <is>
          <t>HEBY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33734-2023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45133</v>
      </c>
      <c r="E600" s="1" t="n">
        <v>46302</v>
      </c>
      <c r="F600" t="inlineStr">
        <is>
          <t>UPPSALA LÄN</t>
        </is>
      </c>
      <c r="G600" t="inlineStr">
        <is>
          <t>HEBY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45209</v>
      </c>
      <c r="E601" s="1" t="n">
        <v>46302</v>
      </c>
      <c r="F601" t="inlineStr">
        <is>
          <t>UPPSALA LÄN</t>
        </is>
      </c>
      <c r="G601" t="inlineStr">
        <is>
          <t>HEBY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32867-2023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45112</v>
      </c>
      <c r="E602" s="1" t="n">
        <v>46302</v>
      </c>
      <c r="F602" t="inlineStr">
        <is>
          <t>UPPSALA LÄN</t>
        </is>
      </c>
      <c r="G602" t="inlineStr">
        <is>
          <t>HEBY</t>
        </is>
      </c>
      <c r="H602" t="inlineStr">
        <is>
          <t>Bergvik skog väst AB</t>
        </is>
      </c>
      <c r="I602" t="n">
        <v>12.3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45797</v>
      </c>
      <c r="E603" s="1" t="n">
        <v>46302</v>
      </c>
      <c r="F603" t="inlineStr">
        <is>
          <t>UPPSALA LÄN</t>
        </is>
      </c>
      <c r="G603" t="inlineStr">
        <is>
          <t>HEBY</t>
        </is>
      </c>
      <c r="H603" t="inlineStr">
        <is>
          <t>Kyrkan</t>
        </is>
      </c>
      <c r="I603" t="n">
        <v>10.6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41556-2023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45175</v>
      </c>
      <c r="E604" s="1" t="n">
        <v>46302</v>
      </c>
      <c r="F604" t="inlineStr">
        <is>
          <t>UPPSALA LÄN</t>
        </is>
      </c>
      <c r="G604" t="inlineStr">
        <is>
          <t>HEBY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45610</v>
      </c>
      <c r="E605" s="1" t="n">
        <v>46302</v>
      </c>
      <c r="F605" t="inlineStr">
        <is>
          <t>UPPSALA LÄN</t>
        </is>
      </c>
      <c r="G605" t="inlineStr">
        <is>
          <t>HEBY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38831-2024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46302</v>
      </c>
      <c r="F606" t="inlineStr">
        <is>
          <t>UPPSALA LÄN</t>
        </is>
      </c>
      <c r="G606" t="inlineStr">
        <is>
          <t>HEBY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46302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46302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3256-2023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45191</v>
      </c>
      <c r="E609" s="1" t="n">
        <v>46302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20.9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517-2022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44588</v>
      </c>
      <c r="E610" s="1" t="n">
        <v>46302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öst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4466-2022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44788</v>
      </c>
      <c r="E611" s="1" t="n">
        <v>46302</v>
      </c>
      <c r="F611" t="inlineStr">
        <is>
          <t>UPPSALA LÄN</t>
        </is>
      </c>
      <c r="G611" t="inlineStr">
        <is>
          <t>HEBY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2310-2022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44684</v>
      </c>
      <c r="E612" s="1" t="n">
        <v>46302</v>
      </c>
      <c r="F612" t="inlineStr">
        <is>
          <t>UPPSALA LÄN</t>
        </is>
      </c>
      <c r="G612" t="inlineStr">
        <is>
          <t>HEBY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4423-2024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45590</v>
      </c>
      <c r="E613" s="1" t="n">
        <v>46302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1385-2024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45411</v>
      </c>
      <c r="E614" s="1" t="n">
        <v>46302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2797-2024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45485</v>
      </c>
      <c r="E615" s="1" t="n">
        <v>46302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398-2025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45699</v>
      </c>
      <c r="E616" s="1" t="n">
        <v>46302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öst AB</t>
        </is>
      </c>
      <c r="I616" t="n">
        <v>23.3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1386-2024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45411</v>
      </c>
      <c r="E617" s="1" t="n">
        <v>46302</v>
      </c>
      <c r="F617" t="inlineStr">
        <is>
          <t>UPPSALA LÄN</t>
        </is>
      </c>
      <c r="G617" t="inlineStr">
        <is>
          <t>HEBY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4464-2022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44788</v>
      </c>
      <c r="E618" s="1" t="n">
        <v>46302</v>
      </c>
      <c r="F618" t="inlineStr">
        <is>
          <t>UPPSALA LÄN</t>
        </is>
      </c>
      <c r="G618" t="inlineStr">
        <is>
          <t>HEBY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1330-2022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44629</v>
      </c>
      <c r="E619" s="1" t="n">
        <v>46302</v>
      </c>
      <c r="F619" t="inlineStr">
        <is>
          <t>UPPSALA LÄN</t>
        </is>
      </c>
      <c r="G619" t="inlineStr">
        <is>
          <t>HEBY</t>
        </is>
      </c>
      <c r="I619" t="n">
        <v>25.1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  <c r="Z619">
        <f>HYPERLINK("https://klasma.github.io/Logging_0331/knärot/S 1330-2022 karta knärot.png", "S 1330-2022")</f>
        <v/>
      </c>
      <c r="AA619">
        <f>HYPERLINK("https://klasma.github.io/Logging_0331/klagomål/S 1330-2022 FSC-klagomål.docx", "S 1330-2022")</f>
        <v/>
      </c>
      <c r="AB619">
        <f>HYPERLINK("https://klasma.github.io/Logging_0331/klagomålsmail/S 1330-2022 FSC-klagomål mail.docx", "S 1330-2022")</f>
        <v/>
      </c>
      <c r="AC619">
        <f>HYPERLINK("https://klasma.github.io/Logging_0331/tillsyn/S 1330-2022 tillsynsbegäran.docx", "S 1330-2022")</f>
        <v/>
      </c>
      <c r="AD619">
        <f>HYPERLINK("https://klasma.github.io/Logging_0331/tillsynsmail/S 1330-2022 tillsynsbegäran mail.docx", "S 1330-2022")</f>
        <v/>
      </c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46302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46302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46302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46302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46302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2026-10-07T02:02:19Z</dcterms:created>
  <dcterms:modified xmlns:dcterms="http://purl.org/dc/terms/" xmlns:xsi="http://www.w3.org/2001/XMLSchema-instance" xsi:type="dcterms:W3CDTF">2026-10-07T02:02:20Z</dcterms:modified>
</cp:coreProperties>
</file>
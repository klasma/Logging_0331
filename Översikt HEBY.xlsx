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46326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46326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46326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46326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46326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46326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46326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46326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46326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46326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46326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46326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46326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46326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46326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46326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46326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46326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46326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46326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46326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46326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46326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46326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46326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46326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46326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46326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46326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A 44916-2026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46323</v>
      </c>
      <c r="E32" s="1" t="n">
        <v>46326</v>
      </c>
      <c r="F32" t="inlineStr">
        <is>
          <t>UPPSALA LÄN</t>
        </is>
      </c>
      <c r="G32" t="inlineStr">
        <is>
          <t>HEBY</t>
        </is>
      </c>
      <c r="H32" t="inlineStr">
        <is>
          <t>Bergvik skog öst AB</t>
        </is>
      </c>
      <c r="I32" t="n">
        <v>2.3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Motaggsvamp
Tallticka
Ullticka
Timmerticka</t>
        </is>
      </c>
      <c r="W32">
        <f>HYPERLINK("https://klasma.github.io/Logging_0331/artfynd/A 44916-2026 artfynd.xlsx", "A 44916-2026")</f>
        <v/>
      </c>
      <c r="X32">
        <f>HYPERLINK("https://klasma.github.io/Logging_0331/kartor/A 44916-2026 karta.png", "A 44916-2026")</f>
        <v/>
      </c>
      <c r="Y32">
        <f>HYPERLINK("https://klasma.github.io/Logging_0331/kartor_geotiff/A 44916-2026 georefererad karta.tif", "A 44916-2026")</f>
        <v/>
      </c>
      <c r="AA32">
        <f>HYPERLINK("https://klasma.github.io/Logging_0331/klagomål/A 44916-2026 FSC-klagomål.docx", "A 44916-2026")</f>
        <v/>
      </c>
      <c r="AB32">
        <f>HYPERLINK("https://klasma.github.io/Logging_0331/klagomålsmail/A 44916-2026 FSC-klagomål mail.docx", "A 44916-2026")</f>
        <v/>
      </c>
      <c r="AC32">
        <f>HYPERLINK("https://klasma.github.io/Logging_0331/tillsyn/A 44916-2026 tillsynsbegäran.docx", "A 44916-2026")</f>
        <v/>
      </c>
      <c r="AD32">
        <f>HYPERLINK("https://klasma.github.io/Logging_0331/tillsynsmail/A 44916-2026 tillsynsbegäran mail.docx", "A 44916-2026")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46326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46326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46326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46326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46326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46326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46326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44900-2026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46323</v>
      </c>
      <c r="E40" s="1" t="n">
        <v>46326</v>
      </c>
      <c r="F40" t="inlineStr">
        <is>
          <t>UPPSALA LÄN</t>
        </is>
      </c>
      <c r="G40" t="inlineStr">
        <is>
          <t>HEBY</t>
        </is>
      </c>
      <c r="H40" t="inlineStr">
        <is>
          <t>Bergvik skog öst AB</t>
        </is>
      </c>
      <c r="I40" t="n">
        <v>0.9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Grönhjon
Motaggsvamp
Tallticka</t>
        </is>
      </c>
      <c r="W40">
        <f>HYPERLINK("https://klasma.github.io/Logging_0331/artfynd/A 44900-2026 artfynd.xlsx", "A 44900-2026")</f>
        <v/>
      </c>
      <c r="X40">
        <f>HYPERLINK("https://klasma.github.io/Logging_0331/kartor/A 44900-2026 karta.png", "A 44900-2026")</f>
        <v/>
      </c>
      <c r="Y40">
        <f>HYPERLINK("https://klasma.github.io/Logging_0331/kartor_geotiff/A 44900-2026 georefererad karta.tif", "A 44900-2026")</f>
        <v/>
      </c>
      <c r="AA40">
        <f>HYPERLINK("https://klasma.github.io/Logging_0331/klagomål/A 44900-2026 FSC-klagomål.docx", "A 44900-2026")</f>
        <v/>
      </c>
      <c r="AB40">
        <f>HYPERLINK("https://klasma.github.io/Logging_0331/klagomålsmail/A 44900-2026 FSC-klagomål mail.docx", "A 44900-2026")</f>
        <v/>
      </c>
      <c r="AC40">
        <f>HYPERLINK("https://klasma.github.io/Logging_0331/tillsyn/A 44900-2026 tillsynsbegäran.docx", "A 44900-2026")</f>
        <v/>
      </c>
      <c r="AD40">
        <f>HYPERLINK("https://klasma.github.io/Logging_0331/tillsynsmail/A 44900-2026 tillsynsbegäran mail.docx", "A 44900-2026")</f>
        <v/>
      </c>
    </row>
    <row r="41" ht="15" customHeight="1">
      <c r="A41" t="inlineStr">
        <is>
          <t>A 44924-2026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46323</v>
      </c>
      <c r="E41" s="1" t="n">
        <v>46326</v>
      </c>
      <c r="F41" t="inlineStr">
        <is>
          <t>UPPSALA LÄN</t>
        </is>
      </c>
      <c r="G41" t="inlineStr">
        <is>
          <t>HEBY</t>
        </is>
      </c>
      <c r="H41" t="inlineStr">
        <is>
          <t>Bergvik skog öst AB</t>
        </is>
      </c>
      <c r="I41" t="n">
        <v>0.9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Grönhjon
Motaggsvamp
Tallticka</t>
        </is>
      </c>
      <c r="W41">
        <f>HYPERLINK("https://klasma.github.io/Logging_0331/artfynd/A 44924-2026 artfynd.xlsx", "A 44924-2026")</f>
        <v/>
      </c>
      <c r="X41">
        <f>HYPERLINK("https://klasma.github.io/Logging_0331/kartor/A 44924-2026 karta.png", "A 44924-2026")</f>
        <v/>
      </c>
      <c r="Y41">
        <f>HYPERLINK("https://klasma.github.io/Logging_0331/kartor_geotiff/A 44924-2026 georefererad karta.tif", "A 44924-2026")</f>
        <v/>
      </c>
      <c r="AA41">
        <f>HYPERLINK("https://klasma.github.io/Logging_0331/klagomål/A 44924-2026 FSC-klagomål.docx", "A 44924-2026")</f>
        <v/>
      </c>
      <c r="AB41">
        <f>HYPERLINK("https://klasma.github.io/Logging_0331/klagomålsmail/A 44924-2026 FSC-klagomål mail.docx", "A 44924-2026")</f>
        <v/>
      </c>
      <c r="AC41">
        <f>HYPERLINK("https://klasma.github.io/Logging_0331/tillsyn/A 44924-2026 tillsynsbegäran.docx", "A 44924-2026")</f>
        <v/>
      </c>
      <c r="AD41">
        <f>HYPERLINK("https://klasma.github.io/Logging_0331/tillsynsmail/A 44924-2026 tillsynsbegäran mail.docx", "A 44924-2026")</f>
        <v/>
      </c>
    </row>
    <row r="42" ht="15" customHeight="1">
      <c r="A42" t="inlineStr">
        <is>
          <t>A 38448-2026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46282</v>
      </c>
      <c r="E42" s="1" t="n">
        <v>46326</v>
      </c>
      <c r="F42" t="inlineStr">
        <is>
          <t>UPPSALA LÄN</t>
        </is>
      </c>
      <c r="G42" t="inlineStr">
        <is>
          <t>HEBY</t>
        </is>
      </c>
      <c r="H42" t="inlineStr">
        <is>
          <t>Sveaskog</t>
        </is>
      </c>
      <c r="I42" t="n">
        <v>10.1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3</v>
      </c>
      <c r="V42" s="2" t="inlineStr">
        <is>
          <t>Ullticka
Grönpyrola
Vedticka</t>
        </is>
      </c>
      <c r="W42">
        <f>HYPERLINK("https://klasma.github.io/Logging_0331/artfynd/A 38448-2026 artfynd.xlsx", "A 38448-2026")</f>
        <v/>
      </c>
      <c r="X42">
        <f>HYPERLINK("https://klasma.github.io/Logging_0331/kartor/A 38448-2026 karta.png", "A 38448-2026")</f>
        <v/>
      </c>
      <c r="Y42">
        <f>HYPERLINK("https://klasma.github.io/Logging_0331/kartor_geotiff/A 38448-2026 georefererad karta.tif", "A 38448-2026")</f>
        <v/>
      </c>
      <c r="AA42">
        <f>HYPERLINK("https://klasma.github.io/Logging_0331/klagomål/A 38448-2026 FSC-klagomål.docx", "A 38448-2026")</f>
        <v/>
      </c>
      <c r="AB42">
        <f>HYPERLINK("https://klasma.github.io/Logging_0331/klagomålsmail/A 38448-2026 FSC-klagomål mail.docx", "A 38448-2026")</f>
        <v/>
      </c>
      <c r="AC42">
        <f>HYPERLINK("https://klasma.github.io/Logging_0331/tillsyn/A 38448-2026 tillsynsbegäran.docx", "A 38448-2026")</f>
        <v/>
      </c>
      <c r="AD42">
        <f>HYPERLINK("https://klasma.github.io/Logging_0331/tillsynsmail/A 38448-2026 tillsynsbegäran mail.docx", "A 38448-2026")</f>
        <v/>
      </c>
    </row>
    <row r="43" ht="15" customHeight="1">
      <c r="A43" t="inlineStr">
        <is>
          <t>S 2798-2024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45485</v>
      </c>
      <c r="E43" s="1" t="n">
        <v>46326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7.1</v>
      </c>
      <c r="J43" t="n">
        <v>0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5</v>
      </c>
      <c r="U43" t="n">
        <v>0</v>
      </c>
      <c r="V43" s="2" t="inlineStr">
        <is>
          <t>Aspsplintbock
Grönhjon
Noshornsoxe</t>
        </is>
      </c>
      <c r="W43">
        <f>HYPERLINK("https://klasma.github.io/Logging_0331/artfynd/S 2798-2024 artfynd.xlsx", "S 2798-2024")</f>
        <v/>
      </c>
      <c r="X43">
        <f>HYPERLINK("https://klasma.github.io/Logging_0331/kartor/S 2798-2024 karta.png", "S 2798-2024")</f>
        <v/>
      </c>
      <c r="Y43">
        <f>HYPERLINK("https://klasma.github.io/Logging_0331/kartor_geotiff/S 2798-2024 georefererad karta.tif", "S 2798-2024")</f>
        <v/>
      </c>
      <c r="AA43">
        <f>HYPERLINK("https://klasma.github.io/Logging_0331/klagomål/S 2798-2024 FSC-klagomål.docx", "S 2798-2024")</f>
        <v/>
      </c>
      <c r="AB43">
        <f>HYPERLINK("https://klasma.github.io/Logging_0331/klagomålsmail/S 2798-2024 FSC-klagomål mail.docx", "S 2798-2024")</f>
        <v/>
      </c>
      <c r="AC43">
        <f>HYPERLINK("https://klasma.github.io/Logging_0331/tillsyn/S 2798-2024 tillsynsbegäran.docx", "S 2798-2024")</f>
        <v/>
      </c>
      <c r="AD43">
        <f>HYPERLINK("https://klasma.github.io/Logging_0331/tillsynsmail/S 2798-2024 tillsynsbegäran mail.docx", "S 2798-2024")</f>
        <v/>
      </c>
    </row>
    <row r="44" ht="15" customHeight="1">
      <c r="A44" t="inlineStr">
        <is>
          <t>S 3073-2025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45964</v>
      </c>
      <c r="E44" s="1" t="n">
        <v>46326</v>
      </c>
      <c r="F44" t="inlineStr">
        <is>
          <t>UPPSALA LÄN</t>
        </is>
      </c>
      <c r="G44" t="inlineStr">
        <is>
          <t>HEBY</t>
        </is>
      </c>
      <c r="I44" t="n">
        <v>0.2</v>
      </c>
      <c r="J44" t="n">
        <v>0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Aspfjädermossa
Skinnlav
Tibast</t>
        </is>
      </c>
      <c r="W44">
        <f>HYPERLINK("https://klasma.github.io/Logging_0331/artfynd/S 3073-2025 artfynd.xlsx", "S 3073-2025")</f>
        <v/>
      </c>
      <c r="X44">
        <f>HYPERLINK("https://klasma.github.io/Logging_0331/kartor/S 3073-2025 karta.png", "S 3073-2025")</f>
        <v/>
      </c>
      <c r="Y44">
        <f>HYPERLINK("https://klasma.github.io/Logging_0331/kartor_geotiff/S 3073-2025 georefererad karta.tif", "S 3073-2025")</f>
        <v/>
      </c>
      <c r="AA44">
        <f>HYPERLINK("https://klasma.github.io/Logging_0331/klagomål/S 3073-2025 FSC-klagomål.docx", "S 3073-2025")</f>
        <v/>
      </c>
      <c r="AB44">
        <f>HYPERLINK("https://klasma.github.io/Logging_0331/klagomålsmail/S 3073-2025 FSC-klagomål mail.docx", "S 3073-2025")</f>
        <v/>
      </c>
      <c r="AC44">
        <f>HYPERLINK("https://klasma.github.io/Logging_0331/tillsyn/S 3073-2025 tillsynsbegäran.docx", "S 3073-2025")</f>
        <v/>
      </c>
      <c r="AD44">
        <f>HYPERLINK("https://klasma.github.io/Logging_0331/tillsynsmail/S 3073-2025 tillsynsbegäran mail.docx", "S 3073-2025")</f>
        <v/>
      </c>
    </row>
    <row r="45" ht="15" customHeight="1">
      <c r="A45" t="inlineStr">
        <is>
          <t>A 2554-2024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45313</v>
      </c>
      <c r="E45" s="1" t="n">
        <v>46326</v>
      </c>
      <c r="F45" t="inlineStr">
        <is>
          <t>UPPSALA LÄN</t>
        </is>
      </c>
      <c r="G45" t="inlineStr">
        <is>
          <t>HEBY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1</v>
      </c>
      <c r="V45" s="2" t="inlineStr">
        <is>
          <t>Knärot
Motaggsvamp</t>
        </is>
      </c>
      <c r="W45">
        <f>HYPERLINK("https://klasma.github.io/Logging_0331/artfynd/A 2554-2024 artfynd.xlsx", "A 2554-2024")</f>
        <v/>
      </c>
      <c r="X45">
        <f>HYPERLINK("https://klasma.github.io/Logging_0331/kartor/A 2554-2024 karta.png", "A 2554-2024")</f>
        <v/>
      </c>
      <c r="Y45">
        <f>HYPERLINK("https://klasma.github.io/Logging_0331/kartor_geotiff/A 2554-2024 georefererad karta.tif", "A 2554-2024")</f>
        <v/>
      </c>
      <c r="Z45">
        <f>HYPERLINK("https://klasma.github.io/Logging_0331/knärot/A 2554-2024 karta knärot.png", "A 2554-2024")</f>
        <v/>
      </c>
      <c r="AA45">
        <f>HYPERLINK("https://klasma.github.io/Logging_0331/klagomål/A 2554-2024 FSC-klagomål.docx", "A 2554-2024")</f>
        <v/>
      </c>
      <c r="AB45">
        <f>HYPERLINK("https://klasma.github.io/Logging_0331/klagomålsmail/A 2554-2024 FSC-klagomål mail.docx", "A 2554-2024")</f>
        <v/>
      </c>
      <c r="AC45">
        <f>HYPERLINK("https://klasma.github.io/Logging_0331/tillsyn/A 2554-2024 tillsynsbegäran.docx", "A 2554-2024")</f>
        <v/>
      </c>
      <c r="AD45">
        <f>HYPERLINK("https://klasma.github.io/Logging_0331/tillsynsmail/A 2554-2024 tillsynsbegäran mail.docx", "A 2554-2024")</f>
        <v/>
      </c>
    </row>
    <row r="46" ht="15" customHeight="1">
      <c r="A46" t="inlineStr">
        <is>
          <t>A 41219-2025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46326</v>
      </c>
      <c r="F46" t="inlineStr">
        <is>
          <t>UPPSALA LÄN</t>
        </is>
      </c>
      <c r="G46" t="inlineStr">
        <is>
          <t>HEBY</t>
        </is>
      </c>
      <c r="H46" t="inlineStr">
        <is>
          <t>Bergvik skog väst AB</t>
        </is>
      </c>
      <c r="I46" t="n">
        <v>22.2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8</v>
      </c>
      <c r="U46" t="n">
        <v>0</v>
      </c>
      <c r="V46" s="2" t="inlineStr">
        <is>
          <t>Lammticka
Motaggsvamp</t>
        </is>
      </c>
      <c r="W46">
        <f>HYPERLINK("https://klasma.github.io/Logging_0331/artfynd/A 41219-2025 artfynd.xlsx", "A 41219-2025")</f>
        <v/>
      </c>
      <c r="X46">
        <f>HYPERLINK("https://klasma.github.io/Logging_0331/kartor/A 41219-2025 karta.png", "A 41219-2025")</f>
        <v/>
      </c>
      <c r="Y46">
        <f>HYPERLINK("https://klasma.github.io/Logging_0331/kartor_geotiff/A 41219-2025 georefererad karta.tif", "A 41219-2025")</f>
        <v/>
      </c>
      <c r="AA46">
        <f>HYPERLINK("https://klasma.github.io/Logging_0331/klagomål/A 41219-2025 FSC-klagomål.docx", "A 41219-2025")</f>
        <v/>
      </c>
      <c r="AB46">
        <f>HYPERLINK("https://klasma.github.io/Logging_0331/klagomålsmail/A 41219-2025 FSC-klagomål mail.docx", "A 41219-2025")</f>
        <v/>
      </c>
      <c r="AC46">
        <f>HYPERLINK("https://klasma.github.io/Logging_0331/tillsyn/A 41219-2025 tillsynsbegäran.docx", "A 41219-2025")</f>
        <v/>
      </c>
      <c r="AD46">
        <f>HYPERLINK("https://klasma.github.io/Logging_0331/tillsynsmail/A 41219-2025 tillsynsbegäran mail.docx", "A 41219-2025")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46326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40662-2023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46326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5.7</v>
      </c>
      <c r="J48" t="n">
        <v>2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Knärot
Fläcknycklar</t>
        </is>
      </c>
      <c r="W48">
        <f>HYPERLINK("https://klasma.github.io/Logging_0331/artfynd/A 40662-2023 artfynd.xlsx", "A 40662-2023")</f>
        <v/>
      </c>
      <c r="X48">
        <f>HYPERLINK("https://klasma.github.io/Logging_0331/kartor/A 40662-2023 karta.png", "A 40662-2023")</f>
        <v/>
      </c>
      <c r="Y48">
        <f>HYPERLINK("https://klasma.github.io/Logging_0331/kartor_geotiff/A 40662-2023 georefererad karta.tif", "A 40662-2023")</f>
        <v/>
      </c>
      <c r="Z48">
        <f>HYPERLINK("https://klasma.github.io/Logging_0331/knärot/A 40662-2023 karta knärot.png", "A 40662-2023")</f>
        <v/>
      </c>
      <c r="AA48">
        <f>HYPERLINK("https://klasma.github.io/Logging_0331/klagomål/A 40662-2023 FSC-klagomål.docx", "A 40662-2023")</f>
        <v/>
      </c>
      <c r="AB48">
        <f>HYPERLINK("https://klasma.github.io/Logging_0331/klagomålsmail/A 40662-2023 FSC-klagomål mail.docx", "A 40662-2023")</f>
        <v/>
      </c>
      <c r="AC48">
        <f>HYPERLINK("https://klasma.github.io/Logging_0331/tillsyn/A 40662-2023 tillsynsbegäran.docx", "A 40662-2023")</f>
        <v/>
      </c>
      <c r="AD48">
        <f>HYPERLINK("https://klasma.github.io/Logging_0331/tillsynsmail/A 40662-2023 tillsynsbegäran mail.docx", "A 40662-2023")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46326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A 59728-2025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45992</v>
      </c>
      <c r="E50" s="1" t="n">
        <v>46326</v>
      </c>
      <c r="F50" t="inlineStr">
        <is>
          <t>UPPSALA LÄN</t>
        </is>
      </c>
      <c r="G50" t="inlineStr">
        <is>
          <t>HEBY</t>
        </is>
      </c>
      <c r="I50" t="n">
        <v>2.8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1</v>
      </c>
      <c r="V50" s="2" t="inlineStr">
        <is>
          <t>Knärot
Motaggsvamp</t>
        </is>
      </c>
      <c r="W50">
        <f>HYPERLINK("https://klasma.github.io/Logging_0331/artfynd/A 59728-2025 artfynd.xlsx", "A 59728-2025")</f>
        <v/>
      </c>
      <c r="X50">
        <f>HYPERLINK("https://klasma.github.io/Logging_0331/kartor/A 59728-2025 karta.png", "A 59728-2025")</f>
        <v/>
      </c>
      <c r="Y50">
        <f>HYPERLINK("https://klasma.github.io/Logging_0331/kartor_geotiff/A 59728-2025 georefererad karta.tif", "A 59728-2025")</f>
        <v/>
      </c>
      <c r="Z50">
        <f>HYPERLINK("https://klasma.github.io/Logging_0331/knärot/A 59728-2025 karta knärot.png", "A 59728-2025")</f>
        <v/>
      </c>
      <c r="AA50">
        <f>HYPERLINK("https://klasma.github.io/Logging_0331/klagomål/A 59728-2025 FSC-klagomål.docx", "A 59728-2025")</f>
        <v/>
      </c>
      <c r="AB50">
        <f>HYPERLINK("https://klasma.github.io/Logging_0331/klagomålsmail/A 59728-2025 FSC-klagomål mail.docx", "A 59728-2025")</f>
        <v/>
      </c>
      <c r="AC50">
        <f>HYPERLINK("https://klasma.github.io/Logging_0331/tillsyn/A 59728-2025 tillsynsbegäran.docx", "A 59728-2025")</f>
        <v/>
      </c>
      <c r="AD50">
        <f>HYPERLINK("https://klasma.github.io/Logging_0331/tillsynsmail/A 59728-2025 tillsynsbegäran mail.docx", "A 59728-2025")</f>
        <v/>
      </c>
    </row>
    <row r="51" ht="15" customHeight="1">
      <c r="A51" t="inlineStr">
        <is>
          <t>A 20509-2026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46326</v>
      </c>
      <c r="F51" t="inlineStr">
        <is>
          <t>UPPSALA LÄN</t>
        </is>
      </c>
      <c r="G51" t="inlineStr">
        <is>
          <t>HEBY</t>
        </is>
      </c>
      <c r="H51" t="inlineStr">
        <is>
          <t>Övriga Aktiebolag</t>
        </is>
      </c>
      <c r="I51" t="n">
        <v>1.8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Motaggsvamp
Plattlummer</t>
        </is>
      </c>
      <c r="W51">
        <f>HYPERLINK("https://klasma.github.io/Logging_0331/artfynd/A 20509-2026 artfynd.xlsx", "A 20509-2026")</f>
        <v/>
      </c>
      <c r="X51">
        <f>HYPERLINK("https://klasma.github.io/Logging_0331/kartor/A 20509-2026 karta.png", "A 20509-2026")</f>
        <v/>
      </c>
      <c r="Y51">
        <f>HYPERLINK("https://klasma.github.io/Logging_0331/kartor_geotiff/A 20509-2026 georefererad karta.tif", "A 20509-2026")</f>
        <v/>
      </c>
      <c r="AA51">
        <f>HYPERLINK("https://klasma.github.io/Logging_0331/klagomål/A 20509-2026 FSC-klagomål.docx", "A 20509-2026")</f>
        <v/>
      </c>
      <c r="AB51">
        <f>HYPERLINK("https://klasma.github.io/Logging_0331/klagomålsmail/A 20509-2026 FSC-klagomål mail.docx", "A 20509-2026")</f>
        <v/>
      </c>
      <c r="AC51">
        <f>HYPERLINK("https://klasma.github.io/Logging_0331/tillsyn/A 20509-2026 tillsynsbegäran.docx", "A 20509-2026")</f>
        <v/>
      </c>
      <c r="AD51">
        <f>HYPERLINK("https://klasma.github.io/Logging_0331/tillsynsmail/A 20509-2026 tillsynsbegäran mail.docx", "A 20509-2026")</f>
        <v/>
      </c>
    </row>
    <row r="52" ht="15" customHeight="1">
      <c r="A52" t="inlineStr">
        <is>
          <t>A 25632-2026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46177</v>
      </c>
      <c r="E52" s="1" t="n">
        <v>46326</v>
      </c>
      <c r="F52" t="inlineStr">
        <is>
          <t>UPPSALA LÄN</t>
        </is>
      </c>
      <c r="G52" t="inlineStr">
        <is>
          <t>HEBY</t>
        </is>
      </c>
      <c r="I52" t="n">
        <v>10.2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Tjäder
Havsörn</t>
        </is>
      </c>
      <c r="W52">
        <f>HYPERLINK("https://klasma.github.io/Logging_0331/artfynd/A 25632-2026 artfynd.xlsx", "A 25632-2026")</f>
        <v/>
      </c>
      <c r="X52">
        <f>HYPERLINK("https://klasma.github.io/Logging_0331/kartor/A 25632-2026 karta.png", "A 25632-2026")</f>
        <v/>
      </c>
      <c r="Y52">
        <f>HYPERLINK("https://klasma.github.io/Logging_0331/kartor_geotiff/A 25632-2026 georefererad karta.tif", "A 25632-2026")</f>
        <v/>
      </c>
      <c r="AA52">
        <f>HYPERLINK("https://klasma.github.io/Logging_0331/klagomål/A 25632-2026 FSC-klagomål.docx", "A 25632-2026")</f>
        <v/>
      </c>
      <c r="AB52">
        <f>HYPERLINK("https://klasma.github.io/Logging_0331/klagomålsmail/A 25632-2026 FSC-klagomål mail.docx", "A 25632-2026")</f>
        <v/>
      </c>
      <c r="AC52">
        <f>HYPERLINK("https://klasma.github.io/Logging_0331/tillsyn/A 25632-2026 tillsynsbegäran.docx", "A 25632-2026")</f>
        <v/>
      </c>
      <c r="AD52">
        <f>HYPERLINK("https://klasma.github.io/Logging_0331/tillsynsmail/A 25632-2026 tillsynsbegäran mail.docx", "A 25632-2026")</f>
        <v/>
      </c>
      <c r="AE52">
        <f>HYPERLINK("https://klasma.github.io/Logging_0331/fåglar/A 25632-2026 prioriterade fågelarter.docx", "A 25632-2026")</f>
        <v/>
      </c>
    </row>
    <row r="53" ht="15" customHeight="1">
      <c r="A53" t="inlineStr">
        <is>
          <t>A 17972-2024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46326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9.699999999999999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2</v>
      </c>
      <c r="V53" s="2" t="inlineStr">
        <is>
          <t>Spädstarr
Repestarr</t>
        </is>
      </c>
      <c r="W53">
        <f>HYPERLINK("https://klasma.github.io/Logging_0331/artfynd/A 17972-2024 artfynd.xlsx", "A 17972-2024")</f>
        <v/>
      </c>
      <c r="X53">
        <f>HYPERLINK("https://klasma.github.io/Logging_0331/kartor/A 17972-2024 karta.png", "A 17972-2024")</f>
        <v/>
      </c>
      <c r="Y53">
        <f>HYPERLINK("https://klasma.github.io/Logging_0331/kartor_geotiff/A 17972-2024 georefererad karta.tif", "A 17972-2024")</f>
        <v/>
      </c>
      <c r="AA53">
        <f>HYPERLINK("https://klasma.github.io/Logging_0331/klagomål/A 17972-2024 FSC-klagomål.docx", "A 17972-2024")</f>
        <v/>
      </c>
      <c r="AB53">
        <f>HYPERLINK("https://klasma.github.io/Logging_0331/klagomålsmail/A 17972-2024 FSC-klagomål mail.docx", "A 17972-2024")</f>
        <v/>
      </c>
      <c r="AC53">
        <f>HYPERLINK("https://klasma.github.io/Logging_0331/tillsyn/A 17972-2024 tillsynsbegäran.docx", "A 17972-2024")</f>
        <v/>
      </c>
      <c r="AD53">
        <f>HYPERLINK("https://klasma.github.io/Logging_0331/tillsynsmail/A 17972-2024 tillsynsbegäran mail.docx", "A 17972-2024")</f>
        <v/>
      </c>
    </row>
    <row r="54" ht="15" customHeight="1">
      <c r="A54" t="inlineStr">
        <is>
          <t>A 43293-2026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46314</v>
      </c>
      <c r="E54" s="1" t="n">
        <v>46326</v>
      </c>
      <c r="F54" t="inlineStr">
        <is>
          <t>UPPSALA LÄN</t>
        </is>
      </c>
      <c r="G54" t="inlineStr">
        <is>
          <t>HEBY</t>
        </is>
      </c>
      <c r="I54" t="n">
        <v>2.5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3</v>
      </c>
      <c r="U54" t="n">
        <v>0</v>
      </c>
      <c r="V54" s="2" t="inlineStr">
        <is>
          <t>Mosippa
Motaggsvamp</t>
        </is>
      </c>
      <c r="W54">
        <f>HYPERLINK("https://klasma.github.io/Logging_0331/artfynd/A 43293-2026 artfynd.xlsx", "A 43293-2026")</f>
        <v/>
      </c>
      <c r="X54">
        <f>HYPERLINK("https://klasma.github.io/Logging_0331/kartor/A 43293-2026 karta.png", "A 43293-2026")</f>
        <v/>
      </c>
      <c r="Y54">
        <f>HYPERLINK("https://klasma.github.io/Logging_0331/kartor_geotiff/A 43293-2026 georefererad karta.tif", "A 43293-2026")</f>
        <v/>
      </c>
      <c r="AA54">
        <f>HYPERLINK("https://klasma.github.io/Logging_0331/klagomål/A 43293-2026 FSC-klagomål.docx", "A 43293-2026")</f>
        <v/>
      </c>
      <c r="AB54">
        <f>HYPERLINK("https://klasma.github.io/Logging_0331/klagomålsmail/A 43293-2026 FSC-klagomål mail.docx", "A 43293-2026")</f>
        <v/>
      </c>
      <c r="AC54">
        <f>HYPERLINK("https://klasma.github.io/Logging_0331/tillsyn/A 43293-2026 tillsynsbegäran.docx", "A 43293-2026")</f>
        <v/>
      </c>
      <c r="AD54">
        <f>HYPERLINK("https://klasma.github.io/Logging_0331/tillsynsmail/A 43293-2026 tillsynsbegäran mail.docx", "A 43293-2026")</f>
        <v/>
      </c>
    </row>
    <row r="55" ht="15" customHeight="1">
      <c r="A55" t="inlineStr">
        <is>
          <t>S 2234-2024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45460</v>
      </c>
      <c r="E55" s="1" t="n">
        <v>46326</v>
      </c>
      <c r="F55" t="inlineStr">
        <is>
          <t>UPPSALA LÄN</t>
        </is>
      </c>
      <c r="G55" t="inlineStr">
        <is>
          <t>HEBY</t>
        </is>
      </c>
      <c r="H55" t="inlineStr">
        <is>
          <t>Bergvik skog väst AB</t>
        </is>
      </c>
      <c r="I55" t="n">
        <v>0.4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Aspvedgnagare
Björksplintborre</t>
        </is>
      </c>
      <c r="W55">
        <f>HYPERLINK("https://klasma.github.io/Logging_0331/artfynd/S 2234-2024 artfynd.xlsx", "S 2234-2024")</f>
        <v/>
      </c>
      <c r="X55">
        <f>HYPERLINK("https://klasma.github.io/Logging_0331/kartor/S 2234-2024 karta.png", "S 2234-2024")</f>
        <v/>
      </c>
      <c r="Y55">
        <f>HYPERLINK("https://klasma.github.io/Logging_0331/kartor_geotiff/S 2234-2024 georefererad karta.tif", "S 2234-2024")</f>
        <v/>
      </c>
      <c r="AA55">
        <f>HYPERLINK("https://klasma.github.io/Logging_0331/klagomål/S 2234-2024 FSC-klagomål.docx", "S 2234-2024")</f>
        <v/>
      </c>
      <c r="AB55">
        <f>HYPERLINK("https://klasma.github.io/Logging_0331/klagomålsmail/S 2234-2024 FSC-klagomål mail.docx", "S 2234-2024")</f>
        <v/>
      </c>
      <c r="AC55">
        <f>HYPERLINK("https://klasma.github.io/Logging_0331/tillsyn/S 2234-2024 tillsynsbegäran.docx", "S 2234-2024")</f>
        <v/>
      </c>
      <c r="AD55">
        <f>HYPERLINK("https://klasma.github.io/Logging_0331/tillsynsmail/S 2234-2024 tillsynsbegäran mail.docx", "S 2234-2024")</f>
        <v/>
      </c>
    </row>
    <row r="56" ht="15" customHeight="1">
      <c r="A56" t="inlineStr">
        <is>
          <t>S 846-2024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45373</v>
      </c>
      <c r="E56" s="1" t="n">
        <v>46326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13.1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Lammticka
Motaggsvamp</t>
        </is>
      </c>
      <c r="W56">
        <f>HYPERLINK("https://klasma.github.io/Logging_0331/artfynd/S 846-2024 artfynd.xlsx", "S 846-2024")</f>
        <v/>
      </c>
      <c r="X56">
        <f>HYPERLINK("https://klasma.github.io/Logging_0331/kartor/S 846-2024 karta.png", "S 846-2024")</f>
        <v/>
      </c>
      <c r="Y56">
        <f>HYPERLINK("https://klasma.github.io/Logging_0331/kartor_geotiff/S 846-2024 georefererad karta.tif", "S 846-2024")</f>
        <v/>
      </c>
      <c r="AA56">
        <f>HYPERLINK("https://klasma.github.io/Logging_0331/klagomål/S 846-2024 FSC-klagomål.docx", "S 846-2024")</f>
        <v/>
      </c>
      <c r="AB56">
        <f>HYPERLINK("https://klasma.github.io/Logging_0331/klagomålsmail/S 846-2024 FSC-klagomål mail.docx", "S 846-2024")</f>
        <v/>
      </c>
      <c r="AC56">
        <f>HYPERLINK("https://klasma.github.io/Logging_0331/tillsyn/S 846-2024 tillsynsbegäran.docx", "S 846-2024")</f>
        <v/>
      </c>
      <c r="AD56">
        <f>HYPERLINK("https://klasma.github.io/Logging_0331/tillsynsmail/S 846-2024 tillsynsbegäran mail.docx", "S 846-2024")</f>
        <v/>
      </c>
    </row>
    <row r="57" ht="15" customHeight="1">
      <c r="A57" t="inlineStr">
        <is>
          <t>A 46094-2022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46326</v>
      </c>
      <c r="F57" t="inlineStr">
        <is>
          <t>UPPSALA LÄN</t>
        </is>
      </c>
      <c r="G57" t="inlineStr">
        <is>
          <t>HEBY</t>
        </is>
      </c>
      <c r="I57" t="n">
        <v>3.3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Ängsnycklar</t>
        </is>
      </c>
      <c r="W57">
        <f>HYPERLINK("https://klasma.github.io/Logging_0331/artfynd/A 46094-2022 artfynd.xlsx", "A 46094-2022")</f>
        <v/>
      </c>
      <c r="X57">
        <f>HYPERLINK("https://klasma.github.io/Logging_0331/kartor/A 46094-2022 karta.png", "A 46094-2022")</f>
        <v/>
      </c>
      <c r="Y57">
        <f>HYPERLINK("https://klasma.github.io/Logging_0331/kartor_geotiff/A 46094-2022 georefererad karta.tif", "A 46094-2022")</f>
        <v/>
      </c>
      <c r="AA57">
        <f>HYPERLINK("https://klasma.github.io/Logging_0331/klagomål/A 46094-2022 FSC-klagomål.docx", "A 46094-2022")</f>
        <v/>
      </c>
      <c r="AB57">
        <f>HYPERLINK("https://klasma.github.io/Logging_0331/klagomålsmail/A 46094-2022 FSC-klagomål mail.docx", "A 46094-2022")</f>
        <v/>
      </c>
      <c r="AC57">
        <f>HYPERLINK("https://klasma.github.io/Logging_0331/tillsyn/A 46094-2022 tillsynsbegäran.docx", "A 46094-2022")</f>
        <v/>
      </c>
      <c r="AD57">
        <f>HYPERLINK("https://klasma.github.io/Logging_0331/tillsynsmail/A 46094-2022 tillsynsbegäran mail.docx", "A 46094-2022")</f>
        <v/>
      </c>
    </row>
    <row r="58" ht="15" customHeight="1">
      <c r="A58" t="inlineStr">
        <is>
          <t>A 63826-2021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46326</v>
      </c>
      <c r="F58" t="inlineStr">
        <is>
          <t>UPPSALA LÄN</t>
        </is>
      </c>
      <c r="G58" t="inlineStr">
        <is>
          <t>HEBY</t>
        </is>
      </c>
      <c r="I58" t="n">
        <v>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1</v>
      </c>
      <c r="V58" s="2" t="inlineStr">
        <is>
          <t>Väddnätfjäril</t>
        </is>
      </c>
      <c r="W58">
        <f>HYPERLINK("https://klasma.github.io/Logging_0331/artfynd/A 63826-2021 artfynd.xlsx", "A 63826-2021")</f>
        <v/>
      </c>
      <c r="X58">
        <f>HYPERLINK("https://klasma.github.io/Logging_0331/kartor/A 63826-2021 karta.png", "A 63826-2021")</f>
        <v/>
      </c>
      <c r="Y58">
        <f>HYPERLINK("https://klasma.github.io/Logging_0331/kartor_geotiff/A 63826-2021 georefererad karta.tif", "A 63826-2021")</f>
        <v/>
      </c>
      <c r="AA58">
        <f>HYPERLINK("https://klasma.github.io/Logging_0331/klagomål/A 63826-2021 FSC-klagomål.docx", "A 63826-2021")</f>
        <v/>
      </c>
      <c r="AB58">
        <f>HYPERLINK("https://klasma.github.io/Logging_0331/klagomålsmail/A 63826-2021 FSC-klagomål mail.docx", "A 63826-2021")</f>
        <v/>
      </c>
      <c r="AC58">
        <f>HYPERLINK("https://klasma.github.io/Logging_0331/tillsyn/A 63826-2021 tillsynsbegäran.docx", "A 63826-2021")</f>
        <v/>
      </c>
      <c r="AD58">
        <f>HYPERLINK("https://klasma.github.io/Logging_0331/tillsynsmail/A 63826-2021 tillsynsbegäran mail.docx", "A 63826-2021")</f>
        <v/>
      </c>
    </row>
    <row r="59" ht="15" customHeight="1">
      <c r="A59" t="inlineStr">
        <is>
          <t>A 41382-2022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46326</v>
      </c>
      <c r="F59" t="inlineStr">
        <is>
          <t>UPPSALA LÄN</t>
        </is>
      </c>
      <c r="G59" t="inlineStr">
        <is>
          <t>HEBY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HYPERLINK("https://klasma.github.io/Logging_0331/artfynd/A 41382-2022 artfynd.xlsx", "A 41382-2022")</f>
        <v/>
      </c>
      <c r="X59">
        <f>HYPERLINK("https://klasma.github.io/Logging_0331/kartor/A 41382-2022 karta.png", "A 41382-2022")</f>
        <v/>
      </c>
      <c r="Y59">
        <f>HYPERLINK("https://klasma.github.io/Logging_0331/kartor_geotiff/A 41382-2022 georefererad karta.tif", "A 41382-2022")</f>
        <v/>
      </c>
      <c r="AA59">
        <f>HYPERLINK("https://klasma.github.io/Logging_0331/klagomål/A 41382-2022 FSC-klagomål.docx", "A 41382-2022")</f>
        <v/>
      </c>
      <c r="AB59">
        <f>HYPERLINK("https://klasma.github.io/Logging_0331/klagomålsmail/A 41382-2022 FSC-klagomål mail.docx", "A 41382-2022")</f>
        <v/>
      </c>
      <c r="AC59">
        <f>HYPERLINK("https://klasma.github.io/Logging_0331/tillsyn/A 41382-2022 tillsynsbegäran.docx", "A 41382-2022")</f>
        <v/>
      </c>
      <c r="AD59">
        <f>HYPERLINK("https://klasma.github.io/Logging_0331/tillsynsmail/A 41382-2022 tillsynsbegäran mail.docx", "A 41382-2022")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46326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19555-2025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45770</v>
      </c>
      <c r="E61" s="1" t="n">
        <v>46326</v>
      </c>
      <c r="F61" t="inlineStr">
        <is>
          <t>UPPSALA LÄN</t>
        </is>
      </c>
      <c r="G61" t="inlineStr">
        <is>
          <t>HEBY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Sparvuggla</t>
        </is>
      </c>
      <c r="W61">
        <f>HYPERLINK("https://klasma.github.io/Logging_0331/artfynd/A 19555-2025 artfynd.xlsx", "A 19555-2025")</f>
        <v/>
      </c>
      <c r="X61">
        <f>HYPERLINK("https://klasma.github.io/Logging_0331/kartor/A 19555-2025 karta.png", "A 19555-2025")</f>
        <v/>
      </c>
      <c r="Y61">
        <f>HYPERLINK("https://klasma.github.io/Logging_0331/kartor_geotiff/A 19555-2025 georefererad karta.tif", "A 19555-2025")</f>
        <v/>
      </c>
      <c r="AA61">
        <f>HYPERLINK("https://klasma.github.io/Logging_0331/klagomål/A 19555-2025 FSC-klagomål.docx", "A 19555-2025")</f>
        <v/>
      </c>
      <c r="AB61">
        <f>HYPERLINK("https://klasma.github.io/Logging_0331/klagomålsmail/A 19555-2025 FSC-klagomål mail.docx", "A 19555-2025")</f>
        <v/>
      </c>
      <c r="AC61">
        <f>HYPERLINK("https://klasma.github.io/Logging_0331/tillsyn/A 19555-2025 tillsynsbegäran.docx", "A 19555-2025")</f>
        <v/>
      </c>
      <c r="AD61">
        <f>HYPERLINK("https://klasma.github.io/Logging_0331/tillsynsmail/A 19555-2025 tillsynsbegäran mail.docx", "A 19555-2025")</f>
        <v/>
      </c>
      <c r="AE61">
        <f>HYPERLINK("https://klasma.github.io/Logging_0331/fåglar/A 19555-2025 prioriterade fågelarter.docx", "A 19555-2025")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46326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38417-2025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46326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8.300000000000001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HYPERLINK("https://klasma.github.io/Logging_0331/artfynd/A 38417-2025 artfynd.xlsx", "A 38417-2025")</f>
        <v/>
      </c>
      <c r="X63">
        <f>HYPERLINK("https://klasma.github.io/Logging_0331/kartor/A 38417-2025 karta.png", "A 38417-2025")</f>
        <v/>
      </c>
      <c r="Y63">
        <f>HYPERLINK("https://klasma.github.io/Logging_0331/kartor_geotiff/A 38417-2025 georefererad karta.tif", "A 38417-2025")</f>
        <v/>
      </c>
      <c r="Z63">
        <f>HYPERLINK("https://klasma.github.io/Logging_0331/knärot/A 38417-2025 karta knärot.png", "A 38417-2025")</f>
        <v/>
      </c>
      <c r="AA63">
        <f>HYPERLINK("https://klasma.github.io/Logging_0331/klagomål/A 38417-2025 FSC-klagomål.docx", "A 38417-2025")</f>
        <v/>
      </c>
      <c r="AB63">
        <f>HYPERLINK("https://klasma.github.io/Logging_0331/klagomålsmail/A 38417-2025 FSC-klagomål mail.docx", "A 38417-2025")</f>
        <v/>
      </c>
      <c r="AC63">
        <f>HYPERLINK("https://klasma.github.io/Logging_0331/tillsyn/A 38417-2025 tillsynsbegäran.docx", "A 38417-2025")</f>
        <v/>
      </c>
      <c r="AD63">
        <f>HYPERLINK("https://klasma.github.io/Logging_0331/tillsynsmail/A 38417-2025 tillsynsbegäran mail.docx", "A 38417-2025")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46326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Kungsspindling</t>
        </is>
      </c>
      <c r="W64">
        <f>HYPERLINK("https://klasma.github.io/Logging_0331/artfynd/A 9455-2026 artfynd.xlsx", "A 9455-2026")</f>
        <v/>
      </c>
      <c r="X64">
        <f>HYPERLINK("https://klasma.github.io/Logging_0331/kartor/A 9455-2026 karta.png", "A 9455-2026")</f>
        <v/>
      </c>
      <c r="Y64">
        <f>HYPERLINK("https://klasma.github.io/Logging_0331/kartor_geotiff/A 9455-2026 georefererad karta.tif", "A 9455-2026")</f>
        <v/>
      </c>
      <c r="AA64">
        <f>HYPERLINK("https://klasma.github.io/Logging_0331/klagomål/A 9455-2026 FSC-klagomål.docx", "A 9455-2026")</f>
        <v/>
      </c>
      <c r="AB64">
        <f>HYPERLINK("https://klasma.github.io/Logging_0331/klagomålsmail/A 9455-2026 FSC-klagomål mail.docx", "A 9455-2026")</f>
        <v/>
      </c>
      <c r="AC64">
        <f>HYPERLINK("https://klasma.github.io/Logging_0331/tillsyn/A 9455-2026 tillsynsbegäran.docx", "A 9455-2026")</f>
        <v/>
      </c>
      <c r="AD64">
        <f>HYPERLINK("https://klasma.github.io/Logging_0331/tillsynsmail/A 9455-2026 tillsynsbegäran mail.docx", "A 9455-2026")</f>
        <v/>
      </c>
    </row>
    <row r="65" ht="15" customHeight="1">
      <c r="A65" t="inlineStr">
        <is>
          <t>A 9358-2026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46326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vattensalamander</t>
        </is>
      </c>
      <c r="W65">
        <f>HYPERLINK("https://klasma.github.io/Logging_0331/artfynd/A 9358-2026 artfynd.xlsx", "A 9358-2026")</f>
        <v/>
      </c>
      <c r="X65">
        <f>HYPERLINK("https://klasma.github.io/Logging_0331/kartor/A 9358-2026 karta.png", "A 9358-2026")</f>
        <v/>
      </c>
      <c r="Y65">
        <f>HYPERLINK("https://klasma.github.io/Logging_0331/kartor_geotiff/A 9358-2026 georefererad karta.tif", "A 9358-2026")</f>
        <v/>
      </c>
      <c r="AA65">
        <f>HYPERLINK("https://klasma.github.io/Logging_0331/klagomål/A 9358-2026 FSC-klagomål.docx", "A 9358-2026")</f>
        <v/>
      </c>
      <c r="AB65">
        <f>HYPERLINK("https://klasma.github.io/Logging_0331/klagomålsmail/A 9358-2026 FSC-klagomål mail.docx", "A 9358-2026")</f>
        <v/>
      </c>
      <c r="AC65">
        <f>HYPERLINK("https://klasma.github.io/Logging_0331/tillsyn/A 9358-2026 tillsynsbegäran.docx", "A 9358-2026")</f>
        <v/>
      </c>
      <c r="AD65">
        <f>HYPERLINK("https://klasma.github.io/Logging_0331/tillsynsmail/A 9358-2026 tillsynsbegäran mail.docx", "A 9358-2026")</f>
        <v/>
      </c>
    </row>
    <row r="66" ht="15" customHeight="1">
      <c r="A66" t="inlineStr">
        <is>
          <t>A 24562-2023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45083</v>
      </c>
      <c r="E66" s="1" t="n">
        <v>46326</v>
      </c>
      <c r="F66" t="inlineStr">
        <is>
          <t>UPPSALA LÄN</t>
        </is>
      </c>
      <c r="G66" t="inlineStr">
        <is>
          <t>HEBY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Grönpyrola</t>
        </is>
      </c>
      <c r="W66">
        <f>HYPERLINK("https://klasma.github.io/Logging_0331/artfynd/A 24562-2023 artfynd.xlsx", "A 24562-2023")</f>
        <v/>
      </c>
      <c r="X66">
        <f>HYPERLINK("https://klasma.github.io/Logging_0331/kartor/A 24562-2023 karta.png", "A 24562-2023")</f>
        <v/>
      </c>
      <c r="Y66">
        <f>HYPERLINK("https://klasma.github.io/Logging_0331/kartor_geotiff/A 24562-2023 georefererad karta.tif", "A 24562-2023")</f>
        <v/>
      </c>
      <c r="AA66">
        <f>HYPERLINK("https://klasma.github.io/Logging_0331/klagomål/A 24562-2023 FSC-klagomål.docx", "A 24562-2023")</f>
        <v/>
      </c>
      <c r="AB66">
        <f>HYPERLINK("https://klasma.github.io/Logging_0331/klagomålsmail/A 24562-2023 FSC-klagomål mail.docx", "A 24562-2023")</f>
        <v/>
      </c>
      <c r="AC66">
        <f>HYPERLINK("https://klasma.github.io/Logging_0331/tillsyn/A 24562-2023 tillsynsbegäran.docx", "A 24562-2023")</f>
        <v/>
      </c>
      <c r="AD66">
        <f>HYPERLINK("https://klasma.github.io/Logging_0331/tillsynsmail/A 24562-2023 tillsynsbegäran mail.docx", "A 24562-2023")</f>
        <v/>
      </c>
    </row>
    <row r="67" ht="15" customHeight="1">
      <c r="A67" t="inlineStr">
        <is>
          <t>A 11560-2026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46084</v>
      </c>
      <c r="E67" s="1" t="n">
        <v>46326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HYPERLINK("https://klasma.github.io/Logging_0331/artfynd/A 11560-2026 artfynd.xlsx", "A 11560-2026")</f>
        <v/>
      </c>
      <c r="X67">
        <f>HYPERLINK("https://klasma.github.io/Logging_0331/kartor/A 11560-2026 karta.png", "A 11560-2026")</f>
        <v/>
      </c>
      <c r="Y67">
        <f>HYPERLINK("https://klasma.github.io/Logging_0331/kartor_geotiff/A 11560-2026 georefererad karta.tif", "A 11560-2026")</f>
        <v/>
      </c>
      <c r="AA67">
        <f>HYPERLINK("https://klasma.github.io/Logging_0331/klagomål/A 11560-2026 FSC-klagomål.docx", "A 11560-2026")</f>
        <v/>
      </c>
      <c r="AB67">
        <f>HYPERLINK("https://klasma.github.io/Logging_0331/klagomålsmail/A 11560-2026 FSC-klagomål mail.docx", "A 11560-2026")</f>
        <v/>
      </c>
      <c r="AC67">
        <f>HYPERLINK("https://klasma.github.io/Logging_0331/tillsyn/A 11560-2026 tillsynsbegäran.docx", "A 11560-2026")</f>
        <v/>
      </c>
      <c r="AD67">
        <f>HYPERLINK("https://klasma.github.io/Logging_0331/tillsynsmail/A 11560-2026 tillsynsbegäran mail.docx", "A 11560-2026")</f>
        <v/>
      </c>
    </row>
    <row r="68" ht="15" customHeight="1">
      <c r="A68" t="inlineStr">
        <is>
          <t>A 11841-2026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46326</v>
      </c>
      <c r="F68" t="inlineStr">
        <is>
          <t>UPPSALA LÄN</t>
        </is>
      </c>
      <c r="G68" t="inlineStr">
        <is>
          <t>HEBY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Stor aspticka</t>
        </is>
      </c>
      <c r="W68">
        <f>HYPERLINK("https://klasma.github.io/Logging_0331/artfynd/A 11841-2026 artfynd.xlsx", "A 11841-2026")</f>
        <v/>
      </c>
      <c r="X68">
        <f>HYPERLINK("https://klasma.github.io/Logging_0331/kartor/A 11841-2026 karta.png", "A 11841-2026")</f>
        <v/>
      </c>
      <c r="Y68">
        <f>HYPERLINK("https://klasma.github.io/Logging_0331/kartor_geotiff/A 11841-2026 georefererad karta.tif", "A 11841-2026")</f>
        <v/>
      </c>
      <c r="AA68">
        <f>HYPERLINK("https://klasma.github.io/Logging_0331/klagomål/A 11841-2026 FSC-klagomål.docx", "A 11841-2026")</f>
        <v/>
      </c>
      <c r="AB68">
        <f>HYPERLINK("https://klasma.github.io/Logging_0331/klagomålsmail/A 11841-2026 FSC-klagomål mail.docx", "A 11841-2026")</f>
        <v/>
      </c>
      <c r="AC68">
        <f>HYPERLINK("https://klasma.github.io/Logging_0331/tillsyn/A 11841-2026 tillsynsbegäran.docx", "A 11841-2026")</f>
        <v/>
      </c>
      <c r="AD68">
        <f>HYPERLINK("https://klasma.github.io/Logging_0331/tillsynsmail/A 11841-2026 tillsynsbegäran mail.docx", "A 11841-2026")</f>
        <v/>
      </c>
    </row>
    <row r="69" ht="15" customHeight="1">
      <c r="A69" t="inlineStr">
        <is>
          <t>A 55663-2024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46326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HYPERLINK("https://klasma.github.io/Logging_0331/artfynd/A 55663-2024 artfynd.xlsx", "A 55663-2024")</f>
        <v/>
      </c>
      <c r="X69">
        <f>HYPERLINK("https://klasma.github.io/Logging_0331/kartor/A 55663-2024 karta.png", "A 55663-2024")</f>
        <v/>
      </c>
      <c r="Y69">
        <f>HYPERLINK("https://klasma.github.io/Logging_0331/kartor_geotiff/A 55663-2024 georefererad karta.tif", "A 55663-2024")</f>
        <v/>
      </c>
      <c r="AA69">
        <f>HYPERLINK("https://klasma.github.io/Logging_0331/klagomål/A 55663-2024 FSC-klagomål.docx", "A 55663-2024")</f>
        <v/>
      </c>
      <c r="AB69">
        <f>HYPERLINK("https://klasma.github.io/Logging_0331/klagomålsmail/A 55663-2024 FSC-klagomål mail.docx", "A 55663-2024")</f>
        <v/>
      </c>
      <c r="AC69">
        <f>HYPERLINK("https://klasma.github.io/Logging_0331/tillsyn/A 55663-2024 tillsynsbegäran.docx", "A 55663-2024")</f>
        <v/>
      </c>
      <c r="AD69">
        <f>HYPERLINK("https://klasma.github.io/Logging_0331/tillsynsmail/A 55663-2024 tillsynsbegäran mail.docx", "A 55663-2024")</f>
        <v/>
      </c>
    </row>
    <row r="70" ht="15" customHeight="1">
      <c r="A70" t="inlineStr">
        <is>
          <t>A 17697-2024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46326</v>
      </c>
      <c r="F70" t="inlineStr">
        <is>
          <t>UPPSALA LÄN</t>
        </is>
      </c>
      <c r="G70" t="inlineStr">
        <is>
          <t>HEBY</t>
        </is>
      </c>
      <c r="I70" t="n">
        <v>0.6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Mindre bastardsvärmare</t>
        </is>
      </c>
      <c r="W70">
        <f>HYPERLINK("https://klasma.github.io/Logging_0331/artfynd/A 17697-2024 artfynd.xlsx", "A 17697-2024")</f>
        <v/>
      </c>
      <c r="X70">
        <f>HYPERLINK("https://klasma.github.io/Logging_0331/kartor/A 17697-2024 karta.png", "A 17697-2024")</f>
        <v/>
      </c>
      <c r="Y70">
        <f>HYPERLINK("https://klasma.github.io/Logging_0331/kartor_geotiff/A 17697-2024 georefererad karta.tif", "A 17697-2024")</f>
        <v/>
      </c>
      <c r="AA70">
        <f>HYPERLINK("https://klasma.github.io/Logging_0331/klagomål/A 17697-2024 FSC-klagomål.docx", "A 17697-2024")</f>
        <v/>
      </c>
      <c r="AB70">
        <f>HYPERLINK("https://klasma.github.io/Logging_0331/klagomålsmail/A 17697-2024 FSC-klagomål mail.docx", "A 17697-2024")</f>
        <v/>
      </c>
      <c r="AC70">
        <f>HYPERLINK("https://klasma.github.io/Logging_0331/tillsyn/A 17697-2024 tillsynsbegäran.docx", "A 17697-2024")</f>
        <v/>
      </c>
      <c r="AD70">
        <f>HYPERLINK("https://klasma.github.io/Logging_0331/tillsynsmail/A 17697-2024 tillsynsbegäran mail.docx", "A 17697-2024")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46326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HYPERLINK("https://klasma.github.io/Logging_0331/artfynd/A 19751-2023 artfynd.xlsx", "A 19751-2023")</f>
        <v/>
      </c>
      <c r="X71">
        <f>HYPERLINK("https://klasma.github.io/Logging_0331/kartor/A 19751-2023 karta.png", "A 19751-2023")</f>
        <v/>
      </c>
      <c r="Y71">
        <f>HYPERLINK("https://klasma.github.io/Logging_0331/kartor_geotiff/A 19751-2023 georefererad karta.tif", "A 19751-2023")</f>
        <v/>
      </c>
      <c r="Z71">
        <f>HYPERLINK("https://klasma.github.io/Logging_0331/knärot/A 19751-2023 karta knärot.png", "A 19751-2023")</f>
        <v/>
      </c>
      <c r="AA71">
        <f>HYPERLINK("https://klasma.github.io/Logging_0331/klagomål/A 19751-2023 FSC-klagomål.docx", "A 19751-2023")</f>
        <v/>
      </c>
      <c r="AB71">
        <f>HYPERLINK("https://klasma.github.io/Logging_0331/klagomålsmail/A 19751-2023 FSC-klagomål mail.docx", "A 19751-2023")</f>
        <v/>
      </c>
      <c r="AC71">
        <f>HYPERLINK("https://klasma.github.io/Logging_0331/tillsyn/A 19751-2023 tillsynsbegäran.docx", "A 19751-2023")</f>
        <v/>
      </c>
      <c r="AD71">
        <f>HYPERLINK("https://klasma.github.io/Logging_0331/tillsynsmail/A 19751-2023 tillsynsbegäran mail.docx", "A 19751-2023")</f>
        <v/>
      </c>
    </row>
    <row r="72" ht="15" customHeight="1">
      <c r="A72" t="inlineStr">
        <is>
          <t>A 54368-2024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46326</v>
      </c>
      <c r="F72" t="inlineStr">
        <is>
          <t>UPPSALA LÄN</t>
        </is>
      </c>
      <c r="G72" t="inlineStr">
        <is>
          <t>HEBY</t>
        </is>
      </c>
      <c r="H72" t="inlineStr">
        <is>
          <t>Allmännings- och besparingsskogar</t>
        </is>
      </c>
      <c r="I72" t="n">
        <v>13.9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Talltita</t>
        </is>
      </c>
      <c r="W72">
        <f>HYPERLINK("https://klasma.github.io/Logging_0331/artfynd/A 54368-2024 artfynd.xlsx", "A 54368-2024")</f>
        <v/>
      </c>
      <c r="X72">
        <f>HYPERLINK("https://klasma.github.io/Logging_0331/kartor/A 54368-2024 karta.png", "A 54368-2024")</f>
        <v/>
      </c>
      <c r="Y72">
        <f>HYPERLINK("https://klasma.github.io/Logging_0331/kartor_geotiff/A 54368-2024 georefererad karta.tif", "A 54368-2024")</f>
        <v/>
      </c>
      <c r="AA72">
        <f>HYPERLINK("https://klasma.github.io/Logging_0331/klagomål/A 54368-2024 FSC-klagomål.docx", "A 54368-2024")</f>
        <v/>
      </c>
      <c r="AB72">
        <f>HYPERLINK("https://klasma.github.io/Logging_0331/klagomålsmail/A 54368-2024 FSC-klagomål mail.docx", "A 54368-2024")</f>
        <v/>
      </c>
      <c r="AC72">
        <f>HYPERLINK("https://klasma.github.io/Logging_0331/tillsyn/A 54368-2024 tillsynsbegäran.docx", "A 54368-2024")</f>
        <v/>
      </c>
      <c r="AD72">
        <f>HYPERLINK("https://klasma.github.io/Logging_0331/tillsynsmail/A 54368-2024 tillsynsbegäran mail.docx", "A 54368-2024")</f>
        <v/>
      </c>
      <c r="AE72">
        <f>HYPERLINK("https://klasma.github.io/Logging_0331/fåglar/A 54368-2024 prioriterade fågelarter.docx", "A 54368-2024")</f>
        <v/>
      </c>
    </row>
    <row r="73" ht="15" customHeight="1">
      <c r="A73" t="inlineStr">
        <is>
          <t>A 3374-2024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45317</v>
      </c>
      <c r="E73" s="1" t="n">
        <v>46326</v>
      </c>
      <c r="F73" t="inlineStr">
        <is>
          <t>UPPSALA LÄN</t>
        </is>
      </c>
      <c r="G73" t="inlineStr">
        <is>
          <t>HEBY</t>
        </is>
      </c>
      <c r="I73" t="n">
        <v>8.4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Berggräsfjäril</t>
        </is>
      </c>
      <c r="W73">
        <f>HYPERLINK("https://klasma.github.io/Logging_0331/artfynd/A 3374-2024 artfynd.xlsx", "A 3374-2024")</f>
        <v/>
      </c>
      <c r="X73">
        <f>HYPERLINK("https://klasma.github.io/Logging_0331/kartor/A 3374-2024 karta.png", "A 3374-2024")</f>
        <v/>
      </c>
      <c r="Y73">
        <f>HYPERLINK("https://klasma.github.io/Logging_0331/kartor_geotiff/A 3374-2024 georefererad karta.tif", "A 3374-2024")</f>
        <v/>
      </c>
      <c r="AA73">
        <f>HYPERLINK("https://klasma.github.io/Logging_0331/klagomål/A 3374-2024 FSC-klagomål.docx", "A 3374-2024")</f>
        <v/>
      </c>
      <c r="AB73">
        <f>HYPERLINK("https://klasma.github.io/Logging_0331/klagomålsmail/A 3374-2024 FSC-klagomål mail.docx", "A 3374-2024")</f>
        <v/>
      </c>
      <c r="AC73">
        <f>HYPERLINK("https://klasma.github.io/Logging_0331/tillsyn/A 3374-2024 tillsynsbegäran.docx", "A 3374-2024")</f>
        <v/>
      </c>
      <c r="AD73">
        <f>HYPERLINK("https://klasma.github.io/Logging_0331/tillsynsmail/A 3374-2024 tillsynsbegäran mail.docx", "A 3374-2024")</f>
        <v/>
      </c>
    </row>
    <row r="74" ht="15" customHeight="1">
      <c r="A74" t="inlineStr">
        <is>
          <t>A 11011-2025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45723</v>
      </c>
      <c r="E74" s="1" t="n">
        <v>46326</v>
      </c>
      <c r="F74" t="inlineStr">
        <is>
          <t>UPPSALA LÄN</t>
        </is>
      </c>
      <c r="G74" t="inlineStr">
        <is>
          <t>HEBY</t>
        </is>
      </c>
      <c r="H74" t="inlineStr">
        <is>
          <t>Kyrkan</t>
        </is>
      </c>
      <c r="I74" t="n">
        <v>2.6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Motaggsvamp</t>
        </is>
      </c>
      <c r="W74">
        <f>HYPERLINK("https://klasma.github.io/Logging_0331/artfynd/A 11011-2025 artfynd.xlsx", "A 11011-2025")</f>
        <v/>
      </c>
      <c r="X74">
        <f>HYPERLINK("https://klasma.github.io/Logging_0331/kartor/A 11011-2025 karta.png", "A 11011-2025")</f>
        <v/>
      </c>
      <c r="Y74">
        <f>HYPERLINK("https://klasma.github.io/Logging_0331/kartor_geotiff/A 11011-2025 georefererad karta.tif", "A 11011-2025")</f>
        <v/>
      </c>
      <c r="AA74">
        <f>HYPERLINK("https://klasma.github.io/Logging_0331/klagomål/A 11011-2025 FSC-klagomål.docx", "A 11011-2025")</f>
        <v/>
      </c>
      <c r="AB74">
        <f>HYPERLINK("https://klasma.github.io/Logging_0331/klagomålsmail/A 11011-2025 FSC-klagomål mail.docx", "A 11011-2025")</f>
        <v/>
      </c>
      <c r="AC74">
        <f>HYPERLINK("https://klasma.github.io/Logging_0331/tillsyn/A 11011-2025 tillsynsbegäran.docx", "A 11011-2025")</f>
        <v/>
      </c>
      <c r="AD74">
        <f>HYPERLINK("https://klasma.github.io/Logging_0331/tillsynsmail/A 11011-2025 tillsynsbegäran mail.docx", "A 11011-2025")</f>
        <v/>
      </c>
    </row>
    <row r="75" ht="15" customHeight="1">
      <c r="A75" t="inlineStr">
        <is>
          <t>A 20530-2026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46326</v>
      </c>
      <c r="F75" t="inlineStr">
        <is>
          <t>UPPSALA LÄN</t>
        </is>
      </c>
      <c r="G75" t="inlineStr">
        <is>
          <t>HEBY</t>
        </is>
      </c>
      <c r="I75" t="n">
        <v>5.3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Björksplintborre</t>
        </is>
      </c>
      <c r="W75">
        <f>HYPERLINK("https://klasma.github.io/Logging_0331/artfynd/A 20530-2026 artfynd.xlsx", "A 20530-2026")</f>
        <v/>
      </c>
      <c r="X75">
        <f>HYPERLINK("https://klasma.github.io/Logging_0331/kartor/A 20530-2026 karta.png", "A 20530-2026")</f>
        <v/>
      </c>
      <c r="Y75">
        <f>HYPERLINK("https://klasma.github.io/Logging_0331/kartor_geotiff/A 20530-2026 georefererad karta.tif", "A 20530-2026")</f>
        <v/>
      </c>
      <c r="AA75">
        <f>HYPERLINK("https://klasma.github.io/Logging_0331/klagomål/A 20530-2026 FSC-klagomål.docx", "A 20530-2026")</f>
        <v/>
      </c>
      <c r="AB75">
        <f>HYPERLINK("https://klasma.github.io/Logging_0331/klagomålsmail/A 20530-2026 FSC-klagomål mail.docx", "A 20530-2026")</f>
        <v/>
      </c>
      <c r="AC75">
        <f>HYPERLINK("https://klasma.github.io/Logging_0331/tillsyn/A 20530-2026 tillsynsbegäran.docx", "A 20530-2026")</f>
        <v/>
      </c>
      <c r="AD75">
        <f>HYPERLINK("https://klasma.github.io/Logging_0331/tillsynsmail/A 20530-2026 tillsynsbegäran mail.docx", "A 20530-2026")</f>
        <v/>
      </c>
    </row>
    <row r="76" ht="15" customHeight="1">
      <c r="A76" t="inlineStr">
        <is>
          <t>A 61598-2021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46326</v>
      </c>
      <c r="F76" t="inlineStr">
        <is>
          <t>UPPSALA LÄN</t>
        </is>
      </c>
      <c r="G76" t="inlineStr">
        <is>
          <t>HEBY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HYPERLINK("https://klasma.github.io/Logging_0331/artfynd/A 61598-2021 artfynd.xlsx", "A 61598-2021")</f>
        <v/>
      </c>
      <c r="X76">
        <f>HYPERLINK("https://klasma.github.io/Logging_0331/kartor/A 61598-2021 karta.png", "A 61598-2021")</f>
        <v/>
      </c>
      <c r="Y76">
        <f>HYPERLINK("https://klasma.github.io/Logging_0331/kartor_geotiff/A 61598-2021 georefererad karta.tif", "A 61598-2021")</f>
        <v/>
      </c>
      <c r="AA76">
        <f>HYPERLINK("https://klasma.github.io/Logging_0331/klagomål/A 61598-2021 FSC-klagomål.docx", "A 61598-2021")</f>
        <v/>
      </c>
      <c r="AB76">
        <f>HYPERLINK("https://klasma.github.io/Logging_0331/klagomålsmail/A 61598-2021 FSC-klagomål mail.docx", "A 61598-2021")</f>
        <v/>
      </c>
      <c r="AC76">
        <f>HYPERLINK("https://klasma.github.io/Logging_0331/tillsyn/A 61598-2021 tillsynsbegäran.docx", "A 61598-2021")</f>
        <v/>
      </c>
      <c r="AD76">
        <f>HYPERLINK("https://klasma.github.io/Logging_0331/tillsynsmail/A 61598-2021 tillsynsbegäran mail.docx", "A 61598-2021")</f>
        <v/>
      </c>
      <c r="AE76">
        <f>HYPERLINK("https://klasma.github.io/Logging_0331/fåglar/A 61598-2021 prioriterade fågelarter.docx", "A 61598-2021")</f>
        <v/>
      </c>
    </row>
    <row r="77" ht="15" customHeight="1">
      <c r="A77" t="inlineStr">
        <is>
          <t>A 27871-2023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45098</v>
      </c>
      <c r="E77" s="1" t="n">
        <v>46326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HYPERLINK("https://klasma.github.io/Logging_0331/artfynd/A 27871-2023 artfynd.xlsx", "A 27871-2023")</f>
        <v/>
      </c>
      <c r="X77">
        <f>HYPERLINK("https://klasma.github.io/Logging_0331/kartor/A 27871-2023 karta.png", "A 27871-2023")</f>
        <v/>
      </c>
      <c r="Y77">
        <f>HYPERLINK("https://klasma.github.io/Logging_0331/kartor_geotiff/A 27871-2023 georefererad karta.tif", "A 27871-2023")</f>
        <v/>
      </c>
      <c r="AA77">
        <f>HYPERLINK("https://klasma.github.io/Logging_0331/klagomål/A 27871-2023 FSC-klagomål.docx", "A 27871-2023")</f>
        <v/>
      </c>
      <c r="AB77">
        <f>HYPERLINK("https://klasma.github.io/Logging_0331/klagomålsmail/A 27871-2023 FSC-klagomål mail.docx", "A 27871-2023")</f>
        <v/>
      </c>
      <c r="AC77">
        <f>HYPERLINK("https://klasma.github.io/Logging_0331/tillsyn/A 27871-2023 tillsynsbegäran.docx", "A 27871-2023")</f>
        <v/>
      </c>
      <c r="AD77">
        <f>HYPERLINK("https://klasma.github.io/Logging_0331/tillsynsmail/A 27871-2023 tillsynsbegäran mail.docx", "A 27871-2023")</f>
        <v/>
      </c>
    </row>
    <row r="78" ht="15" customHeight="1">
      <c r="A78" t="inlineStr">
        <is>
          <t>A 8624-2024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45355</v>
      </c>
      <c r="E78" s="1" t="n">
        <v>46326</v>
      </c>
      <c r="F78" t="inlineStr">
        <is>
          <t>UPPSALA LÄN</t>
        </is>
      </c>
      <c r="G78" t="inlineStr">
        <is>
          <t>HEBY</t>
        </is>
      </c>
      <c r="I78" t="n">
        <v>3.9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11</v>
      </c>
      <c r="U78" t="n">
        <v>0</v>
      </c>
      <c r="V78" s="2" t="inlineStr">
        <is>
          <t>Motaggsvamp</t>
        </is>
      </c>
      <c r="W78">
        <f>HYPERLINK("https://klasma.github.io/Logging_0331/artfynd/A 8624-2024 artfynd.xlsx", "A 8624-2024")</f>
        <v/>
      </c>
      <c r="X78">
        <f>HYPERLINK("https://klasma.github.io/Logging_0331/kartor/A 8624-2024 karta.png", "A 8624-2024")</f>
        <v/>
      </c>
      <c r="Y78">
        <f>HYPERLINK("https://klasma.github.io/Logging_0331/kartor_geotiff/A 8624-2024 georefererad karta.tif", "A 8624-2024")</f>
        <v/>
      </c>
      <c r="AA78">
        <f>HYPERLINK("https://klasma.github.io/Logging_0331/klagomål/A 8624-2024 FSC-klagomål.docx", "A 8624-2024")</f>
        <v/>
      </c>
      <c r="AB78">
        <f>HYPERLINK("https://klasma.github.io/Logging_0331/klagomålsmail/A 8624-2024 FSC-klagomål mail.docx", "A 8624-2024")</f>
        <v/>
      </c>
      <c r="AC78">
        <f>HYPERLINK("https://klasma.github.io/Logging_0331/tillsyn/A 8624-2024 tillsynsbegäran.docx", "A 8624-2024")</f>
        <v/>
      </c>
      <c r="AD78">
        <f>HYPERLINK("https://klasma.github.io/Logging_0331/tillsynsmail/A 8624-2024 tillsynsbegäran mail.docx", "A 8624-2024")</f>
        <v/>
      </c>
    </row>
    <row r="79" ht="15" customHeight="1">
      <c r="A79" t="inlineStr">
        <is>
          <t>A 31569-2023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46326</v>
      </c>
      <c r="F79" t="inlineStr">
        <is>
          <t>UPPSALA LÄN</t>
        </is>
      </c>
      <c r="G79" t="inlineStr">
        <is>
          <t>HEBY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HYPERLINK("https://klasma.github.io/Logging_0331/artfynd/A 31569-2023 artfynd.xlsx", "A 31569-2023")</f>
        <v/>
      </c>
      <c r="X79">
        <f>HYPERLINK("https://klasma.github.io/Logging_0331/kartor/A 31569-2023 karta.png", "A 31569-2023")</f>
        <v/>
      </c>
      <c r="Y79">
        <f>HYPERLINK("https://klasma.github.io/Logging_0331/kartor_geotiff/A 31569-2023 georefererad karta.tif", "A 31569-2023")</f>
        <v/>
      </c>
      <c r="Z79">
        <f>HYPERLINK("https://klasma.github.io/Logging_0331/knärot/A 31569-2023 karta knärot.png", "A 31569-2023")</f>
        <v/>
      </c>
      <c r="AA79">
        <f>HYPERLINK("https://klasma.github.io/Logging_0331/klagomål/A 31569-2023 FSC-klagomål.docx", "A 31569-2023")</f>
        <v/>
      </c>
      <c r="AB79">
        <f>HYPERLINK("https://klasma.github.io/Logging_0331/klagomålsmail/A 31569-2023 FSC-klagomål mail.docx", "A 31569-2023")</f>
        <v/>
      </c>
      <c r="AC79">
        <f>HYPERLINK("https://klasma.github.io/Logging_0331/tillsyn/A 31569-2023 tillsynsbegäran.docx", "A 31569-2023")</f>
        <v/>
      </c>
      <c r="AD79">
        <f>HYPERLINK("https://klasma.github.io/Logging_0331/tillsynsmail/A 31569-2023 tillsynsbegäran mail.docx", "A 31569-2023")</f>
        <v/>
      </c>
    </row>
    <row r="80" ht="15" customHeight="1">
      <c r="A80" t="inlineStr">
        <is>
          <t>A 26596-2024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45469</v>
      </c>
      <c r="E80" s="1" t="n">
        <v>46326</v>
      </c>
      <c r="F80" t="inlineStr">
        <is>
          <t>UPPSALA LÄN</t>
        </is>
      </c>
      <c r="G80" t="inlineStr">
        <is>
          <t>HEBY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Stenichnus poweri</t>
        </is>
      </c>
      <c r="W80">
        <f>HYPERLINK("https://klasma.github.io/Logging_0331/artfynd/A 26596-2024 artfynd.xlsx", "A 26596-2024")</f>
        <v/>
      </c>
      <c r="X80">
        <f>HYPERLINK("https://klasma.github.io/Logging_0331/kartor/A 26596-2024 karta.png", "A 26596-2024")</f>
        <v/>
      </c>
      <c r="Y80">
        <f>HYPERLINK("https://klasma.github.io/Logging_0331/kartor_geotiff/A 26596-2024 georefererad karta.tif", "A 26596-2024")</f>
        <v/>
      </c>
      <c r="AA80">
        <f>HYPERLINK("https://klasma.github.io/Logging_0331/klagomål/A 26596-2024 FSC-klagomål.docx", "A 26596-2024")</f>
        <v/>
      </c>
      <c r="AB80">
        <f>HYPERLINK("https://klasma.github.io/Logging_0331/klagomålsmail/A 26596-2024 FSC-klagomål mail.docx", "A 26596-2024")</f>
        <v/>
      </c>
      <c r="AC80">
        <f>HYPERLINK("https://klasma.github.io/Logging_0331/tillsyn/A 26596-2024 tillsynsbegäran.docx", "A 26596-2024")</f>
        <v/>
      </c>
      <c r="AD80">
        <f>HYPERLINK("https://klasma.github.io/Logging_0331/tillsynsmail/A 26596-2024 tillsynsbegäran mail.docx", "A 26596-2024")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46326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46326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A 55763-2025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45972</v>
      </c>
      <c r="E83" s="1" t="n">
        <v>46326</v>
      </c>
      <c r="F83" t="inlineStr">
        <is>
          <t>UPPSALA LÄN</t>
        </is>
      </c>
      <c r="G83" t="inlineStr">
        <is>
          <t>HEBY</t>
        </is>
      </c>
      <c r="I83" t="n">
        <v>4.5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Kandelabersvamp</t>
        </is>
      </c>
      <c r="W83">
        <f>HYPERLINK("https://klasma.github.io/Logging_0331/artfynd/A 55763-2025 artfynd.xlsx", "A 55763-2025")</f>
        <v/>
      </c>
      <c r="X83">
        <f>HYPERLINK("https://klasma.github.io/Logging_0331/kartor/A 55763-2025 karta.png", "A 55763-2025")</f>
        <v/>
      </c>
      <c r="Y83">
        <f>HYPERLINK("https://klasma.github.io/Logging_0331/kartor_geotiff/A 55763-2025 georefererad karta.tif", "A 55763-2025")</f>
        <v/>
      </c>
      <c r="AA83">
        <f>HYPERLINK("https://klasma.github.io/Logging_0331/klagomål/A 55763-2025 FSC-klagomål.docx", "A 55763-2025")</f>
        <v/>
      </c>
      <c r="AB83">
        <f>HYPERLINK("https://klasma.github.io/Logging_0331/klagomålsmail/A 55763-2025 FSC-klagomål mail.docx", "A 55763-2025")</f>
        <v/>
      </c>
      <c r="AC83">
        <f>HYPERLINK("https://klasma.github.io/Logging_0331/tillsyn/A 55763-2025 tillsynsbegäran.docx", "A 55763-2025")</f>
        <v/>
      </c>
      <c r="AD83">
        <f>HYPERLINK("https://klasma.github.io/Logging_0331/tillsynsmail/A 55763-2025 tillsynsbegäran mail.docx", "A 55763-2025")</f>
        <v/>
      </c>
    </row>
    <row r="84" ht="15" customHeight="1">
      <c r="A84" t="inlineStr">
        <is>
          <t>A 31885-2026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46231</v>
      </c>
      <c r="E84" s="1" t="n">
        <v>46326</v>
      </c>
      <c r="F84" t="inlineStr">
        <is>
          <t>UPPSALA LÄN</t>
        </is>
      </c>
      <c r="G84" t="inlineStr">
        <is>
          <t>HEBY</t>
        </is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 spretmossa</t>
        </is>
      </c>
      <c r="W84">
        <f>HYPERLINK("https://klasma.github.io/Logging_0331/artfynd/A 31885-2026 artfynd.xlsx", "A 31885-2026")</f>
        <v/>
      </c>
      <c r="X84">
        <f>HYPERLINK("https://klasma.github.io/Logging_0331/kartor/A 31885-2026 karta.png", "A 31885-2026")</f>
        <v/>
      </c>
      <c r="Y84">
        <f>HYPERLINK("https://klasma.github.io/Logging_0331/kartor_geotiff/A 31885-2026 georefererad karta.tif", "A 31885-2026")</f>
        <v/>
      </c>
      <c r="AA84">
        <f>HYPERLINK("https://klasma.github.io/Logging_0331/klagomål/A 31885-2026 FSC-klagomål.docx", "A 31885-2026")</f>
        <v/>
      </c>
      <c r="AB84">
        <f>HYPERLINK("https://klasma.github.io/Logging_0331/klagomålsmail/A 31885-2026 FSC-klagomål mail.docx", "A 31885-2026")</f>
        <v/>
      </c>
      <c r="AC84">
        <f>HYPERLINK("https://klasma.github.io/Logging_0331/tillsyn/A 31885-2026 tillsynsbegäran.docx", "A 31885-2026")</f>
        <v/>
      </c>
      <c r="AD84">
        <f>HYPERLINK("https://klasma.github.io/Logging_0331/tillsynsmail/A 31885-2026 tillsynsbegäran mail.docx", "A 31885-2026")</f>
        <v/>
      </c>
    </row>
    <row r="85" ht="15" customHeight="1">
      <c r="A85" t="inlineStr">
        <is>
          <t>A 63940-2023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46326</v>
      </c>
      <c r="F85" t="inlineStr">
        <is>
          <t>UPPSALA LÄN</t>
        </is>
      </c>
      <c r="G85" t="inlineStr">
        <is>
          <t>HEBY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Gullpudra</t>
        </is>
      </c>
      <c r="W85">
        <f>HYPERLINK("https://klasma.github.io/Logging_0331/artfynd/A 63940-2023 artfynd.xlsx", "A 63940-2023")</f>
        <v/>
      </c>
      <c r="X85">
        <f>HYPERLINK("https://klasma.github.io/Logging_0331/kartor/A 63940-2023 karta.png", "A 63940-2023")</f>
        <v/>
      </c>
      <c r="Y85">
        <f>HYPERLINK("https://klasma.github.io/Logging_0331/kartor_geotiff/A 63940-2023 georefererad karta.tif", "A 63940-2023")</f>
        <v/>
      </c>
      <c r="AA85">
        <f>HYPERLINK("https://klasma.github.io/Logging_0331/klagomål/A 63940-2023 FSC-klagomål.docx", "A 63940-2023")</f>
        <v/>
      </c>
      <c r="AB85">
        <f>HYPERLINK("https://klasma.github.io/Logging_0331/klagomålsmail/A 63940-2023 FSC-klagomål mail.docx", "A 63940-2023")</f>
        <v/>
      </c>
      <c r="AC85">
        <f>HYPERLINK("https://klasma.github.io/Logging_0331/tillsyn/A 63940-2023 tillsynsbegäran.docx", "A 63940-2023")</f>
        <v/>
      </c>
      <c r="AD85">
        <f>HYPERLINK("https://klasma.github.io/Logging_0331/tillsynsmail/A 63940-2023 tillsynsbegäran mail.docx", "A 63940-2023")</f>
        <v/>
      </c>
    </row>
    <row r="86" ht="15" customHeight="1">
      <c r="A86" t="inlineStr">
        <is>
          <t>A 40506-2026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46295</v>
      </c>
      <c r="E86" s="1" t="n">
        <v>46326</v>
      </c>
      <c r="F86" t="inlineStr">
        <is>
          <t>UPPSALA LÄN</t>
        </is>
      </c>
      <c r="G86" t="inlineStr">
        <is>
          <t>HEBY</t>
        </is>
      </c>
      <c r="H86" t="inlineStr">
        <is>
          <t>Allmännings- och besparingsskogar</t>
        </is>
      </c>
      <c r="I86" t="n">
        <v>7.1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HYPERLINK("https://klasma.github.io/Logging_0331/artfynd/A 40506-2026 artfynd.xlsx", "A 40506-2026")</f>
        <v/>
      </c>
      <c r="X86">
        <f>HYPERLINK("https://klasma.github.io/Logging_0331/kartor/A 40506-2026 karta.png", "A 40506-2026")</f>
        <v/>
      </c>
      <c r="Y86">
        <f>HYPERLINK("https://klasma.github.io/Logging_0331/kartor_geotiff/A 40506-2026 georefererad karta.tif", "A 40506-2026")</f>
        <v/>
      </c>
      <c r="AA86">
        <f>HYPERLINK("https://klasma.github.io/Logging_0331/klagomål/A 40506-2026 FSC-klagomål.docx", "A 40506-2026")</f>
        <v/>
      </c>
      <c r="AB86">
        <f>HYPERLINK("https://klasma.github.io/Logging_0331/klagomålsmail/A 40506-2026 FSC-klagomål mail.docx", "A 40506-2026")</f>
        <v/>
      </c>
      <c r="AC86">
        <f>HYPERLINK("https://klasma.github.io/Logging_0331/tillsyn/A 40506-2026 tillsynsbegäran.docx", "A 40506-2026")</f>
        <v/>
      </c>
      <c r="AD86">
        <f>HYPERLINK("https://klasma.github.io/Logging_0331/tillsynsmail/A 40506-2026 tillsynsbegäran mail.docx", "A 40506-2026")</f>
        <v/>
      </c>
      <c r="AE86">
        <f>HYPERLINK("https://klasma.github.io/Logging_0331/fåglar/A 40506-2026 prioriterade fågelarter.docx", "A 40506-2026")</f>
        <v/>
      </c>
    </row>
    <row r="87" ht="15" customHeight="1">
      <c r="A87" t="inlineStr">
        <is>
          <t>A 42736-2026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46309</v>
      </c>
      <c r="E87" s="1" t="n">
        <v>46326</v>
      </c>
      <c r="F87" t="inlineStr">
        <is>
          <t>UPPSALA LÄN</t>
        </is>
      </c>
      <c r="G87" t="inlineStr">
        <is>
          <t>HEBY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HYPERLINK("https://klasma.github.io/Logging_0331/artfynd/A 42736-2026 artfynd.xlsx", "A 42736-2026")</f>
        <v/>
      </c>
      <c r="X87">
        <f>HYPERLINK("https://klasma.github.io/Logging_0331/kartor/A 42736-2026 karta.png", "A 42736-2026")</f>
        <v/>
      </c>
      <c r="Y87">
        <f>HYPERLINK("https://klasma.github.io/Logging_0331/kartor_geotiff/A 42736-2026 georefererad karta.tif", "A 42736-2026")</f>
        <v/>
      </c>
      <c r="AA87">
        <f>HYPERLINK("https://klasma.github.io/Logging_0331/klagomål/A 42736-2026 FSC-klagomål.docx", "A 42736-2026")</f>
        <v/>
      </c>
      <c r="AB87">
        <f>HYPERLINK("https://klasma.github.io/Logging_0331/klagomålsmail/A 42736-2026 FSC-klagomål mail.docx", "A 42736-2026")</f>
        <v/>
      </c>
      <c r="AC87">
        <f>HYPERLINK("https://klasma.github.io/Logging_0331/tillsyn/A 42736-2026 tillsynsbegäran.docx", "A 42736-2026")</f>
        <v/>
      </c>
      <c r="AD87">
        <f>HYPERLINK("https://klasma.github.io/Logging_0331/tillsynsmail/A 42736-2026 tillsynsbegäran mail.docx", "A 42736-2026")</f>
        <v/>
      </c>
    </row>
    <row r="88" ht="15" customHeight="1">
      <c r="A88" t="inlineStr">
        <is>
          <t>A 9618-2026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46072</v>
      </c>
      <c r="E88" s="1" t="n">
        <v>46326</v>
      </c>
      <c r="F88" t="inlineStr">
        <is>
          <t>UPPSALA LÄN</t>
        </is>
      </c>
      <c r="G88" t="inlineStr">
        <is>
          <t>HEBY</t>
        </is>
      </c>
      <c r="I88" t="n">
        <v>2.3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Vedtrappmossa</t>
        </is>
      </c>
      <c r="W88">
        <f>HYPERLINK("https://klasma.github.io/Logging_0331/artfynd/A 9618-2026 artfynd.xlsx", "A 9618-2026")</f>
        <v/>
      </c>
      <c r="X88">
        <f>HYPERLINK("https://klasma.github.io/Logging_0331/kartor/A 9618-2026 karta.png", "A 9618-2026")</f>
        <v/>
      </c>
      <c r="Y88">
        <f>HYPERLINK("https://klasma.github.io/Logging_0331/kartor_geotiff/A 9618-2026 georefererad karta.tif", "A 9618-2026")</f>
        <v/>
      </c>
      <c r="AA88">
        <f>HYPERLINK("https://klasma.github.io/Logging_0331/klagomål/A 9618-2026 FSC-klagomål.docx", "A 9618-2026")</f>
        <v/>
      </c>
      <c r="AB88">
        <f>HYPERLINK("https://klasma.github.io/Logging_0331/klagomålsmail/A 9618-2026 FSC-klagomål mail.docx", "A 9618-2026")</f>
        <v/>
      </c>
      <c r="AC88">
        <f>HYPERLINK("https://klasma.github.io/Logging_0331/tillsyn/A 9618-2026 tillsynsbegäran.docx", "A 9618-2026")</f>
        <v/>
      </c>
      <c r="AD88">
        <f>HYPERLINK("https://klasma.github.io/Logging_0331/tillsynsmail/A 9618-2026 tillsynsbegäran mail.docx", "A 9618-2026")</f>
        <v/>
      </c>
    </row>
    <row r="89" ht="15" customHeight="1">
      <c r="A89" t="inlineStr">
        <is>
          <t>A 44800-2026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46322</v>
      </c>
      <c r="E89" s="1" t="n">
        <v>46326</v>
      </c>
      <c r="F89" t="inlineStr">
        <is>
          <t>UPPSALA LÄN</t>
        </is>
      </c>
      <c r="G89" t="inlineStr">
        <is>
          <t>HEBY</t>
        </is>
      </c>
      <c r="H89" t="inlineStr">
        <is>
          <t>Bergvik skog väst AB</t>
        </is>
      </c>
      <c r="I89" t="n">
        <v>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Klasefibbla</t>
        </is>
      </c>
      <c r="W89">
        <f>HYPERLINK("https://klasma.github.io/Logging_0331/artfynd/A 44800-2026 artfynd.xlsx", "A 44800-2026")</f>
        <v/>
      </c>
      <c r="X89">
        <f>HYPERLINK("https://klasma.github.io/Logging_0331/kartor/A 44800-2026 karta.png", "A 44800-2026")</f>
        <v/>
      </c>
      <c r="Y89">
        <f>HYPERLINK("https://klasma.github.io/Logging_0331/kartor_geotiff/A 44800-2026 georefererad karta.tif", "A 44800-2026")</f>
        <v/>
      </c>
      <c r="AA89">
        <f>HYPERLINK("https://klasma.github.io/Logging_0331/klagomål/A 44800-2026 FSC-klagomål.docx", "A 44800-2026")</f>
        <v/>
      </c>
      <c r="AB89">
        <f>HYPERLINK("https://klasma.github.io/Logging_0331/klagomålsmail/A 44800-2026 FSC-klagomål mail.docx", "A 44800-2026")</f>
        <v/>
      </c>
      <c r="AC89">
        <f>HYPERLINK("https://klasma.github.io/Logging_0331/tillsyn/A 44800-2026 tillsynsbegäran.docx", "A 44800-2026")</f>
        <v/>
      </c>
      <c r="AD89">
        <f>HYPERLINK("https://klasma.github.io/Logging_0331/tillsynsmail/A 44800-2026 tillsynsbegäran mail.docx", "A 44800-2026")</f>
        <v/>
      </c>
    </row>
    <row r="90" ht="15" customHeight="1">
      <c r="A90" t="inlineStr">
        <is>
          <t>A 45126-2026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46324</v>
      </c>
      <c r="E90" s="1" t="n">
        <v>46326</v>
      </c>
      <c r="F90" t="inlineStr">
        <is>
          <t>UPPSALA LÄN</t>
        </is>
      </c>
      <c r="G90" t="inlineStr">
        <is>
          <t>HEBY</t>
        </is>
      </c>
      <c r="H90" t="inlineStr">
        <is>
          <t>Bergvik skog öst AB</t>
        </is>
      </c>
      <c r="I90" t="n">
        <v>2.1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HYPERLINK("https://klasma.github.io/Logging_0331/artfynd/A 45126-2026 artfynd.xlsx", "A 45126-2026")</f>
        <v/>
      </c>
      <c r="X90">
        <f>HYPERLINK("https://klasma.github.io/Logging_0331/kartor/A 45126-2026 karta.png", "A 45126-2026")</f>
        <v/>
      </c>
      <c r="Y90">
        <f>HYPERLINK("https://klasma.github.io/Logging_0331/kartor_geotiff/A 45126-2026 georefererad karta.tif", "A 45126-2026")</f>
        <v/>
      </c>
      <c r="Z90">
        <f>HYPERLINK("https://klasma.github.io/Logging_0331/knärot/A 45126-2026 karta knärot.png", "A 45126-2026")</f>
        <v/>
      </c>
      <c r="AA90">
        <f>HYPERLINK("https://klasma.github.io/Logging_0331/klagomål/A 45126-2026 FSC-klagomål.docx", "A 45126-2026")</f>
        <v/>
      </c>
      <c r="AB90">
        <f>HYPERLINK("https://klasma.github.io/Logging_0331/klagomålsmail/A 45126-2026 FSC-klagomål mail.docx", "A 45126-2026")</f>
        <v/>
      </c>
      <c r="AC90">
        <f>HYPERLINK("https://klasma.github.io/Logging_0331/tillsyn/A 45126-2026 tillsynsbegäran.docx", "A 45126-2026")</f>
        <v/>
      </c>
      <c r="AD90">
        <f>HYPERLINK("https://klasma.github.io/Logging_0331/tillsynsmail/A 45126-2026 tillsynsbegäran mail.docx", "A 45126-2026")</f>
        <v/>
      </c>
    </row>
    <row r="91" ht="15" customHeight="1">
      <c r="A91" t="inlineStr">
        <is>
          <t>A 45129-2026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46324</v>
      </c>
      <c r="E91" s="1" t="n">
        <v>46326</v>
      </c>
      <c r="F91" t="inlineStr">
        <is>
          <t>UPPSALA LÄN</t>
        </is>
      </c>
      <c r="G91" t="inlineStr">
        <is>
          <t>HEBY</t>
        </is>
      </c>
      <c r="H91" t="inlineStr">
        <is>
          <t>Bergvik skog öst AB</t>
        </is>
      </c>
      <c r="I91" t="n">
        <v>2.1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HYPERLINK("https://klasma.github.io/Logging_0331/artfynd/A 45129-2026 artfynd.xlsx", "A 45129-2026")</f>
        <v/>
      </c>
      <c r="X91">
        <f>HYPERLINK("https://klasma.github.io/Logging_0331/kartor/A 45129-2026 karta.png", "A 45129-2026")</f>
        <v/>
      </c>
      <c r="Y91">
        <f>HYPERLINK("https://klasma.github.io/Logging_0331/kartor_geotiff/A 45129-2026 georefererad karta.tif", "A 45129-2026")</f>
        <v/>
      </c>
      <c r="Z91">
        <f>HYPERLINK("https://klasma.github.io/Logging_0331/knärot/A 45129-2026 karta knärot.png", "A 45129-2026")</f>
        <v/>
      </c>
      <c r="AA91">
        <f>HYPERLINK("https://klasma.github.io/Logging_0331/klagomål/A 45129-2026 FSC-klagomål.docx", "A 45129-2026")</f>
        <v/>
      </c>
      <c r="AB91">
        <f>HYPERLINK("https://klasma.github.io/Logging_0331/klagomålsmail/A 45129-2026 FSC-klagomål mail.docx", "A 45129-2026")</f>
        <v/>
      </c>
      <c r="AC91">
        <f>HYPERLINK("https://klasma.github.io/Logging_0331/tillsyn/A 45129-2026 tillsynsbegäran.docx", "A 45129-2026")</f>
        <v/>
      </c>
      <c r="AD91">
        <f>HYPERLINK("https://klasma.github.io/Logging_0331/tillsynsmail/A 45129-2026 tillsynsbegäran mail.docx", "A 45129-2026")</f>
        <v/>
      </c>
    </row>
    <row r="92" ht="15" customHeight="1">
      <c r="A92" t="inlineStr">
        <is>
          <t>S 3624-2024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45548</v>
      </c>
      <c r="E92" s="1" t="n">
        <v>46326</v>
      </c>
      <c r="F92" t="inlineStr">
        <is>
          <t>UPPSALA LÄN</t>
        </is>
      </c>
      <c r="G92" t="inlineStr">
        <is>
          <t>HEBY</t>
        </is>
      </c>
      <c r="I92" t="n">
        <v>1.5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Gränsticka</t>
        </is>
      </c>
      <c r="W92">
        <f>HYPERLINK("https://klasma.github.io/Logging_0331/artfynd/S 3624-2024 artfynd.xlsx", "S 3624-2024")</f>
        <v/>
      </c>
      <c r="X92">
        <f>HYPERLINK("https://klasma.github.io/Logging_0331/kartor/S 3624-2024 karta.png", "S 3624-2024")</f>
        <v/>
      </c>
      <c r="Y92">
        <f>HYPERLINK("https://klasma.github.io/Logging_0331/kartor_geotiff/S 3624-2024 georefererad karta.tif", "S 3624-2024")</f>
        <v/>
      </c>
      <c r="AA92">
        <f>HYPERLINK("https://klasma.github.io/Logging_0331/klagomål/S 3624-2024 FSC-klagomål.docx", "S 3624-2024")</f>
        <v/>
      </c>
      <c r="AB92">
        <f>HYPERLINK("https://klasma.github.io/Logging_0331/klagomålsmail/S 3624-2024 FSC-klagomål mail.docx", "S 3624-2024")</f>
        <v/>
      </c>
      <c r="AC92">
        <f>HYPERLINK("https://klasma.github.io/Logging_0331/tillsyn/S 3624-2024 tillsynsbegäran.docx", "S 3624-2024")</f>
        <v/>
      </c>
      <c r="AD92">
        <f>HYPERLINK("https://klasma.github.io/Logging_0331/tillsynsmail/S 3624-2024 tillsynsbegäran mail.docx", "S 3624-2024")</f>
        <v/>
      </c>
    </row>
    <row r="93" ht="15" customHeight="1">
      <c r="A93" t="inlineStr">
        <is>
          <t>S 1335-2022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44629</v>
      </c>
      <c r="E93" s="1" t="n">
        <v>46326</v>
      </c>
      <c r="F93" t="inlineStr">
        <is>
          <t>UPPSALA LÄN</t>
        </is>
      </c>
      <c r="G93" t="inlineStr">
        <is>
          <t>HEBY</t>
        </is>
      </c>
      <c r="I93" t="n">
        <v>21.8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Vedticka</t>
        </is>
      </c>
      <c r="W93">
        <f>HYPERLINK("https://klasma.github.io/Logging_0331/artfynd/S 1335-2022 artfynd.xlsx", "S 1335-2022")</f>
        <v/>
      </c>
      <c r="X93">
        <f>HYPERLINK("https://klasma.github.io/Logging_0331/kartor/S 1335-2022 karta.png", "S 1335-2022")</f>
        <v/>
      </c>
      <c r="Y93">
        <f>HYPERLINK("https://klasma.github.io/Logging_0331/kartor_geotiff/S 1335-2022 georefererad karta.tif", "S 1335-2022")</f>
        <v/>
      </c>
      <c r="AA93">
        <f>HYPERLINK("https://klasma.github.io/Logging_0331/klagomål/S 1335-2022 FSC-klagomål.docx", "S 1335-2022")</f>
        <v/>
      </c>
      <c r="AB93">
        <f>HYPERLINK("https://klasma.github.io/Logging_0331/klagomålsmail/S 1335-2022 FSC-klagomål mail.docx", "S 1335-2022")</f>
        <v/>
      </c>
      <c r="AC93">
        <f>HYPERLINK("https://klasma.github.io/Logging_0331/tillsyn/S 1335-2022 tillsynsbegäran.docx", "S 1335-2022")</f>
        <v/>
      </c>
      <c r="AD93">
        <f>HYPERLINK("https://klasma.github.io/Logging_0331/tillsynsmail/S 1335-2022 tillsynsbegäran mail.docx", "S 1335-2022")</f>
        <v/>
      </c>
    </row>
    <row r="94" ht="15" customHeight="1">
      <c r="A94" t="inlineStr">
        <is>
          <t>S 883-2026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46326</v>
      </c>
      <c r="F94" t="inlineStr">
        <is>
          <t>UPPSALA LÄN</t>
        </is>
      </c>
      <c r="G94" t="inlineStr">
        <is>
          <t>HEBY</t>
        </is>
      </c>
      <c r="H94" t="inlineStr">
        <is>
          <t>Bergvik skog väst AB</t>
        </is>
      </c>
      <c r="I94" t="n">
        <v>0.7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HYPERLINK("https://klasma.github.io/Logging_0331/artfynd/S 883-2026 artfynd.xlsx", "S 883-2026")</f>
        <v/>
      </c>
      <c r="X94">
        <f>HYPERLINK("https://klasma.github.io/Logging_0331/kartor/S 883-2026 karta.png", "S 883-2026")</f>
        <v/>
      </c>
      <c r="Y94">
        <f>HYPERLINK("https://klasma.github.io/Logging_0331/kartor_geotiff/S 883-2026 georefererad karta.tif", "S 883-2026")</f>
        <v/>
      </c>
      <c r="AA94">
        <f>HYPERLINK("https://klasma.github.io/Logging_0331/klagomål/S 883-2026 FSC-klagomål.docx", "S 883-2026")</f>
        <v/>
      </c>
      <c r="AB94">
        <f>HYPERLINK("https://klasma.github.io/Logging_0331/klagomålsmail/S 883-2026 FSC-klagomål mail.docx", "S 883-2026")</f>
        <v/>
      </c>
      <c r="AC94">
        <f>HYPERLINK("https://klasma.github.io/Logging_0331/tillsyn/S 883-2026 tillsynsbegäran.docx", "S 883-2026")</f>
        <v/>
      </c>
      <c r="AD94">
        <f>HYPERLINK("https://klasma.github.io/Logging_0331/tillsynsmail/S 883-2026 tillsynsbegäran mail.docx", "S 883-2026")</f>
        <v/>
      </c>
      <c r="AE94">
        <f>HYPERLINK("https://klasma.github.io/Logging_0331/fåglar/S 883-2026 prioriterade fågelarter.docx", "S 883-2026")</f>
        <v/>
      </c>
    </row>
    <row r="95" ht="15" customHeight="1">
      <c r="A95" t="inlineStr">
        <is>
          <t>A 29841-2022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44756</v>
      </c>
      <c r="E95" s="1" t="n">
        <v>46326</v>
      </c>
      <c r="F95" t="inlineStr">
        <is>
          <t>UPPSALA LÄN</t>
        </is>
      </c>
      <c r="G95" t="inlineStr">
        <is>
          <t>HEBY</t>
        </is>
      </c>
      <c r="H95" t="inlineStr">
        <is>
          <t>Bergvik skog öst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55191-2022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44886</v>
      </c>
      <c r="E96" s="1" t="n">
        <v>46326</v>
      </c>
      <c r="F96" t="inlineStr">
        <is>
          <t>UPPSALA LÄN</t>
        </is>
      </c>
      <c r="G96" t="inlineStr">
        <is>
          <t>HEBY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44620</v>
      </c>
      <c r="E97" s="1" t="n">
        <v>46326</v>
      </c>
      <c r="F97" t="inlineStr">
        <is>
          <t>UPPSALA LÄN</t>
        </is>
      </c>
      <c r="G97" t="inlineStr">
        <is>
          <t>HEBY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46326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46326</v>
      </c>
      <c r="F99" t="inlineStr">
        <is>
          <t>UPPSALA LÄN</t>
        </is>
      </c>
      <c r="G99" t="inlineStr">
        <is>
          <t>HEBY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65623-2021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46326</v>
      </c>
      <c r="F100" t="inlineStr">
        <is>
          <t>UPPSALA LÄN</t>
        </is>
      </c>
      <c r="G100" t="inlineStr">
        <is>
          <t>HEBY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46326</v>
      </c>
      <c r="F101" t="inlineStr">
        <is>
          <t>UPPSALA LÄN</t>
        </is>
      </c>
      <c r="G101" t="inlineStr">
        <is>
          <t>HEBY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46326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46326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46326</v>
      </c>
      <c r="F104" t="inlineStr">
        <is>
          <t>UPPSALA LÄN</t>
        </is>
      </c>
      <c r="G104" t="inlineStr">
        <is>
          <t>HEBY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46326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44509</v>
      </c>
      <c r="E106" s="1" t="n">
        <v>46326</v>
      </c>
      <c r="F106" t="inlineStr">
        <is>
          <t>UPPSALA LÄN</t>
        </is>
      </c>
      <c r="G106" t="inlineStr">
        <is>
          <t>HEBY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46326</v>
      </c>
      <c r="F107" t="inlineStr">
        <is>
          <t>UPPSALA LÄN</t>
        </is>
      </c>
      <c r="G107" t="inlineStr">
        <is>
          <t>HEBY</t>
        </is>
      </c>
      <c r="H107" t="inlineStr">
        <is>
          <t>Övriga Aktiebolag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46326</v>
      </c>
      <c r="F108" t="inlineStr">
        <is>
          <t>UPPSALA LÄN</t>
        </is>
      </c>
      <c r="G108" t="inlineStr">
        <is>
          <t>HEBY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46326</v>
      </c>
      <c r="F109" t="inlineStr">
        <is>
          <t>UPPSALA LÄN</t>
        </is>
      </c>
      <c r="G109" t="inlineStr">
        <is>
          <t>HEBY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46326</v>
      </c>
      <c r="F110" t="inlineStr">
        <is>
          <t>UPPSALA LÄN</t>
        </is>
      </c>
      <c r="G110" t="inlineStr">
        <is>
          <t>HEBY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63393-2021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44508</v>
      </c>
      <c r="E111" s="1" t="n">
        <v>46326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46326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46326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46326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46326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46326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46326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46326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46326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46326</v>
      </c>
      <c r="F120" t="inlineStr">
        <is>
          <t>UPPSALA LÄN</t>
        </is>
      </c>
      <c r="G120" t="inlineStr">
        <is>
          <t>HEBY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46326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46326</v>
      </c>
      <c r="F122" t="inlineStr">
        <is>
          <t>UPPSALA LÄN</t>
        </is>
      </c>
      <c r="G122" t="inlineStr">
        <is>
          <t>HEBY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46326</v>
      </c>
      <c r="F123" t="inlineStr">
        <is>
          <t>UPPSALA LÄN</t>
        </is>
      </c>
      <c r="G123" t="inlineStr">
        <is>
          <t>HEBY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46326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46326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46326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46326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46326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46326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73385-2021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46326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44685</v>
      </c>
      <c r="E131" s="1" t="n">
        <v>46326</v>
      </c>
      <c r="F131" t="inlineStr">
        <is>
          <t>UPPSALA LÄN</t>
        </is>
      </c>
      <c r="G131" t="inlineStr">
        <is>
          <t>HEBY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31049-2022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44769</v>
      </c>
      <c r="E132" s="1" t="n">
        <v>46326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44650</v>
      </c>
      <c r="E133" s="1" t="n">
        <v>46326</v>
      </c>
      <c r="F133" t="inlineStr">
        <is>
          <t>UPPSALA LÄN</t>
        </is>
      </c>
      <c r="G133" t="inlineStr">
        <is>
          <t>HEBY</t>
        </is>
      </c>
      <c r="H133" t="inlineStr">
        <is>
          <t>Bergvik skog öst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46326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46326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44700</v>
      </c>
      <c r="E136" s="1" t="n">
        <v>46326</v>
      </c>
      <c r="F136" t="inlineStr">
        <is>
          <t>UPPSALA LÄN</t>
        </is>
      </c>
      <c r="G136" t="inlineStr">
        <is>
          <t>HEBY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69597-2021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44532</v>
      </c>
      <c r="E137" s="1" t="n">
        <v>46326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46326</v>
      </c>
      <c r="F138" t="inlineStr">
        <is>
          <t>UPPSALA LÄN</t>
        </is>
      </c>
      <c r="G138" t="inlineStr">
        <is>
          <t>HEBY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44573</v>
      </c>
      <c r="E139" s="1" t="n">
        <v>46326</v>
      </c>
      <c r="F139" t="inlineStr">
        <is>
          <t>UPPSALA LÄN</t>
        </is>
      </c>
      <c r="G139" t="inlineStr">
        <is>
          <t>HEBY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46326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44841</v>
      </c>
      <c r="E141" s="1" t="n">
        <v>46326</v>
      </c>
      <c r="F141" t="inlineStr">
        <is>
          <t>UPPSALA LÄN</t>
        </is>
      </c>
      <c r="G141" t="inlineStr">
        <is>
          <t>HEBY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46326</v>
      </c>
      <c r="F142" t="inlineStr">
        <is>
          <t>UPPSALA LÄN</t>
        </is>
      </c>
      <c r="G142" t="inlineStr">
        <is>
          <t>HEBY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46326</v>
      </c>
      <c r="F143" t="inlineStr">
        <is>
          <t>UPPSALA LÄN</t>
        </is>
      </c>
      <c r="G143" t="inlineStr">
        <is>
          <t>HEBY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8182-2022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44609</v>
      </c>
      <c r="E144" s="1" t="n">
        <v>46326</v>
      </c>
      <c r="F144" t="inlineStr">
        <is>
          <t>UPPSALA LÄN</t>
        </is>
      </c>
      <c r="G144" t="inlineStr">
        <is>
          <t>HEBY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73622-2021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44552</v>
      </c>
      <c r="E145" s="1" t="n">
        <v>46326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35875-2022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44802</v>
      </c>
      <c r="E146" s="1" t="n">
        <v>46326</v>
      </c>
      <c r="F146" t="inlineStr">
        <is>
          <t>UPPSALA LÄN</t>
        </is>
      </c>
      <c r="G146" t="inlineStr">
        <is>
          <t>HEBY</t>
        </is>
      </c>
      <c r="I146" t="n">
        <v>12.1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46326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44732</v>
      </c>
      <c r="E148" s="1" t="n">
        <v>46326</v>
      </c>
      <c r="F148" t="inlineStr">
        <is>
          <t>UPPSALA LÄN</t>
        </is>
      </c>
      <c r="G148" t="inlineStr">
        <is>
          <t>HEBY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46326</v>
      </c>
      <c r="F149" t="inlineStr">
        <is>
          <t>UPPSALA LÄN</t>
        </is>
      </c>
      <c r="G149" t="inlineStr">
        <is>
          <t>HEBY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44849</v>
      </c>
      <c r="E150" s="1" t="n">
        <v>46326</v>
      </c>
      <c r="F150" t="inlineStr">
        <is>
          <t>UPPSALA LÄN</t>
        </is>
      </c>
      <c r="G150" t="inlineStr">
        <is>
          <t>HEBY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45599</v>
      </c>
      <c r="E151" s="1" t="n">
        <v>46326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46326</v>
      </c>
      <c r="F152" t="inlineStr">
        <is>
          <t>UPPSALA LÄN</t>
        </is>
      </c>
      <c r="G152" t="inlineStr">
        <is>
          <t>HEBY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46326</v>
      </c>
      <c r="F153" t="inlineStr">
        <is>
          <t>UPPSALA LÄN</t>
        </is>
      </c>
      <c r="G153" t="inlineStr">
        <is>
          <t>HEBY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46326</v>
      </c>
      <c r="F154" t="inlineStr">
        <is>
          <t>UPPSALA LÄN</t>
        </is>
      </c>
      <c r="G154" t="inlineStr">
        <is>
          <t>HEBY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46326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46326</v>
      </c>
      <c r="F156" t="inlineStr">
        <is>
          <t>UPPSALA LÄN</t>
        </is>
      </c>
      <c r="G156" t="inlineStr">
        <is>
          <t>HEBY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46326</v>
      </c>
      <c r="F157" t="inlineStr">
        <is>
          <t>UPPSALA LÄN</t>
        </is>
      </c>
      <c r="G157" t="inlineStr">
        <is>
          <t>HEBY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45035</v>
      </c>
      <c r="E158" s="1" t="n">
        <v>46326</v>
      </c>
      <c r="F158" t="inlineStr">
        <is>
          <t>UPPSALA LÄN</t>
        </is>
      </c>
      <c r="G158" t="inlineStr">
        <is>
          <t>HEBY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46326</v>
      </c>
      <c r="F159" t="inlineStr">
        <is>
          <t>UPPSALA LÄN</t>
        </is>
      </c>
      <c r="G159" t="inlineStr">
        <is>
          <t>HEBY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46326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46326</v>
      </c>
      <c r="F161" t="inlineStr">
        <is>
          <t>UPPSALA LÄN</t>
        </is>
      </c>
      <c r="G161" t="inlineStr">
        <is>
          <t>HEBY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46326</v>
      </c>
      <c r="F162" t="inlineStr">
        <is>
          <t>UPPSALA LÄN</t>
        </is>
      </c>
      <c r="G162" t="inlineStr">
        <is>
          <t>HEBY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46326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46326</v>
      </c>
      <c r="F164" t="inlineStr">
        <is>
          <t>UPPSALA LÄN</t>
        </is>
      </c>
      <c r="G164" t="inlineStr">
        <is>
          <t>HEBY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72180-2021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46326</v>
      </c>
      <c r="F165" t="inlineStr">
        <is>
          <t>UPPSALA LÄN</t>
        </is>
      </c>
      <c r="G165" t="inlineStr">
        <is>
          <t>HEBY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44810</v>
      </c>
      <c r="E166" s="1" t="n">
        <v>46326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25995-2022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44734</v>
      </c>
      <c r="E167" s="1" t="n">
        <v>46326</v>
      </c>
      <c r="F167" t="inlineStr">
        <is>
          <t>UPPSALA LÄN</t>
        </is>
      </c>
      <c r="G167" t="inlineStr">
        <is>
          <t>HEBY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46326</v>
      </c>
      <c r="F168" t="inlineStr">
        <is>
          <t>UPPSALA LÄN</t>
        </is>
      </c>
      <c r="G168" t="inlineStr">
        <is>
          <t>HEBY</t>
        </is>
      </c>
      <c r="I168" t="n">
        <v>18.8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45331</v>
      </c>
      <c r="E169" s="1" t="n">
        <v>46326</v>
      </c>
      <c r="F169" t="inlineStr">
        <is>
          <t>UPPSALA LÄN</t>
        </is>
      </c>
      <c r="G169" t="inlineStr">
        <is>
          <t>HEBY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46326</v>
      </c>
      <c r="F170" t="inlineStr">
        <is>
          <t>UPPSALA LÄN</t>
        </is>
      </c>
      <c r="G170" t="inlineStr">
        <is>
          <t>HEBY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46326</v>
      </c>
      <c r="F171" t="inlineStr">
        <is>
          <t>UPPSALA LÄN</t>
        </is>
      </c>
      <c r="G171" t="inlineStr">
        <is>
          <t>HEBY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46326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41.8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66873-2021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46326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46326</v>
      </c>
      <c r="F174" t="inlineStr">
        <is>
          <t>UPPSALA LÄN</t>
        </is>
      </c>
      <c r="G174" t="inlineStr">
        <is>
          <t>HEBY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46326</v>
      </c>
      <c r="F175" t="inlineStr">
        <is>
          <t>UPPSALA LÄN</t>
        </is>
      </c>
      <c r="G175" t="inlineStr">
        <is>
          <t>HEBY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46326</v>
      </c>
      <c r="F176" t="inlineStr">
        <is>
          <t>UPPSALA LÄN</t>
        </is>
      </c>
      <c r="G176" t="inlineStr">
        <is>
          <t>HEBY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50859-2022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44862</v>
      </c>
      <c r="E177" s="1" t="n">
        <v>46326</v>
      </c>
      <c r="F177" t="inlineStr">
        <is>
          <t>UPPSALA LÄN</t>
        </is>
      </c>
      <c r="G177" t="inlineStr">
        <is>
          <t>HEBY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46326</v>
      </c>
      <c r="F178" t="inlineStr">
        <is>
          <t>UPPSALA LÄN</t>
        </is>
      </c>
      <c r="G178" t="inlineStr">
        <is>
          <t>HEBY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46326</v>
      </c>
      <c r="F179" t="inlineStr">
        <is>
          <t>UPPSALA LÄN</t>
        </is>
      </c>
      <c r="G179" t="inlineStr">
        <is>
          <t>HEBY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46326</v>
      </c>
      <c r="F180" t="inlineStr">
        <is>
          <t>UPPSALA LÄN</t>
        </is>
      </c>
      <c r="G180" t="inlineStr">
        <is>
          <t>HEBY</t>
        </is>
      </c>
      <c r="I180" t="n">
        <v>15.8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46326</v>
      </c>
      <c r="F181" t="inlineStr">
        <is>
          <t>UPPSALA LÄN</t>
        </is>
      </c>
      <c r="G181" t="inlineStr">
        <is>
          <t>HEBY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46326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60722-2022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44913</v>
      </c>
      <c r="E183" s="1" t="n">
        <v>46326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46326</v>
      </c>
      <c r="F184" t="inlineStr">
        <is>
          <t>UPPSALA LÄN</t>
        </is>
      </c>
      <c r="G184" t="inlineStr">
        <is>
          <t>HEBY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45293</v>
      </c>
      <c r="E185" s="1" t="n">
        <v>46326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46326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45884</v>
      </c>
      <c r="E187" s="1" t="n">
        <v>46326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46326</v>
      </c>
      <c r="F188" t="inlineStr">
        <is>
          <t>UPPSALA LÄN</t>
        </is>
      </c>
      <c r="G188" t="inlineStr">
        <is>
          <t>HEBY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46326</v>
      </c>
      <c r="F189" t="inlineStr">
        <is>
          <t>UPPSALA LÄN</t>
        </is>
      </c>
      <c r="G189" t="inlineStr">
        <is>
          <t>HEBY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45519</v>
      </c>
      <c r="E190" s="1" t="n">
        <v>46326</v>
      </c>
      <c r="F190" t="inlineStr">
        <is>
          <t>UPPSALA LÄN</t>
        </is>
      </c>
      <c r="G190" t="inlineStr">
        <is>
          <t>HEBY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45519</v>
      </c>
      <c r="E191" s="1" t="n">
        <v>46326</v>
      </c>
      <c r="F191" t="inlineStr">
        <is>
          <t>UPPSALA LÄN</t>
        </is>
      </c>
      <c r="G191" t="inlineStr">
        <is>
          <t>HEBY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46326</v>
      </c>
      <c r="F192" t="inlineStr">
        <is>
          <t>UPPSALA LÄN</t>
        </is>
      </c>
      <c r="G192" t="inlineStr">
        <is>
          <t>HEBY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46326</v>
      </c>
      <c r="F193" t="inlineStr">
        <is>
          <t>UPPSALA LÄN</t>
        </is>
      </c>
      <c r="G193" t="inlineStr">
        <is>
          <t>HEBY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46326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46326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46326</v>
      </c>
      <c r="F196" t="inlineStr">
        <is>
          <t>UPPSALA LÄN</t>
        </is>
      </c>
      <c r="G196" t="inlineStr">
        <is>
          <t>HEBY</t>
        </is>
      </c>
      <c r="H196" t="inlineStr">
        <is>
          <t>Kyrkan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44574</v>
      </c>
      <c r="E197" s="1" t="n">
        <v>46326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46326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46326</v>
      </c>
      <c r="F199" t="inlineStr">
        <is>
          <t>UPPSALA LÄN</t>
        </is>
      </c>
      <c r="G199" t="inlineStr">
        <is>
          <t>HEBY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46326</v>
      </c>
      <c r="F200" t="inlineStr">
        <is>
          <t>UPPSALA LÄN</t>
        </is>
      </c>
      <c r="G200" t="inlineStr">
        <is>
          <t>HEBY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46326</v>
      </c>
      <c r="F201" t="inlineStr">
        <is>
          <t>UPPSALA LÄN</t>
        </is>
      </c>
      <c r="G201" t="inlineStr">
        <is>
          <t>HEBY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46326</v>
      </c>
      <c r="F202" t="inlineStr">
        <is>
          <t>UPPSALA LÄN</t>
        </is>
      </c>
      <c r="G202" t="inlineStr">
        <is>
          <t>HEBY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46326</v>
      </c>
      <c r="F203" t="inlineStr">
        <is>
          <t>UPPSALA LÄN</t>
        </is>
      </c>
      <c r="G203" t="inlineStr">
        <is>
          <t>HEBY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46326</v>
      </c>
      <c r="F204" t="inlineStr">
        <is>
          <t>UPPSALA LÄN</t>
        </is>
      </c>
      <c r="G204" t="inlineStr">
        <is>
          <t>HEBY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46326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46326</v>
      </c>
      <c r="F206" t="inlineStr">
        <is>
          <t>UPPSALA LÄN</t>
        </is>
      </c>
      <c r="G206" t="inlineStr">
        <is>
          <t>HEBY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61807-2022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46326</v>
      </c>
      <c r="F207" t="inlineStr">
        <is>
          <t>UPPSALA LÄN</t>
        </is>
      </c>
      <c r="G207" t="inlineStr">
        <is>
          <t>HEBY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46326</v>
      </c>
      <c r="F208" t="inlineStr">
        <is>
          <t>UPPSALA LÄN</t>
        </is>
      </c>
      <c r="G208" t="inlineStr">
        <is>
          <t>HEBY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46326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46326</v>
      </c>
      <c r="F210" t="inlineStr">
        <is>
          <t>UPPSALA LÄN</t>
        </is>
      </c>
      <c r="G210" t="inlineStr">
        <is>
          <t>HEBY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46326</v>
      </c>
      <c r="F211" t="inlineStr">
        <is>
          <t>UPPSALA LÄN</t>
        </is>
      </c>
      <c r="G211" t="inlineStr">
        <is>
          <t>HEBY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46326</v>
      </c>
      <c r="F212" t="inlineStr">
        <is>
          <t>UPPSALA LÄN</t>
        </is>
      </c>
      <c r="G212" t="inlineStr">
        <is>
          <t>HEBY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46326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46326</v>
      </c>
      <c r="F214" t="inlineStr">
        <is>
          <t>UPPSALA LÄN</t>
        </is>
      </c>
      <c r="G214" t="inlineStr">
        <is>
          <t>HEBY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46326</v>
      </c>
      <c r="F215" t="inlineStr">
        <is>
          <t>UPPSALA LÄN</t>
        </is>
      </c>
      <c r="G215" t="inlineStr">
        <is>
          <t>HEBY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45502</v>
      </c>
      <c r="E216" s="1" t="n">
        <v>46326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45294</v>
      </c>
      <c r="E217" s="1" t="n">
        <v>46326</v>
      </c>
      <c r="F217" t="inlineStr">
        <is>
          <t>UPPSALA LÄN</t>
        </is>
      </c>
      <c r="G217" t="inlineStr">
        <is>
          <t>HEBY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45006</v>
      </c>
      <c r="E218" s="1" t="n">
        <v>46326</v>
      </c>
      <c r="F218" t="inlineStr">
        <is>
          <t>UPPSALA LÄN</t>
        </is>
      </c>
      <c r="G218" t="inlineStr">
        <is>
          <t>HEBY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45106</v>
      </c>
      <c r="E219" s="1" t="n">
        <v>46326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45092</v>
      </c>
      <c r="E220" s="1" t="n">
        <v>46326</v>
      </c>
      <c r="F220" t="inlineStr">
        <is>
          <t>UPPSALA LÄN</t>
        </is>
      </c>
      <c r="G220" t="inlineStr">
        <is>
          <t>HEBY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46326</v>
      </c>
      <c r="F221" t="inlineStr">
        <is>
          <t>UPPSALA LÄN</t>
        </is>
      </c>
      <c r="G221" t="inlineStr">
        <is>
          <t>HEBY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44609</v>
      </c>
      <c r="E222" s="1" t="n">
        <v>46326</v>
      </c>
      <c r="F222" t="inlineStr">
        <is>
          <t>UPPSALA LÄN</t>
        </is>
      </c>
      <c r="G222" t="inlineStr">
        <is>
          <t>HEBY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46326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46326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46326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46326</v>
      </c>
      <c r="F226" t="inlineStr">
        <is>
          <t>UPPSALA LÄN</t>
        </is>
      </c>
      <c r="G226" t="inlineStr">
        <is>
          <t>HEBY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46326</v>
      </c>
      <c r="F227" t="inlineStr">
        <is>
          <t>UPPSALA LÄN</t>
        </is>
      </c>
      <c r="G227" t="inlineStr">
        <is>
          <t>HEBY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46326</v>
      </c>
      <c r="F228" t="inlineStr">
        <is>
          <t>UPPSALA LÄN</t>
        </is>
      </c>
      <c r="G228" t="inlineStr">
        <is>
          <t>HEBY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46326</v>
      </c>
      <c r="F229" t="inlineStr">
        <is>
          <t>UPPSALA LÄN</t>
        </is>
      </c>
      <c r="G229" t="inlineStr">
        <is>
          <t>HEBY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46326</v>
      </c>
      <c r="F230" t="inlineStr">
        <is>
          <t>UPPSALA LÄN</t>
        </is>
      </c>
      <c r="G230" t="inlineStr">
        <is>
          <t>HEBY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46326</v>
      </c>
      <c r="F231" t="inlineStr">
        <is>
          <t>UPPSALA LÄN</t>
        </is>
      </c>
      <c r="G231" t="inlineStr">
        <is>
          <t>HEBY</t>
        </is>
      </c>
      <c r="H231" t="inlineStr">
        <is>
          <t>Kyrkan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51091-2023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45218</v>
      </c>
      <c r="E232" s="1" t="n">
        <v>46326</v>
      </c>
      <c r="F232" t="inlineStr">
        <is>
          <t>UPPSALA LÄN</t>
        </is>
      </c>
      <c r="G232" t="inlineStr">
        <is>
          <t>HEBY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45852</v>
      </c>
      <c r="E233" s="1" t="n">
        <v>46326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46048</v>
      </c>
      <c r="E234" s="1" t="n">
        <v>46326</v>
      </c>
      <c r="F234" t="inlineStr">
        <is>
          <t>UPPSALA LÄN</t>
        </is>
      </c>
      <c r="G234" t="inlineStr">
        <is>
          <t>HEBY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44781</v>
      </c>
      <c r="E235" s="1" t="n">
        <v>46326</v>
      </c>
      <c r="F235" t="inlineStr">
        <is>
          <t>UPPSALA LÄN</t>
        </is>
      </c>
      <c r="G235" t="inlineStr">
        <is>
          <t>HEBY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46326</v>
      </c>
      <c r="F236" t="inlineStr">
        <is>
          <t>UPPSALA LÄN</t>
        </is>
      </c>
      <c r="G236" t="inlineStr">
        <is>
          <t>HEBY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46326</v>
      </c>
      <c r="F237" t="inlineStr">
        <is>
          <t>UPPSALA LÄN</t>
        </is>
      </c>
      <c r="G237" t="inlineStr">
        <is>
          <t>HEBY</t>
        </is>
      </c>
      <c r="H237" t="inlineStr">
        <is>
          <t>Allmännings- och besparingsskogar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46326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46326</v>
      </c>
      <c r="F239" t="inlineStr">
        <is>
          <t>UPPSALA LÄN</t>
        </is>
      </c>
      <c r="G239" t="inlineStr">
        <is>
          <t>HEBY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46326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46326</v>
      </c>
      <c r="F241" t="inlineStr">
        <is>
          <t>UPPSALA LÄN</t>
        </is>
      </c>
      <c r="G241" t="inlineStr">
        <is>
          <t>HEBY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46326</v>
      </c>
      <c r="F242" t="inlineStr">
        <is>
          <t>UPPSALA LÄN</t>
        </is>
      </c>
      <c r="G242" t="inlineStr">
        <is>
          <t>HEBY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45339</v>
      </c>
      <c r="E243" s="1" t="n">
        <v>46326</v>
      </c>
      <c r="F243" t="inlineStr">
        <is>
          <t>UPPSALA LÄN</t>
        </is>
      </c>
      <c r="G243" t="inlineStr">
        <is>
          <t>HEBY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45331</v>
      </c>
      <c r="E244" s="1" t="n">
        <v>46326</v>
      </c>
      <c r="F244" t="inlineStr">
        <is>
          <t>UPPSALA LÄN</t>
        </is>
      </c>
      <c r="G244" t="inlineStr">
        <is>
          <t>HEBY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45331</v>
      </c>
      <c r="E245" s="1" t="n">
        <v>46326</v>
      </c>
      <c r="F245" t="inlineStr">
        <is>
          <t>UPPSALA LÄN</t>
        </is>
      </c>
      <c r="G245" t="inlineStr">
        <is>
          <t>HEBY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54594-2024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45617</v>
      </c>
      <c r="E246" s="1" t="n">
        <v>46326</v>
      </c>
      <c r="F246" t="inlineStr">
        <is>
          <t>UPPSALA LÄN</t>
        </is>
      </c>
      <c r="G246" t="inlineStr">
        <is>
          <t>HEBY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44614</v>
      </c>
      <c r="E247" s="1" t="n">
        <v>46326</v>
      </c>
      <c r="F247" t="inlineStr">
        <is>
          <t>UPPSALA LÄN</t>
        </is>
      </c>
      <c r="G247" t="inlineStr">
        <is>
          <t>HEBY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46326</v>
      </c>
      <c r="F248" t="inlineStr">
        <is>
          <t>UPPSALA LÄN</t>
        </is>
      </c>
      <c r="G248" t="inlineStr">
        <is>
          <t>HEBY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11555-2026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46084</v>
      </c>
      <c r="E249" s="1" t="n">
        <v>46326</v>
      </c>
      <c r="F249" t="inlineStr">
        <is>
          <t>UPPSALA LÄN</t>
        </is>
      </c>
      <c r="G249" t="inlineStr">
        <is>
          <t>HEBY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46326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45519</v>
      </c>
      <c r="E251" s="1" t="n">
        <v>46326</v>
      </c>
      <c r="F251" t="inlineStr">
        <is>
          <t>UPPSALA LÄN</t>
        </is>
      </c>
      <c r="G251" t="inlineStr">
        <is>
          <t>HEBY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46326</v>
      </c>
      <c r="F252" t="inlineStr">
        <is>
          <t>UPPSALA LÄN</t>
        </is>
      </c>
      <c r="G252" t="inlineStr">
        <is>
          <t>HEBY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45586</v>
      </c>
      <c r="E253" s="1" t="n">
        <v>46326</v>
      </c>
      <c r="F253" t="inlineStr">
        <is>
          <t>UPPSALA LÄN</t>
        </is>
      </c>
      <c r="G253" t="inlineStr">
        <is>
          <t>HEBY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21000-2022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44701</v>
      </c>
      <c r="E254" s="1" t="n">
        <v>46326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46326</v>
      </c>
      <c r="F255" t="inlineStr">
        <is>
          <t>UPPSALA LÄN</t>
        </is>
      </c>
      <c r="G255" t="inlineStr">
        <is>
          <t>HEBY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46326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46326</v>
      </c>
      <c r="F257" t="inlineStr">
        <is>
          <t>UPPSALA LÄN</t>
        </is>
      </c>
      <c r="G257" t="inlineStr">
        <is>
          <t>HEBY</t>
        </is>
      </c>
      <c r="H257" t="inlineStr">
        <is>
          <t>Kommuner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46057</v>
      </c>
      <c r="E258" s="1" t="n">
        <v>46326</v>
      </c>
      <c r="F258" t="inlineStr">
        <is>
          <t>UPPSALA LÄN</t>
        </is>
      </c>
      <c r="G258" t="inlineStr">
        <is>
          <t>HEBY</t>
        </is>
      </c>
      <c r="H258" t="inlineStr">
        <is>
          <t>Kommuner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46326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46326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46326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66.90000000000001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45132</v>
      </c>
      <c r="E262" s="1" t="n">
        <v>46326</v>
      </c>
      <c r="F262" t="inlineStr">
        <is>
          <t>UPPSALA LÄN</t>
        </is>
      </c>
      <c r="G262" t="inlineStr">
        <is>
          <t>HEBY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46326</v>
      </c>
      <c r="F263" t="inlineStr">
        <is>
          <t>UPPSALA LÄN</t>
        </is>
      </c>
      <c r="G263" t="inlineStr">
        <is>
          <t>HEBY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46326</v>
      </c>
      <c r="F264" t="inlineStr">
        <is>
          <t>UPPSALA LÄN</t>
        </is>
      </c>
      <c r="G264" t="inlineStr">
        <is>
          <t>HEBY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46326</v>
      </c>
      <c r="F265" t="inlineStr">
        <is>
          <t>UPPSALA LÄN</t>
        </is>
      </c>
      <c r="G265" t="inlineStr">
        <is>
          <t>HEBY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46326</v>
      </c>
      <c r="F266" t="inlineStr">
        <is>
          <t>UPPSALA LÄN</t>
        </is>
      </c>
      <c r="G266" t="inlineStr">
        <is>
          <t>HEBY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46326</v>
      </c>
      <c r="F267" t="inlineStr">
        <is>
          <t>UPPSALA LÄN</t>
        </is>
      </c>
      <c r="G267" t="inlineStr">
        <is>
          <t>HEBY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46326</v>
      </c>
      <c r="F268" t="inlineStr">
        <is>
          <t>UPPSALA LÄN</t>
        </is>
      </c>
      <c r="G268" t="inlineStr">
        <is>
          <t>HEBY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46326</v>
      </c>
      <c r="F269" t="inlineStr">
        <is>
          <t>UPPSALA LÄN</t>
        </is>
      </c>
      <c r="G269" t="inlineStr">
        <is>
          <t>HEBY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46058</v>
      </c>
      <c r="E270" s="1" t="n">
        <v>46326</v>
      </c>
      <c r="F270" t="inlineStr">
        <is>
          <t>UPPSALA LÄN</t>
        </is>
      </c>
      <c r="G270" t="inlineStr">
        <is>
          <t>HEBY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46326</v>
      </c>
      <c r="F271" t="inlineStr">
        <is>
          <t>UPPSALA LÄN</t>
        </is>
      </c>
      <c r="G271" t="inlineStr">
        <is>
          <t>HEBY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46326</v>
      </c>
      <c r="F272" t="inlineStr">
        <is>
          <t>UPPSALA LÄN</t>
        </is>
      </c>
      <c r="G272" t="inlineStr">
        <is>
          <t>HEBY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46326</v>
      </c>
      <c r="F273" t="inlineStr">
        <is>
          <t>UPPSALA LÄN</t>
        </is>
      </c>
      <c r="G273" t="inlineStr">
        <is>
          <t>HEBY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46326</v>
      </c>
      <c r="F274" t="inlineStr">
        <is>
          <t>UPPSALA LÄN</t>
        </is>
      </c>
      <c r="G274" t="inlineStr">
        <is>
          <t>HEBY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45607</v>
      </c>
      <c r="E275" s="1" t="n">
        <v>46326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46326</v>
      </c>
      <c r="F276" t="inlineStr">
        <is>
          <t>UPPSALA LÄN</t>
        </is>
      </c>
      <c r="G276" t="inlineStr">
        <is>
          <t>HEBY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45674</v>
      </c>
      <c r="E277" s="1" t="n">
        <v>46326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46326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70158-2021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44533</v>
      </c>
      <c r="E279" s="1" t="n">
        <v>46326</v>
      </c>
      <c r="F279" t="inlineStr">
        <is>
          <t>UPPSALA LÄN</t>
        </is>
      </c>
      <c r="G279" t="inlineStr">
        <is>
          <t>HEBY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46326</v>
      </c>
      <c r="F280" t="inlineStr">
        <is>
          <t>UPPSALA LÄN</t>
        </is>
      </c>
      <c r="G280" t="inlineStr">
        <is>
          <t>HEBY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44754</v>
      </c>
      <c r="E281" s="1" t="n">
        <v>46326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öst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46326</v>
      </c>
      <c r="F282" t="inlineStr">
        <is>
          <t>UPPSALA LÄN</t>
        </is>
      </c>
      <c r="G282" t="inlineStr">
        <is>
          <t>HEBY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46326</v>
      </c>
      <c r="F283" t="inlineStr">
        <is>
          <t>UPPSALA LÄN</t>
        </is>
      </c>
      <c r="G283" t="inlineStr">
        <is>
          <t>HEBY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46326</v>
      </c>
      <c r="F284" t="inlineStr">
        <is>
          <t>UPPSALA LÄN</t>
        </is>
      </c>
      <c r="G284" t="inlineStr">
        <is>
          <t>HEBY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44697</v>
      </c>
      <c r="E285" s="1" t="n">
        <v>46326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väst AB</t>
        </is>
      </c>
      <c r="I285" t="n">
        <v>14.3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46073</v>
      </c>
      <c r="E286" s="1" t="n">
        <v>46326</v>
      </c>
      <c r="F286" t="inlineStr">
        <is>
          <t>UPPSALA LÄN</t>
        </is>
      </c>
      <c r="G286" t="inlineStr">
        <is>
          <t>HEBY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46076</v>
      </c>
      <c r="E287" s="1" t="n">
        <v>46326</v>
      </c>
      <c r="F287" t="inlineStr">
        <is>
          <t>UPPSALA LÄN</t>
        </is>
      </c>
      <c r="G287" t="inlineStr">
        <is>
          <t>HEBY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46326</v>
      </c>
      <c r="F288" t="inlineStr">
        <is>
          <t>UPPSALA LÄN</t>
        </is>
      </c>
      <c r="G288" t="inlineStr">
        <is>
          <t>HEBY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58124-2022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46326</v>
      </c>
      <c r="F289" t="inlineStr">
        <is>
          <t>UPPSALA LÄN</t>
        </is>
      </c>
      <c r="G289" t="inlineStr">
        <is>
          <t>HEBY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20882-2022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44701</v>
      </c>
      <c r="E290" s="1" t="n">
        <v>46326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46326</v>
      </c>
      <c r="F291" t="inlineStr">
        <is>
          <t>UPPSALA LÄN</t>
        </is>
      </c>
      <c r="G291" t="inlineStr">
        <is>
          <t>HEBY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46326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45006</v>
      </c>
      <c r="E293" s="1" t="n">
        <v>46326</v>
      </c>
      <c r="F293" t="inlineStr">
        <is>
          <t>UPPSALA LÄN</t>
        </is>
      </c>
      <c r="G293" t="inlineStr">
        <is>
          <t>HEBY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55488-2025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46326</v>
      </c>
      <c r="F294" t="inlineStr">
        <is>
          <t>UPPSALA LÄN</t>
        </is>
      </c>
      <c r="G294" t="inlineStr">
        <is>
          <t>HEBY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55496-2025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45971</v>
      </c>
      <c r="E295" s="1" t="n">
        <v>46326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46326</v>
      </c>
      <c r="F296" t="inlineStr">
        <is>
          <t>UPPSALA LÄN</t>
        </is>
      </c>
      <c r="G296" t="inlineStr">
        <is>
          <t>HEBY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45308</v>
      </c>
      <c r="E297" s="1" t="n">
        <v>46326</v>
      </c>
      <c r="F297" t="inlineStr">
        <is>
          <t>UPPSALA LÄN</t>
        </is>
      </c>
      <c r="G297" t="inlineStr">
        <is>
          <t>HEBY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46326</v>
      </c>
      <c r="F298" t="inlineStr">
        <is>
          <t>UPPSALA LÄN</t>
        </is>
      </c>
      <c r="G298" t="inlineStr">
        <is>
          <t>HEBY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44833</v>
      </c>
      <c r="E299" s="1" t="n">
        <v>46326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46326</v>
      </c>
      <c r="F300" t="inlineStr">
        <is>
          <t>UPPSALA LÄN</t>
        </is>
      </c>
      <c r="G300" t="inlineStr">
        <is>
          <t>HEBY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46326</v>
      </c>
      <c r="F301" t="inlineStr">
        <is>
          <t>UPPSALA LÄN</t>
        </is>
      </c>
      <c r="G301" t="inlineStr">
        <is>
          <t>HEBY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46326</v>
      </c>
      <c r="F302" t="inlineStr">
        <is>
          <t>UPPSALA LÄN</t>
        </is>
      </c>
      <c r="G302" t="inlineStr">
        <is>
          <t>HEBY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46326</v>
      </c>
      <c r="F303" t="inlineStr">
        <is>
          <t>UPPSALA LÄN</t>
        </is>
      </c>
      <c r="G303" t="inlineStr">
        <is>
          <t>HEBY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46326</v>
      </c>
      <c r="F304" t="inlineStr">
        <is>
          <t>UPPSALA LÄN</t>
        </is>
      </c>
      <c r="G304" t="inlineStr">
        <is>
          <t>HEBY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46326</v>
      </c>
      <c r="F305" t="inlineStr">
        <is>
          <t>UPPSALA LÄN</t>
        </is>
      </c>
      <c r="G305" t="inlineStr">
        <is>
          <t>HEBY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44939</v>
      </c>
      <c r="E306" s="1" t="n">
        <v>46326</v>
      </c>
      <c r="F306" t="inlineStr">
        <is>
          <t>UPPSALA LÄN</t>
        </is>
      </c>
      <c r="G306" t="inlineStr">
        <is>
          <t>HEBY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45321</v>
      </c>
      <c r="E307" s="1" t="n">
        <v>46326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44734</v>
      </c>
      <c r="E308" s="1" t="n">
        <v>46326</v>
      </c>
      <c r="F308" t="inlineStr">
        <is>
          <t>UPPSALA LÄN</t>
        </is>
      </c>
      <c r="G308" t="inlineStr">
        <is>
          <t>HEBY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46326</v>
      </c>
      <c r="F309" t="inlineStr">
        <is>
          <t>UPPSALA LÄN</t>
        </is>
      </c>
      <c r="G309" t="inlineStr">
        <is>
          <t>HEBY</t>
        </is>
      </c>
      <c r="H309" t="inlineStr">
        <is>
          <t>Bergvik skog öst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45951</v>
      </c>
      <c r="E310" s="1" t="n">
        <v>46326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45364</v>
      </c>
      <c r="E311" s="1" t="n">
        <v>46326</v>
      </c>
      <c r="F311" t="inlineStr">
        <is>
          <t>UPPSALA LÄN</t>
        </is>
      </c>
      <c r="G311" t="inlineStr">
        <is>
          <t>HEBY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45090</v>
      </c>
      <c r="E312" s="1" t="n">
        <v>46326</v>
      </c>
      <c r="F312" t="inlineStr">
        <is>
          <t>UPPSALA LÄN</t>
        </is>
      </c>
      <c r="G312" t="inlineStr">
        <is>
          <t>HEBY</t>
        </is>
      </c>
      <c r="H312" t="inlineStr">
        <is>
          <t>Övriga Aktiebolag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46326</v>
      </c>
      <c r="F313" t="inlineStr">
        <is>
          <t>UPPSALA LÄN</t>
        </is>
      </c>
      <c r="G313" t="inlineStr">
        <is>
          <t>HEBY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21302-2023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45058</v>
      </c>
      <c r="E314" s="1" t="n">
        <v>46326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väst AB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45390</v>
      </c>
      <c r="E315" s="1" t="n">
        <v>46326</v>
      </c>
      <c r="F315" t="inlineStr">
        <is>
          <t>UPPSALA LÄN</t>
        </is>
      </c>
      <c r="G315" t="inlineStr">
        <is>
          <t>HEBY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46326</v>
      </c>
      <c r="F316" t="inlineStr">
        <is>
          <t>UPPSALA LÄN</t>
        </is>
      </c>
      <c r="G316" t="inlineStr">
        <is>
          <t>HEBY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46326</v>
      </c>
      <c r="F317" t="inlineStr">
        <is>
          <t>UPPSALA LÄN</t>
        </is>
      </c>
      <c r="G317" t="inlineStr">
        <is>
          <t>HEBY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45351</v>
      </c>
      <c r="E318" s="1" t="n">
        <v>46326</v>
      </c>
      <c r="F318" t="inlineStr">
        <is>
          <t>UPPSALA LÄN</t>
        </is>
      </c>
      <c r="G318" t="inlineStr">
        <is>
          <t>HEBY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46326</v>
      </c>
      <c r="F319" t="inlineStr">
        <is>
          <t>UPPSALA LÄN</t>
        </is>
      </c>
      <c r="G319" t="inlineStr">
        <is>
          <t>HEBY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46326</v>
      </c>
      <c r="F320" t="inlineStr">
        <is>
          <t>UPPSALA LÄN</t>
        </is>
      </c>
      <c r="G320" t="inlineStr">
        <is>
          <t>HEBY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46326</v>
      </c>
      <c r="F321" t="inlineStr">
        <is>
          <t>UPPSALA LÄN</t>
        </is>
      </c>
      <c r="G321" t="inlineStr">
        <is>
          <t>HEBY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46326</v>
      </c>
      <c r="F322" t="inlineStr">
        <is>
          <t>UPPSALA LÄN</t>
        </is>
      </c>
      <c r="G322" t="inlineStr">
        <is>
          <t>HEBY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46326</v>
      </c>
      <c r="F323" t="inlineStr">
        <is>
          <t>UPPSALA LÄN</t>
        </is>
      </c>
      <c r="G323" t="inlineStr">
        <is>
          <t>HEBY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46326</v>
      </c>
      <c r="F324" t="inlineStr">
        <is>
          <t>UPPSALA LÄN</t>
        </is>
      </c>
      <c r="G324" t="inlineStr">
        <is>
          <t>HEBY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19721-2022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44694</v>
      </c>
      <c r="E325" s="1" t="n">
        <v>46326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62042-2025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46005</v>
      </c>
      <c r="E326" s="1" t="n">
        <v>46326</v>
      </c>
      <c r="F326" t="inlineStr">
        <is>
          <t>UPPSALA LÄN</t>
        </is>
      </c>
      <c r="G326" t="inlineStr">
        <is>
          <t>HEBY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45209</v>
      </c>
      <c r="E327" s="1" t="n">
        <v>46326</v>
      </c>
      <c r="F327" t="inlineStr">
        <is>
          <t>UPPSALA LÄN</t>
        </is>
      </c>
      <c r="G327" t="inlineStr">
        <is>
          <t>HEBY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46007</v>
      </c>
      <c r="E328" s="1" t="n">
        <v>46326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46326</v>
      </c>
      <c r="F329" t="inlineStr">
        <is>
          <t>UPPSALA LÄN</t>
        </is>
      </c>
      <c r="G329" t="inlineStr">
        <is>
          <t>HEBY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41599-2023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45175</v>
      </c>
      <c r="E330" s="1" t="n">
        <v>46326</v>
      </c>
      <c r="F330" t="inlineStr">
        <is>
          <t>UPPSALA LÄN</t>
        </is>
      </c>
      <c r="G330" t="inlineStr">
        <is>
          <t>HEBY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46326</v>
      </c>
      <c r="F331" t="inlineStr">
        <is>
          <t>UPPSALA LÄN</t>
        </is>
      </c>
      <c r="G331" t="inlineStr">
        <is>
          <t>HEBY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46326</v>
      </c>
      <c r="F332" t="inlineStr">
        <is>
          <t>UPPSALA LÄN</t>
        </is>
      </c>
      <c r="G332" t="inlineStr">
        <is>
          <t>HEBY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46023</v>
      </c>
      <c r="E333" s="1" t="n">
        <v>46326</v>
      </c>
      <c r="F333" t="inlineStr">
        <is>
          <t>UPPSALA LÄN</t>
        </is>
      </c>
      <c r="G333" t="inlineStr">
        <is>
          <t>HEBY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45218</v>
      </c>
      <c r="E334" s="1" t="n">
        <v>46326</v>
      </c>
      <c r="F334" t="inlineStr">
        <is>
          <t>UPPSALA LÄN</t>
        </is>
      </c>
      <c r="G334" t="inlineStr">
        <is>
          <t>HEBY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58332-2023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45250</v>
      </c>
      <c r="E335" s="1" t="n">
        <v>46326</v>
      </c>
      <c r="F335" t="inlineStr">
        <is>
          <t>UPPSALA LÄN</t>
        </is>
      </c>
      <c r="G335" t="inlineStr">
        <is>
          <t>HEBY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69377-2021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44531</v>
      </c>
      <c r="E336" s="1" t="n">
        <v>46326</v>
      </c>
      <c r="F336" t="inlineStr">
        <is>
          <t>UPPSALA LÄN</t>
        </is>
      </c>
      <c r="G336" t="inlineStr">
        <is>
          <t>HEBY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64364-2021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44511</v>
      </c>
      <c r="E337" s="1" t="n">
        <v>46326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45551</v>
      </c>
      <c r="E338" s="1" t="n">
        <v>46326</v>
      </c>
      <c r="F338" t="inlineStr">
        <is>
          <t>UPPSALA LÄN</t>
        </is>
      </c>
      <c r="G338" t="inlineStr">
        <is>
          <t>HEBY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46110</v>
      </c>
      <c r="E339" s="1" t="n">
        <v>46326</v>
      </c>
      <c r="F339" t="inlineStr">
        <is>
          <t>UPPSALA LÄN</t>
        </is>
      </c>
      <c r="G339" t="inlineStr">
        <is>
          <t>HEBY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46326</v>
      </c>
      <c r="F340" t="inlineStr">
        <is>
          <t>UPPSALA LÄN</t>
        </is>
      </c>
      <c r="G340" t="inlineStr">
        <is>
          <t>HEBY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46326</v>
      </c>
      <c r="F341" t="inlineStr">
        <is>
          <t>UPPSALA LÄN</t>
        </is>
      </c>
      <c r="G341" t="inlineStr">
        <is>
          <t>HEBY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46326</v>
      </c>
      <c r="F342" t="inlineStr">
        <is>
          <t>UPPSALA LÄN</t>
        </is>
      </c>
      <c r="G342" t="inlineStr">
        <is>
          <t>HEBY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16506-2026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46112</v>
      </c>
      <c r="E343" s="1" t="n">
        <v>46326</v>
      </c>
      <c r="F343" t="inlineStr">
        <is>
          <t>UPPSALA LÄN</t>
        </is>
      </c>
      <c r="G343" t="inlineStr">
        <is>
          <t>HEBY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16511-2026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46112</v>
      </c>
      <c r="E344" s="1" t="n">
        <v>46326</v>
      </c>
      <c r="F344" t="inlineStr">
        <is>
          <t>UPPSALA LÄN</t>
        </is>
      </c>
      <c r="G344" t="inlineStr">
        <is>
          <t>HEBY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45029</v>
      </c>
      <c r="E345" s="1" t="n">
        <v>46326</v>
      </c>
      <c r="F345" t="inlineStr">
        <is>
          <t>UPPSALA LÄN</t>
        </is>
      </c>
      <c r="G345" t="inlineStr">
        <is>
          <t>HEBY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46114</v>
      </c>
      <c r="E346" s="1" t="n">
        <v>46326</v>
      </c>
      <c r="F346" t="inlineStr">
        <is>
          <t>UPPSALA LÄN</t>
        </is>
      </c>
      <c r="G346" t="inlineStr">
        <is>
          <t>HEBY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46114</v>
      </c>
      <c r="E347" s="1" t="n">
        <v>46326</v>
      </c>
      <c r="F347" t="inlineStr">
        <is>
          <t>UPPSALA LÄN</t>
        </is>
      </c>
      <c r="G347" t="inlineStr">
        <is>
          <t>HEBY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45406</v>
      </c>
      <c r="E348" s="1" t="n">
        <v>46326</v>
      </c>
      <c r="F348" t="inlineStr">
        <is>
          <t>UPPSALA LÄN</t>
        </is>
      </c>
      <c r="G348" t="inlineStr">
        <is>
          <t>HEBY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45599</v>
      </c>
      <c r="E349" s="1" t="n">
        <v>46326</v>
      </c>
      <c r="F349" t="inlineStr">
        <is>
          <t>UPPSALA LÄN</t>
        </is>
      </c>
      <c r="G349" t="inlineStr">
        <is>
          <t>HEBY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44568</v>
      </c>
      <c r="E350" s="1" t="n">
        <v>46326</v>
      </c>
      <c r="F350" t="inlineStr">
        <is>
          <t>UPPSALA LÄN</t>
        </is>
      </c>
      <c r="G350" t="inlineStr">
        <is>
          <t>HEBY</t>
        </is>
      </c>
      <c r="I350" t="n">
        <v>10.6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46326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46326</v>
      </c>
      <c r="F352" t="inlineStr">
        <is>
          <t>UPPSALA LÄN</t>
        </is>
      </c>
      <c r="G352" t="inlineStr">
        <is>
          <t>HEBY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46326</v>
      </c>
      <c r="F353" t="inlineStr">
        <is>
          <t>UPPSALA LÄN</t>
        </is>
      </c>
      <c r="G353" t="inlineStr">
        <is>
          <t>HEBY</t>
        </is>
      </c>
      <c r="H353" t="inlineStr">
        <is>
          <t>Kyrkan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45128</v>
      </c>
      <c r="E354" s="1" t="n">
        <v>46326</v>
      </c>
      <c r="F354" t="inlineStr">
        <is>
          <t>UPPSALA LÄN</t>
        </is>
      </c>
      <c r="G354" t="inlineStr">
        <is>
          <t>HEBY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44644</v>
      </c>
      <c r="E355" s="1" t="n">
        <v>46326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46326</v>
      </c>
      <c r="F356" t="inlineStr">
        <is>
          <t>UPPSALA LÄN</t>
        </is>
      </c>
      <c r="G356" t="inlineStr">
        <is>
          <t>HEBY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46135</v>
      </c>
      <c r="E357" s="1" t="n">
        <v>46326</v>
      </c>
      <c r="F357" t="inlineStr">
        <is>
          <t>UPPSALA LÄN</t>
        </is>
      </c>
      <c r="G357" t="inlineStr">
        <is>
          <t>HEBY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46135</v>
      </c>
      <c r="E358" s="1" t="n">
        <v>46326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45013</v>
      </c>
      <c r="E359" s="1" t="n">
        <v>46326</v>
      </c>
      <c r="F359" t="inlineStr">
        <is>
          <t>UPPSALA LÄN</t>
        </is>
      </c>
      <c r="G359" t="inlineStr">
        <is>
          <t>HEBY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45092</v>
      </c>
      <c r="E360" s="1" t="n">
        <v>46326</v>
      </c>
      <c r="F360" t="inlineStr">
        <is>
          <t>UPPSALA LÄN</t>
        </is>
      </c>
      <c r="G360" t="inlineStr">
        <is>
          <t>HEBY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42216-2025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45904</v>
      </c>
      <c r="E361" s="1" t="n">
        <v>46326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öst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44659</v>
      </c>
      <c r="E362" s="1" t="n">
        <v>46326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19683-2022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44694</v>
      </c>
      <c r="E363" s="1" t="n">
        <v>46326</v>
      </c>
      <c r="F363" t="inlineStr">
        <is>
          <t>UPPSALA LÄN</t>
        </is>
      </c>
      <c r="G363" t="inlineStr">
        <is>
          <t>HEBY</t>
        </is>
      </c>
      <c r="I363" t="n">
        <v>22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45884</v>
      </c>
      <c r="E364" s="1" t="n">
        <v>46326</v>
      </c>
      <c r="F364" t="inlineStr">
        <is>
          <t>UPPSALA LÄN</t>
        </is>
      </c>
      <c r="G364" t="inlineStr">
        <is>
          <t>HEBY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47861-2025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46326</v>
      </c>
      <c r="F365" t="inlineStr">
        <is>
          <t>UPPSALA LÄN</t>
        </is>
      </c>
      <c r="G365" t="inlineStr">
        <is>
          <t>HEBY</t>
        </is>
      </c>
      <c r="H365" t="inlineStr">
        <is>
          <t>Allmännings- och besparingsskogar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45317</v>
      </c>
      <c r="E366" s="1" t="n">
        <v>46326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45891</v>
      </c>
      <c r="E367" s="1" t="n">
        <v>46326</v>
      </c>
      <c r="F367" t="inlineStr">
        <is>
          <t>UPPSALA LÄN</t>
        </is>
      </c>
      <c r="G367" t="inlineStr">
        <is>
          <t>HEBY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45639</v>
      </c>
      <c r="E368" s="1" t="n">
        <v>46326</v>
      </c>
      <c r="F368" t="inlineStr">
        <is>
          <t>UPPSALA LÄN</t>
        </is>
      </c>
      <c r="G368" t="inlineStr">
        <is>
          <t>HEBY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46326</v>
      </c>
      <c r="F369" t="inlineStr">
        <is>
          <t>UPPSALA LÄN</t>
        </is>
      </c>
      <c r="G369" t="inlineStr">
        <is>
          <t>HEBY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46326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45589</v>
      </c>
      <c r="E371" s="1" t="n">
        <v>46326</v>
      </c>
      <c r="F371" t="inlineStr">
        <is>
          <t>UPPSALA LÄN</t>
        </is>
      </c>
      <c r="G371" t="inlineStr">
        <is>
          <t>HEBY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45932</v>
      </c>
      <c r="E372" s="1" t="n">
        <v>46326</v>
      </c>
      <c r="F372" t="inlineStr">
        <is>
          <t>UPPSALA LÄN</t>
        </is>
      </c>
      <c r="G372" t="inlineStr">
        <is>
          <t>HEBY</t>
        </is>
      </c>
      <c r="H372" t="inlineStr">
        <is>
          <t>Allmännings- och besparingsskogar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42731-2023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46326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46326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46326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46326</v>
      </c>
      <c r="F376" t="inlineStr">
        <is>
          <t>UPPSALA LÄN</t>
        </is>
      </c>
      <c r="G376" t="inlineStr">
        <is>
          <t>HEBY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34140-2023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45135</v>
      </c>
      <c r="E377" s="1" t="n">
        <v>46326</v>
      </c>
      <c r="F377" t="inlineStr">
        <is>
          <t>UPPSALA LÄN</t>
        </is>
      </c>
      <c r="G377" t="inlineStr">
        <is>
          <t>HEBY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45364</v>
      </c>
      <c r="E378" s="1" t="n">
        <v>46326</v>
      </c>
      <c r="F378" t="inlineStr">
        <is>
          <t>UPPSALA LÄN</t>
        </is>
      </c>
      <c r="G378" t="inlineStr">
        <is>
          <t>HEBY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45411</v>
      </c>
      <c r="E379" s="1" t="n">
        <v>46326</v>
      </c>
      <c r="F379" t="inlineStr">
        <is>
          <t>UPPSALA LÄN</t>
        </is>
      </c>
      <c r="G379" t="inlineStr">
        <is>
          <t>HEBY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46326</v>
      </c>
      <c r="F380" t="inlineStr">
        <is>
          <t>UPPSALA LÄN</t>
        </is>
      </c>
      <c r="G380" t="inlineStr">
        <is>
          <t>HEBY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64899-2021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44512</v>
      </c>
      <c r="E381" s="1" t="n">
        <v>46326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öst AB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59015-2022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44903</v>
      </c>
      <c r="E382" s="1" t="n">
        <v>46326</v>
      </c>
      <c r="F382" t="inlineStr">
        <is>
          <t>UPPSALA LÄN</t>
        </is>
      </c>
      <c r="G382" t="inlineStr">
        <is>
          <t>HEBY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40455-2025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46326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öst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35865-2022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44802</v>
      </c>
      <c r="E384" s="1" t="n">
        <v>46326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35868-2022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44802</v>
      </c>
      <c r="E385" s="1" t="n">
        <v>46326</v>
      </c>
      <c r="F385" t="inlineStr">
        <is>
          <t>UPPSALA LÄN</t>
        </is>
      </c>
      <c r="G385" t="inlineStr">
        <is>
          <t>HEBY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46326</v>
      </c>
      <c r="F386" t="inlineStr">
        <is>
          <t>UPPSALA LÄN</t>
        </is>
      </c>
      <c r="G386" t="inlineStr">
        <is>
          <t>HEBY</t>
        </is>
      </c>
      <c r="H386" t="inlineStr">
        <is>
          <t>Kyrkan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25997-2022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44734</v>
      </c>
      <c r="E387" s="1" t="n">
        <v>46326</v>
      </c>
      <c r="F387" t="inlineStr">
        <is>
          <t>UPPSALA LÄN</t>
        </is>
      </c>
      <c r="G387" t="inlineStr">
        <is>
          <t>HEBY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66055-2021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44517</v>
      </c>
      <c r="E388" s="1" t="n">
        <v>46326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öst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46326</v>
      </c>
      <c r="F389" t="inlineStr">
        <is>
          <t>UPPSALA LÄN</t>
        </is>
      </c>
      <c r="G389" t="inlineStr">
        <is>
          <t>HEBY</t>
        </is>
      </c>
      <c r="H389" t="inlineStr">
        <is>
          <t>Övriga Aktiebolag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20719-2026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46326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74215-2021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44558</v>
      </c>
      <c r="E391" s="1" t="n">
        <v>46326</v>
      </c>
      <c r="F391" t="inlineStr">
        <is>
          <t>UPPSALA LÄN</t>
        </is>
      </c>
      <c r="G391" t="inlineStr">
        <is>
          <t>HEBY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46140</v>
      </c>
      <c r="E392" s="1" t="n">
        <v>46326</v>
      </c>
      <c r="F392" t="inlineStr">
        <is>
          <t>UPPSALA LÄN</t>
        </is>
      </c>
      <c r="G392" t="inlineStr">
        <is>
          <t>HEBY</t>
        </is>
      </c>
      <c r="H392" t="inlineStr">
        <is>
          <t>Övriga Aktiebolag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46326</v>
      </c>
      <c r="F393" t="inlineStr">
        <is>
          <t>UPPSALA LÄN</t>
        </is>
      </c>
      <c r="G393" t="inlineStr">
        <is>
          <t>HEBY</t>
        </is>
      </c>
      <c r="H393" t="inlineStr">
        <is>
          <t>Övriga Aktiebolag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46326</v>
      </c>
      <c r="F394" t="inlineStr">
        <is>
          <t>UPPSALA LÄN</t>
        </is>
      </c>
      <c r="G394" t="inlineStr">
        <is>
          <t>HEBY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45805</v>
      </c>
      <c r="E395" s="1" t="n">
        <v>46326</v>
      </c>
      <c r="F395" t="inlineStr">
        <is>
          <t>UPPSALA LÄN</t>
        </is>
      </c>
      <c r="G395" t="inlineStr">
        <is>
          <t>HEBY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46326</v>
      </c>
      <c r="F396" t="inlineStr">
        <is>
          <t>UPPSALA LÄN</t>
        </is>
      </c>
      <c r="G396" t="inlineStr">
        <is>
          <t>HEBY</t>
        </is>
      </c>
      <c r="H396" t="inlineStr">
        <is>
          <t>Kyrkan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46326</v>
      </c>
      <c r="F397" t="inlineStr">
        <is>
          <t>UPPSALA LÄN</t>
        </is>
      </c>
      <c r="G397" t="inlineStr">
        <is>
          <t>HEBY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46326</v>
      </c>
      <c r="F398" t="inlineStr">
        <is>
          <t>UPPSALA LÄN</t>
        </is>
      </c>
      <c r="G398" t="inlineStr">
        <is>
          <t>HEBY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44791</v>
      </c>
      <c r="E399" s="1" t="n">
        <v>46326</v>
      </c>
      <c r="F399" t="inlineStr">
        <is>
          <t>UPPSALA LÄN</t>
        </is>
      </c>
      <c r="G399" t="inlineStr">
        <is>
          <t>HEBY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46326</v>
      </c>
      <c r="F400" t="inlineStr">
        <is>
          <t>UPPSALA LÄN</t>
        </is>
      </c>
      <c r="G400" t="inlineStr">
        <is>
          <t>HEBY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46326</v>
      </c>
      <c r="F401" t="inlineStr">
        <is>
          <t>UPPSALA LÄN</t>
        </is>
      </c>
      <c r="G401" t="inlineStr">
        <is>
          <t>HEBY</t>
        </is>
      </c>
      <c r="H401" t="inlineStr">
        <is>
          <t>Allmännings- och besparingsskogar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26099-2025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45805</v>
      </c>
      <c r="E402" s="1" t="n">
        <v>46326</v>
      </c>
      <c r="F402" t="inlineStr">
        <is>
          <t>UPPSALA LÄN</t>
        </is>
      </c>
      <c r="G402" t="inlineStr">
        <is>
          <t>HEBY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46326</v>
      </c>
      <c r="F403" t="inlineStr">
        <is>
          <t>UPPSALA LÄN</t>
        </is>
      </c>
      <c r="G403" t="inlineStr">
        <is>
          <t>HEBY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44974</v>
      </c>
      <c r="E404" s="1" t="n">
        <v>46326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30891-2023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46326</v>
      </c>
      <c r="F405" t="inlineStr">
        <is>
          <t>UPPSALA LÄN</t>
        </is>
      </c>
      <c r="G405" t="inlineStr">
        <is>
          <t>HEBY</t>
        </is>
      </c>
      <c r="H405" t="inlineStr">
        <is>
          <t>Övriga Aktiebolag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45132</v>
      </c>
      <c r="E406" s="1" t="n">
        <v>46326</v>
      </c>
      <c r="F406" t="inlineStr">
        <is>
          <t>UPPSALA LÄN</t>
        </is>
      </c>
      <c r="G406" t="inlineStr">
        <is>
          <t>HEBY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45132</v>
      </c>
      <c r="E407" s="1" t="n">
        <v>46326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33707-2023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45132</v>
      </c>
      <c r="E408" s="1" t="n">
        <v>46326</v>
      </c>
      <c r="F408" t="inlineStr">
        <is>
          <t>UPPSALA LÄN</t>
        </is>
      </c>
      <c r="G408" t="inlineStr">
        <is>
          <t>HEBY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45770</v>
      </c>
      <c r="E409" s="1" t="n">
        <v>46326</v>
      </c>
      <c r="F409" t="inlineStr">
        <is>
          <t>UPPSALA LÄN</t>
        </is>
      </c>
      <c r="G409" t="inlineStr">
        <is>
          <t>HEBY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45050</v>
      </c>
      <c r="E410" s="1" t="n">
        <v>46326</v>
      </c>
      <c r="F410" t="inlineStr">
        <is>
          <t>UPPSALA LÄN</t>
        </is>
      </c>
      <c r="G410" t="inlineStr">
        <is>
          <t>HEBY</t>
        </is>
      </c>
      <c r="H410" t="inlineStr">
        <is>
          <t>Bergvik skog väst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44944</v>
      </c>
      <c r="E411" s="1" t="n">
        <v>46326</v>
      </c>
      <c r="F411" t="inlineStr">
        <is>
          <t>UPPSALA LÄN</t>
        </is>
      </c>
      <c r="G411" t="inlineStr">
        <is>
          <t>HEBY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45566</v>
      </c>
      <c r="E412" s="1" t="n">
        <v>46326</v>
      </c>
      <c r="F412" t="inlineStr">
        <is>
          <t>UPPSALA LÄN</t>
        </is>
      </c>
      <c r="G412" t="inlineStr">
        <is>
          <t>HEBY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46326</v>
      </c>
      <c r="F413" t="inlineStr">
        <is>
          <t>UPPSALA LÄN</t>
        </is>
      </c>
      <c r="G413" t="inlineStr">
        <is>
          <t>HEBY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13603-2023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45006</v>
      </c>
      <c r="E414" s="1" t="n">
        <v>46326</v>
      </c>
      <c r="F414" t="inlineStr">
        <is>
          <t>UPPSALA LÄN</t>
        </is>
      </c>
      <c r="G414" t="inlineStr">
        <is>
          <t>HEBY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45117</v>
      </c>
      <c r="E415" s="1" t="n">
        <v>46326</v>
      </c>
      <c r="F415" t="inlineStr">
        <is>
          <t>UPPSALA LÄN</t>
        </is>
      </c>
      <c r="G415" t="inlineStr">
        <is>
          <t>HEBY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46326</v>
      </c>
      <c r="F416" t="inlineStr">
        <is>
          <t>UPPSALA LÄN</t>
        </is>
      </c>
      <c r="G416" t="inlineStr">
        <is>
          <t>HEBY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46326</v>
      </c>
      <c r="F417" t="inlineStr">
        <is>
          <t>UPPSALA LÄN</t>
        </is>
      </c>
      <c r="G417" t="inlineStr">
        <is>
          <t>HEBY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46326</v>
      </c>
      <c r="F418" t="inlineStr">
        <is>
          <t>UPPSALA LÄN</t>
        </is>
      </c>
      <c r="G418" t="inlineStr">
        <is>
          <t>HEBY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34593-2023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45138</v>
      </c>
      <c r="E419" s="1" t="n">
        <v>46326</v>
      </c>
      <c r="F419" t="inlineStr">
        <is>
          <t>UPPSALA LÄN</t>
        </is>
      </c>
      <c r="G419" t="inlineStr">
        <is>
          <t>HEBY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46326</v>
      </c>
      <c r="F420" t="inlineStr">
        <is>
          <t>UPPSALA LÄN</t>
        </is>
      </c>
      <c r="G420" t="inlineStr">
        <is>
          <t>HEBY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46326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46164</v>
      </c>
      <c r="E422" s="1" t="n">
        <v>46326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35.2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50281-2023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46326</v>
      </c>
      <c r="F423" t="inlineStr">
        <is>
          <t>UPPSALA LÄN</t>
        </is>
      </c>
      <c r="G423" t="inlineStr">
        <is>
          <t>HEBY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46326</v>
      </c>
      <c r="F424" t="inlineStr">
        <is>
          <t>UPPSALA LÄN</t>
        </is>
      </c>
      <c r="G424" t="inlineStr">
        <is>
          <t>HEBY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46169</v>
      </c>
      <c r="E425" s="1" t="n">
        <v>46326</v>
      </c>
      <c r="F425" t="inlineStr">
        <is>
          <t>UPPSALA LÄN</t>
        </is>
      </c>
      <c r="G425" t="inlineStr">
        <is>
          <t>HEBY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46326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55019-2025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46326</v>
      </c>
      <c r="F427" t="inlineStr">
        <is>
          <t>UPPSALA LÄN</t>
        </is>
      </c>
      <c r="G427" t="inlineStr">
        <is>
          <t>HEBY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46326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11835-2024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45376</v>
      </c>
      <c r="E429" s="1" t="n">
        <v>46326</v>
      </c>
      <c r="F429" t="inlineStr">
        <is>
          <t>UPPSALA LÄN</t>
        </is>
      </c>
      <c r="G429" t="inlineStr">
        <is>
          <t>HEBY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46326</v>
      </c>
      <c r="F430" t="inlineStr">
        <is>
          <t>UPPSALA LÄN</t>
        </is>
      </c>
      <c r="G430" t="inlineStr">
        <is>
          <t>HEBY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46326</v>
      </c>
      <c r="F431" t="inlineStr">
        <is>
          <t>UPPSALA LÄN</t>
        </is>
      </c>
      <c r="G431" t="inlineStr">
        <is>
          <t>HEBY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45083</v>
      </c>
      <c r="E432" s="1" t="n">
        <v>46326</v>
      </c>
      <c r="F432" t="inlineStr">
        <is>
          <t>UPPSALA LÄN</t>
        </is>
      </c>
      <c r="G432" t="inlineStr">
        <is>
          <t>HEBY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44944</v>
      </c>
      <c r="E433" s="1" t="n">
        <v>46326</v>
      </c>
      <c r="F433" t="inlineStr">
        <is>
          <t>UPPSALA LÄN</t>
        </is>
      </c>
      <c r="G433" t="inlineStr">
        <is>
          <t>HEBY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12489-2024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45379</v>
      </c>
      <c r="E434" s="1" t="n">
        <v>46326</v>
      </c>
      <c r="F434" t="inlineStr">
        <is>
          <t>UPPSALA LÄN</t>
        </is>
      </c>
      <c r="G434" t="inlineStr">
        <is>
          <t>HEBY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44574</v>
      </c>
      <c r="E435" s="1" t="n">
        <v>46326</v>
      </c>
      <c r="F435" t="inlineStr">
        <is>
          <t>UPPSALA LÄN</t>
        </is>
      </c>
      <c r="G435" t="inlineStr">
        <is>
          <t>HEBY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46326</v>
      </c>
      <c r="F436" t="inlineStr">
        <is>
          <t>UPPSALA LÄN</t>
        </is>
      </c>
      <c r="G436" t="inlineStr">
        <is>
          <t>HEBY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44586</v>
      </c>
      <c r="E437" s="1" t="n">
        <v>46326</v>
      </c>
      <c r="F437" t="inlineStr">
        <is>
          <t>UPPSALA LÄN</t>
        </is>
      </c>
      <c r="G437" t="inlineStr">
        <is>
          <t>HEBY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46326</v>
      </c>
      <c r="F438" t="inlineStr">
        <is>
          <t>UPPSALA LÄN</t>
        </is>
      </c>
      <c r="G438" t="inlineStr">
        <is>
          <t>HEBY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46326</v>
      </c>
      <c r="F439" t="inlineStr">
        <is>
          <t>UPPSALA LÄN</t>
        </is>
      </c>
      <c r="G439" t="inlineStr">
        <is>
          <t>HEBY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46326</v>
      </c>
      <c r="F440" t="inlineStr">
        <is>
          <t>UPPSALA LÄN</t>
        </is>
      </c>
      <c r="G440" t="inlineStr">
        <is>
          <t>HEBY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3368-2024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45317</v>
      </c>
      <c r="E441" s="1" t="n">
        <v>46326</v>
      </c>
      <c r="F441" t="inlineStr">
        <is>
          <t>UPPSALA LÄN</t>
        </is>
      </c>
      <c r="G441" t="inlineStr">
        <is>
          <t>HEBY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44979</v>
      </c>
      <c r="E442" s="1" t="n">
        <v>46326</v>
      </c>
      <c r="F442" t="inlineStr">
        <is>
          <t>UPPSALA LÄN</t>
        </is>
      </c>
      <c r="G442" t="inlineStr">
        <is>
          <t>HEBY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46326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44888</v>
      </c>
      <c r="E444" s="1" t="n">
        <v>46326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väst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8783-2023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44978</v>
      </c>
      <c r="E445" s="1" t="n">
        <v>46326</v>
      </c>
      <c r="F445" t="inlineStr">
        <is>
          <t>UPPSALA LÄN</t>
        </is>
      </c>
      <c r="G445" t="inlineStr">
        <is>
          <t>HEBY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45294</v>
      </c>
      <c r="E446" s="1" t="n">
        <v>46326</v>
      </c>
      <c r="F446" t="inlineStr">
        <is>
          <t>UPPSALA LÄN</t>
        </is>
      </c>
      <c r="G446" t="inlineStr">
        <is>
          <t>HEBY</t>
        </is>
      </c>
      <c r="H446" t="inlineStr">
        <is>
          <t>Kommuner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46326</v>
      </c>
      <c r="F447" t="inlineStr">
        <is>
          <t>UPPSALA LÄN</t>
        </is>
      </c>
      <c r="G447" t="inlineStr">
        <is>
          <t>HEBY</t>
        </is>
      </c>
      <c r="I447" t="n">
        <v>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45532</v>
      </c>
      <c r="E448" s="1" t="n">
        <v>46326</v>
      </c>
      <c r="F448" t="inlineStr">
        <is>
          <t>UPPSALA LÄN</t>
        </is>
      </c>
      <c r="G448" t="inlineStr">
        <is>
          <t>HEBY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46326</v>
      </c>
      <c r="F449" t="inlineStr">
        <is>
          <t>UPPSALA LÄN</t>
        </is>
      </c>
      <c r="G449" t="inlineStr">
        <is>
          <t>HEBY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44984</v>
      </c>
      <c r="E450" s="1" t="n">
        <v>46326</v>
      </c>
      <c r="F450" t="inlineStr">
        <is>
          <t>UPPSALA LÄN</t>
        </is>
      </c>
      <c r="G450" t="inlineStr">
        <is>
          <t>HEBY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44943</v>
      </c>
      <c r="E451" s="1" t="n">
        <v>46326</v>
      </c>
      <c r="F451" t="inlineStr">
        <is>
          <t>UPPSALA LÄN</t>
        </is>
      </c>
      <c r="G451" t="inlineStr">
        <is>
          <t>HEBY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44943</v>
      </c>
      <c r="E452" s="1" t="n">
        <v>46326</v>
      </c>
      <c r="F452" t="inlineStr">
        <is>
          <t>UPPSALA LÄN</t>
        </is>
      </c>
      <c r="G452" t="inlineStr">
        <is>
          <t>HEBY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44944</v>
      </c>
      <c r="E453" s="1" t="n">
        <v>46326</v>
      </c>
      <c r="F453" t="inlineStr">
        <is>
          <t>UPPSALA LÄN</t>
        </is>
      </c>
      <c r="G453" t="inlineStr">
        <is>
          <t>HEBY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46326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44914</v>
      </c>
      <c r="E455" s="1" t="n">
        <v>46326</v>
      </c>
      <c r="F455" t="inlineStr">
        <is>
          <t>UPPSALA LÄN</t>
        </is>
      </c>
      <c r="G455" t="inlineStr">
        <is>
          <t>HEBY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44974</v>
      </c>
      <c r="E456" s="1" t="n">
        <v>46326</v>
      </c>
      <c r="F456" t="inlineStr">
        <is>
          <t>UPPSALA LÄN</t>
        </is>
      </c>
      <c r="G456" t="inlineStr">
        <is>
          <t>HEBY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40924-2023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45173</v>
      </c>
      <c r="E457" s="1" t="n">
        <v>46326</v>
      </c>
      <c r="F457" t="inlineStr">
        <is>
          <t>UPPSALA LÄN</t>
        </is>
      </c>
      <c r="G457" t="inlineStr">
        <is>
          <t>HEBY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40926-2023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45173</v>
      </c>
      <c r="E458" s="1" t="n">
        <v>46326</v>
      </c>
      <c r="F458" t="inlineStr">
        <is>
          <t>UPPSALA LÄN</t>
        </is>
      </c>
      <c r="G458" t="inlineStr">
        <is>
          <t>HEBY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44956</v>
      </c>
      <c r="E459" s="1" t="n">
        <v>46326</v>
      </c>
      <c r="F459" t="inlineStr">
        <is>
          <t>UPPSALA LÄN</t>
        </is>
      </c>
      <c r="G459" t="inlineStr">
        <is>
          <t>HEBY</t>
        </is>
      </c>
      <c r="H459" t="inlineStr">
        <is>
          <t>Kyrkan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15427-2025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45747</v>
      </c>
      <c r="E460" s="1" t="n">
        <v>46326</v>
      </c>
      <c r="F460" t="inlineStr">
        <is>
          <t>UPPSALA LÄN</t>
        </is>
      </c>
      <c r="G460" t="inlineStr">
        <is>
          <t>HEBY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7173-2024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45344</v>
      </c>
      <c r="E461" s="1" t="n">
        <v>46326</v>
      </c>
      <c r="F461" t="inlineStr">
        <is>
          <t>UPPSALA LÄN</t>
        </is>
      </c>
      <c r="G461" t="inlineStr">
        <is>
          <t>HEBY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46326</v>
      </c>
      <c r="F462" t="inlineStr">
        <is>
          <t>UPPSALA LÄN</t>
        </is>
      </c>
      <c r="G462" t="inlineStr">
        <is>
          <t>HEBY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29340-2022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44752</v>
      </c>
      <c r="E463" s="1" t="n">
        <v>46326</v>
      </c>
      <c r="F463" t="inlineStr">
        <is>
          <t>UPPSALA LÄN</t>
        </is>
      </c>
      <c r="G463" t="inlineStr">
        <is>
          <t>HEBY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45693</v>
      </c>
      <c r="E464" s="1" t="n">
        <v>46326</v>
      </c>
      <c r="F464" t="inlineStr">
        <is>
          <t>UPPSALA LÄN</t>
        </is>
      </c>
      <c r="G464" t="inlineStr">
        <is>
          <t>HEBY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45008</v>
      </c>
      <c r="E465" s="1" t="n">
        <v>46326</v>
      </c>
      <c r="F465" t="inlineStr">
        <is>
          <t>UPPSALA LÄN</t>
        </is>
      </c>
      <c r="G465" t="inlineStr">
        <is>
          <t>HEBY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6866-2022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44602</v>
      </c>
      <c r="E466" s="1" t="n">
        <v>46326</v>
      </c>
      <c r="F466" t="inlineStr">
        <is>
          <t>UPPSALA LÄN</t>
        </is>
      </c>
      <c r="G466" t="inlineStr">
        <is>
          <t>HEBY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19718-2023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45050</v>
      </c>
      <c r="E467" s="1" t="n">
        <v>46326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44911</v>
      </c>
      <c r="E468" s="1" t="n">
        <v>46326</v>
      </c>
      <c r="F468" t="inlineStr">
        <is>
          <t>UPPSALA LÄN</t>
        </is>
      </c>
      <c r="G468" t="inlineStr">
        <is>
          <t>HEBY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44978</v>
      </c>
      <c r="E469" s="1" t="n">
        <v>46326</v>
      </c>
      <c r="F469" t="inlineStr">
        <is>
          <t>UPPSALA LÄN</t>
        </is>
      </c>
      <c r="G469" t="inlineStr">
        <is>
          <t>HEBY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14916-2025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46326</v>
      </c>
      <c r="F470" t="inlineStr">
        <is>
          <t>UPPSALA LÄN</t>
        </is>
      </c>
      <c r="G470" t="inlineStr">
        <is>
          <t>HEBY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46326</v>
      </c>
      <c r="F471" t="inlineStr">
        <is>
          <t>UPPSALA LÄN</t>
        </is>
      </c>
      <c r="G471" t="inlineStr">
        <is>
          <t>HEBY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46326</v>
      </c>
      <c r="F472" t="inlineStr">
        <is>
          <t>UPPSALA LÄN</t>
        </is>
      </c>
      <c r="G472" t="inlineStr">
        <is>
          <t>HEBY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45422</v>
      </c>
      <c r="E473" s="1" t="n">
        <v>46326</v>
      </c>
      <c r="F473" t="inlineStr">
        <is>
          <t>UPPSALA LÄN</t>
        </is>
      </c>
      <c r="G473" t="inlineStr">
        <is>
          <t>HEBY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28226-2023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46326</v>
      </c>
      <c r="F474" t="inlineStr">
        <is>
          <t>UPPSALA LÄN</t>
        </is>
      </c>
      <c r="G474" t="inlineStr">
        <is>
          <t>HEBY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46326</v>
      </c>
      <c r="F475" t="inlineStr">
        <is>
          <t>UPPSALA LÄN</t>
        </is>
      </c>
      <c r="G475" t="inlineStr">
        <is>
          <t>HEBY</t>
        </is>
      </c>
      <c r="H475" t="inlineStr">
        <is>
          <t>Kyrkan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46326</v>
      </c>
      <c r="F476" t="inlineStr">
        <is>
          <t>UPPSALA LÄN</t>
        </is>
      </c>
      <c r="G476" t="inlineStr">
        <is>
          <t>HEBY</t>
        </is>
      </c>
      <c r="I476" t="n">
        <v>10.3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45511</v>
      </c>
      <c r="E477" s="1" t="n">
        <v>46326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45058</v>
      </c>
      <c r="E478" s="1" t="n">
        <v>46326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44993</v>
      </c>
      <c r="E479" s="1" t="n">
        <v>46326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45572</v>
      </c>
      <c r="E480" s="1" t="n">
        <v>46326</v>
      </c>
      <c r="F480" t="inlineStr">
        <is>
          <t>UPPSALA LÄN</t>
        </is>
      </c>
      <c r="G480" t="inlineStr">
        <is>
          <t>HEBY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40533-2022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44823</v>
      </c>
      <c r="E481" s="1" t="n">
        <v>46326</v>
      </c>
      <c r="F481" t="inlineStr">
        <is>
          <t>UPPSALA LÄN</t>
        </is>
      </c>
      <c r="G481" t="inlineStr">
        <is>
          <t>HEBY</t>
        </is>
      </c>
      <c r="H481" t="inlineStr">
        <is>
          <t>Övriga Aktiebolag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46326</v>
      </c>
      <c r="F482" t="inlineStr">
        <is>
          <t>UPPSALA LÄN</t>
        </is>
      </c>
      <c r="G482" t="inlineStr">
        <is>
          <t>HEBY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46220</v>
      </c>
      <c r="E483" s="1" t="n">
        <v>46326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55.9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45118</v>
      </c>
      <c r="E484" s="1" t="n">
        <v>46326</v>
      </c>
      <c r="F484" t="inlineStr">
        <is>
          <t>UPPSALA LÄN</t>
        </is>
      </c>
      <c r="G484" t="inlineStr">
        <is>
          <t>HEBY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46326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46224</v>
      </c>
      <c r="E486" s="1" t="n">
        <v>46326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46326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44951</v>
      </c>
      <c r="E488" s="1" t="n">
        <v>46326</v>
      </c>
      <c r="F488" t="inlineStr">
        <is>
          <t>UPPSALA LÄN</t>
        </is>
      </c>
      <c r="G488" t="inlineStr">
        <is>
          <t>HEBY</t>
        </is>
      </c>
      <c r="I488" t="n">
        <v>11.2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46231</v>
      </c>
      <c r="E489" s="1" t="n">
        <v>46326</v>
      </c>
      <c r="F489" t="inlineStr">
        <is>
          <t>UPPSALA LÄN</t>
        </is>
      </c>
      <c r="G489" t="inlineStr">
        <is>
          <t>HEBY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31888-2026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46231</v>
      </c>
      <c r="E490" s="1" t="n">
        <v>46326</v>
      </c>
      <c r="F490" t="inlineStr">
        <is>
          <t>UPPSALA LÄN</t>
        </is>
      </c>
      <c r="G490" t="inlineStr">
        <is>
          <t>HEBY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45917-2023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45195</v>
      </c>
      <c r="E491" s="1" t="n">
        <v>46326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46326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32292-2026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46237</v>
      </c>
      <c r="E493" s="1" t="n">
        <v>46326</v>
      </c>
      <c r="F493" t="inlineStr">
        <is>
          <t>UPPSALA LÄN</t>
        </is>
      </c>
      <c r="G493" t="inlineStr">
        <is>
          <t>HEBY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46326</v>
      </c>
      <c r="F494" t="inlineStr">
        <is>
          <t>UPPSALA LÄN</t>
        </is>
      </c>
      <c r="G494" t="inlineStr">
        <is>
          <t>HEBY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32288-2026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46237</v>
      </c>
      <c r="E495" s="1" t="n">
        <v>46326</v>
      </c>
      <c r="F495" t="inlineStr">
        <is>
          <t>UPPSALA LÄN</t>
        </is>
      </c>
      <c r="G495" t="inlineStr">
        <is>
          <t>HEBY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46326</v>
      </c>
      <c r="F496" t="inlineStr">
        <is>
          <t>UPPSALA LÄN</t>
        </is>
      </c>
      <c r="G496" t="inlineStr">
        <is>
          <t>HEBY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29396-2022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44753</v>
      </c>
      <c r="E497" s="1" t="n">
        <v>46326</v>
      </c>
      <c r="F497" t="inlineStr">
        <is>
          <t>UPPSALA LÄN</t>
        </is>
      </c>
      <c r="G497" t="inlineStr">
        <is>
          <t>HEBY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44613</v>
      </c>
      <c r="E498" s="1" t="n">
        <v>46326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45075</v>
      </c>
      <c r="E499" s="1" t="n">
        <v>46326</v>
      </c>
      <c r="F499" t="inlineStr">
        <is>
          <t>UPPSALA LÄN</t>
        </is>
      </c>
      <c r="G499" t="inlineStr">
        <is>
          <t>HEBY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44873</v>
      </c>
      <c r="E500" s="1" t="n">
        <v>46326</v>
      </c>
      <c r="F500" t="inlineStr">
        <is>
          <t>UPPSALA LÄN</t>
        </is>
      </c>
      <c r="G500" t="inlineStr">
        <is>
          <t>HEBY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46326</v>
      </c>
      <c r="F501" t="inlineStr">
        <is>
          <t>UPPSALA LÄN</t>
        </is>
      </c>
      <c r="G501" t="inlineStr">
        <is>
          <t>HEBY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45713</v>
      </c>
      <c r="E502" s="1" t="n">
        <v>46326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44981</v>
      </c>
      <c r="E503" s="1" t="n">
        <v>46326</v>
      </c>
      <c r="F503" t="inlineStr">
        <is>
          <t>UPPSALA LÄN</t>
        </is>
      </c>
      <c r="G503" t="inlineStr">
        <is>
          <t>HEBY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46326</v>
      </c>
      <c r="F504" t="inlineStr">
        <is>
          <t>UPPSALA LÄN</t>
        </is>
      </c>
      <c r="G504" t="inlineStr">
        <is>
          <t>HEBY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45117</v>
      </c>
      <c r="E505" s="1" t="n">
        <v>46326</v>
      </c>
      <c r="F505" t="inlineStr">
        <is>
          <t>UPPSALA LÄN</t>
        </is>
      </c>
      <c r="G505" t="inlineStr">
        <is>
          <t>HEBY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45117</v>
      </c>
      <c r="E506" s="1" t="n">
        <v>46326</v>
      </c>
      <c r="F506" t="inlineStr">
        <is>
          <t>UPPSALA LÄN</t>
        </is>
      </c>
      <c r="G506" t="inlineStr">
        <is>
          <t>HEBY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58914-2023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46326</v>
      </c>
      <c r="F507" t="inlineStr">
        <is>
          <t>UPPSALA LÄN</t>
        </is>
      </c>
      <c r="G507" t="inlineStr">
        <is>
          <t>HEBY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62650-2022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44925</v>
      </c>
      <c r="E508" s="1" t="n">
        <v>46326</v>
      </c>
      <c r="F508" t="inlineStr">
        <is>
          <t>UPPSALA LÄN</t>
        </is>
      </c>
      <c r="G508" t="inlineStr">
        <is>
          <t>HEBY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11573-2025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45727</v>
      </c>
      <c r="E509" s="1" t="n">
        <v>46326</v>
      </c>
      <c r="F509" t="inlineStr">
        <is>
          <t>UPPSALA LÄN</t>
        </is>
      </c>
      <c r="G509" t="inlineStr">
        <is>
          <t>HEBY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46326</v>
      </c>
      <c r="F510" t="inlineStr">
        <is>
          <t>UPPSALA LÄN</t>
        </is>
      </c>
      <c r="G510" t="inlineStr">
        <is>
          <t>HEBY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46326</v>
      </c>
      <c r="F511" t="inlineStr">
        <is>
          <t>UPPSALA LÄN</t>
        </is>
      </c>
      <c r="G511" t="inlineStr">
        <is>
          <t>HEBY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9815-2022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44620</v>
      </c>
      <c r="E512" s="1" t="n">
        <v>46326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39025-2026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46326</v>
      </c>
      <c r="F513" t="inlineStr">
        <is>
          <t>UPPSALA LÄN</t>
        </is>
      </c>
      <c r="G513" t="inlineStr">
        <is>
          <t>HEBY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39687-2026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46326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39555-2026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46326</v>
      </c>
      <c r="F515" t="inlineStr">
        <is>
          <t>UPPSALA LÄN</t>
        </is>
      </c>
      <c r="G515" t="inlineStr">
        <is>
          <t>HEBY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46289</v>
      </c>
      <c r="E516" s="1" t="n">
        <v>46326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öst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46326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46326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öst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46289</v>
      </c>
      <c r="E519" s="1" t="n">
        <v>46326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öst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39549-2026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46289</v>
      </c>
      <c r="E520" s="1" t="n">
        <v>46326</v>
      </c>
      <c r="F520" t="inlineStr">
        <is>
          <t>UPPSALA LÄN</t>
        </is>
      </c>
      <c r="G520" t="inlineStr">
        <is>
          <t>HEBY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46326</v>
      </c>
      <c r="F521" t="inlineStr">
        <is>
          <t>UPPSALA LÄN</t>
        </is>
      </c>
      <c r="G521" t="inlineStr">
        <is>
          <t>HEBY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40219-2026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46326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öst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46326</v>
      </c>
      <c r="F523" t="inlineStr">
        <is>
          <t>UPPSALA LÄN</t>
        </is>
      </c>
      <c r="G523" t="inlineStr">
        <is>
          <t>HEBY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45394</v>
      </c>
      <c r="E524" s="1" t="n">
        <v>46326</v>
      </c>
      <c r="F524" t="inlineStr">
        <is>
          <t>UPPSALA LÄN</t>
        </is>
      </c>
      <c r="G524" t="inlineStr">
        <is>
          <t>HEBY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46326</v>
      </c>
      <c r="F525" t="inlineStr">
        <is>
          <t>UPPSALA LÄN</t>
        </is>
      </c>
      <c r="G525" t="inlineStr">
        <is>
          <t>HEBY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13213-2022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44644</v>
      </c>
      <c r="E526" s="1" t="n">
        <v>46326</v>
      </c>
      <c r="F526" t="inlineStr">
        <is>
          <t>UPPSALA LÄN</t>
        </is>
      </c>
      <c r="G526" t="inlineStr">
        <is>
          <t>HEBY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45355</v>
      </c>
      <c r="E527" s="1" t="n">
        <v>46326</v>
      </c>
      <c r="F527" t="inlineStr">
        <is>
          <t>UPPSALA LÄN</t>
        </is>
      </c>
      <c r="G527" t="inlineStr">
        <is>
          <t>HEBY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13601-2024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45390</v>
      </c>
      <c r="E528" s="1" t="n">
        <v>46326</v>
      </c>
      <c r="F528" t="inlineStr">
        <is>
          <t>UPPSALA LÄN</t>
        </is>
      </c>
      <c r="G528" t="inlineStr">
        <is>
          <t>HEBY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46326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öst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34270-2026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46326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40610-2026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46295</v>
      </c>
      <c r="E531" s="1" t="n">
        <v>46326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öst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46326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3234-2023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44946</v>
      </c>
      <c r="E533" s="1" t="n">
        <v>46326</v>
      </c>
      <c r="F533" t="inlineStr">
        <is>
          <t>UPPSALA LÄN</t>
        </is>
      </c>
      <c r="G533" t="inlineStr">
        <is>
          <t>HEBY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46326</v>
      </c>
      <c r="F534" t="inlineStr">
        <is>
          <t>UPPSALA LÄN</t>
        </is>
      </c>
      <c r="G534" t="inlineStr">
        <is>
          <t>HEBY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45133</v>
      </c>
      <c r="E535" s="1" t="n">
        <v>46326</v>
      </c>
      <c r="F535" t="inlineStr">
        <is>
          <t>UPPSALA LÄN</t>
        </is>
      </c>
      <c r="G535" t="inlineStr">
        <is>
          <t>HEBY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48948-2023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45209</v>
      </c>
      <c r="E536" s="1" t="n">
        <v>46326</v>
      </c>
      <c r="F536" t="inlineStr">
        <is>
          <t>UPPSALA LÄN</t>
        </is>
      </c>
      <c r="G536" t="inlineStr">
        <is>
          <t>HEBY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45112</v>
      </c>
      <c r="E537" s="1" t="n">
        <v>46326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12.3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46326</v>
      </c>
      <c r="F538" t="inlineStr">
        <is>
          <t>UPPSALA LÄN</t>
        </is>
      </c>
      <c r="G538" t="inlineStr">
        <is>
          <t>HEBY</t>
        </is>
      </c>
      <c r="H538" t="inlineStr">
        <is>
          <t>Kyrkan</t>
        </is>
      </c>
      <c r="I538" t="n">
        <v>10.6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46326</v>
      </c>
      <c r="F539" t="inlineStr">
        <is>
          <t>UPPSALA LÄN</t>
        </is>
      </c>
      <c r="G539" t="inlineStr">
        <is>
          <t>HEBY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40994-2026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46297</v>
      </c>
      <c r="E540" s="1" t="n">
        <v>46326</v>
      </c>
      <c r="F540" t="inlineStr">
        <is>
          <t>UPPSALA LÄN</t>
        </is>
      </c>
      <c r="G540" t="inlineStr">
        <is>
          <t>HEBY</t>
        </is>
      </c>
      <c r="I540" t="n">
        <v>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52796-2024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45610</v>
      </c>
      <c r="E541" s="1" t="n">
        <v>46326</v>
      </c>
      <c r="F541" t="inlineStr">
        <is>
          <t>UPPSALA LÄN</t>
        </is>
      </c>
      <c r="G541" t="inlineStr">
        <is>
          <t>HEBY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40746-2026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46296</v>
      </c>
      <c r="E542" s="1" t="n">
        <v>46326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öst AB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34334-2026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46326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40657-2026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46296</v>
      </c>
      <c r="E544" s="1" t="n">
        <v>46326</v>
      </c>
      <c r="F544" t="inlineStr">
        <is>
          <t>UPPSALA LÄN</t>
        </is>
      </c>
      <c r="G544" t="inlineStr">
        <is>
          <t>HEBY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46326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46326</v>
      </c>
      <c r="F546" t="inlineStr">
        <is>
          <t>UPPSALA LÄN</t>
        </is>
      </c>
      <c r="G546" t="inlineStr">
        <is>
          <t>HEBY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46326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öst AB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40742-2026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46296</v>
      </c>
      <c r="E548" s="1" t="n">
        <v>46326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öst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46326</v>
      </c>
      <c r="F549" t="inlineStr">
        <is>
          <t>UPPSALA LÄN</t>
        </is>
      </c>
      <c r="G549" t="inlineStr">
        <is>
          <t>HEBY</t>
        </is>
      </c>
      <c r="H549" t="inlineStr">
        <is>
          <t>Kyrkan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40651-2026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46296</v>
      </c>
      <c r="E550" s="1" t="n">
        <v>46326</v>
      </c>
      <c r="F550" t="inlineStr">
        <is>
          <t>UPPSALA LÄN</t>
        </is>
      </c>
      <c r="G550" t="inlineStr">
        <is>
          <t>HEBY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34281-2026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46326</v>
      </c>
      <c r="F551" t="inlineStr">
        <is>
          <t>UPPSALA LÄN</t>
        </is>
      </c>
      <c r="G551" t="inlineStr">
        <is>
          <t>HEBY</t>
        </is>
      </c>
      <c r="H551" t="inlineStr">
        <is>
          <t>Allmännings- och besparingsskogar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40743-2026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46296</v>
      </c>
      <c r="E552" s="1" t="n">
        <v>46326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45317</v>
      </c>
      <c r="E553" s="1" t="n">
        <v>46326</v>
      </c>
      <c r="F553" t="inlineStr">
        <is>
          <t>UPPSALA LÄN</t>
        </is>
      </c>
      <c r="G553" t="inlineStr">
        <is>
          <t>HEBY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46326</v>
      </c>
      <c r="F554" t="inlineStr">
        <is>
          <t>UPPSALA LÄN</t>
        </is>
      </c>
      <c r="G554" t="inlineStr">
        <is>
          <t>HEBY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46300</v>
      </c>
      <c r="E555" s="1" t="n">
        <v>46326</v>
      </c>
      <c r="F555" t="inlineStr">
        <is>
          <t>UPPSALA LÄN</t>
        </is>
      </c>
      <c r="G555" t="inlineStr">
        <is>
          <t>HEBY</t>
        </is>
      </c>
      <c r="I555" t="n">
        <v>17.5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46301</v>
      </c>
      <c r="E556" s="1" t="n">
        <v>46326</v>
      </c>
      <c r="F556" t="inlineStr">
        <is>
          <t>UPPSALA LÄN</t>
        </is>
      </c>
      <c r="G556" t="inlineStr">
        <is>
          <t>HEBY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46326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46326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46301</v>
      </c>
      <c r="E559" s="1" t="n">
        <v>46326</v>
      </c>
      <c r="F559" t="inlineStr">
        <is>
          <t>UPPSALA LÄN</t>
        </is>
      </c>
      <c r="G559" t="inlineStr">
        <is>
          <t>HEBY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46326</v>
      </c>
      <c r="F560" t="inlineStr">
        <is>
          <t>UPPSALA LÄN</t>
        </is>
      </c>
      <c r="G560" t="inlineStr">
        <is>
          <t>HEBY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46326</v>
      </c>
      <c r="F561" t="inlineStr">
        <is>
          <t>UPPSALA LÄN</t>
        </is>
      </c>
      <c r="G561" t="inlineStr">
        <is>
          <t>HEBY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34775-2026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46326</v>
      </c>
      <c r="F562" t="inlineStr">
        <is>
          <t>UPPSALA LÄN</t>
        </is>
      </c>
      <c r="G562" t="inlineStr">
        <is>
          <t>HEBY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46326</v>
      </c>
      <c r="F563" t="inlineStr">
        <is>
          <t>UPPSALA LÄN</t>
        </is>
      </c>
      <c r="G563" t="inlineStr">
        <is>
          <t>HEBY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46326</v>
      </c>
      <c r="F564" t="inlineStr">
        <is>
          <t>UPPSALA LÄN</t>
        </is>
      </c>
      <c r="G564" t="inlineStr">
        <is>
          <t>HEBY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41344-2026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46301</v>
      </c>
      <c r="E565" s="1" t="n">
        <v>46326</v>
      </c>
      <c r="F565" t="inlineStr">
        <is>
          <t>UPPSALA LÄN</t>
        </is>
      </c>
      <c r="G565" t="inlineStr">
        <is>
          <t>HEBY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41573-2026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46301</v>
      </c>
      <c r="E566" s="1" t="n">
        <v>46326</v>
      </c>
      <c r="F566" t="inlineStr">
        <is>
          <t>UPPSALA LÄN</t>
        </is>
      </c>
      <c r="G566" t="inlineStr">
        <is>
          <t>HEBY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46326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46326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34579-2026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46326</v>
      </c>
      <c r="F569" t="inlineStr">
        <is>
          <t>UPPSALA LÄN</t>
        </is>
      </c>
      <c r="G569" t="inlineStr">
        <is>
          <t>HEBY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34610-2026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46326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41607-2026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46302</v>
      </c>
      <c r="E571" s="1" t="n">
        <v>46326</v>
      </c>
      <c r="F571" t="inlineStr">
        <is>
          <t>UPPSALA LÄN</t>
        </is>
      </c>
      <c r="G571" t="inlineStr">
        <is>
          <t>HEBY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46302</v>
      </c>
      <c r="E572" s="1" t="n">
        <v>46326</v>
      </c>
      <c r="F572" t="inlineStr">
        <is>
          <t>UPPSALA LÄN</t>
        </is>
      </c>
      <c r="G572" t="inlineStr">
        <is>
          <t>HEBY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45786</v>
      </c>
      <c r="E573" s="1" t="n">
        <v>46326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45827</v>
      </c>
      <c r="E574" s="1" t="n">
        <v>46326</v>
      </c>
      <c r="F574" t="inlineStr">
        <is>
          <t>UPPSALA LÄN</t>
        </is>
      </c>
      <c r="G574" t="inlineStr">
        <is>
          <t>HEBY</t>
        </is>
      </c>
      <c r="H574" t="inlineStr">
        <is>
          <t>Övriga Aktiebolag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41599-2026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46302</v>
      </c>
      <c r="E575" s="1" t="n">
        <v>46326</v>
      </c>
      <c r="F575" t="inlineStr">
        <is>
          <t>UPPSALA LÄN</t>
        </is>
      </c>
      <c r="G575" t="inlineStr">
        <is>
          <t>HEBY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46307</v>
      </c>
      <c r="E576" s="1" t="n">
        <v>46326</v>
      </c>
      <c r="F576" t="inlineStr">
        <is>
          <t>UPPSALA LÄN</t>
        </is>
      </c>
      <c r="G576" t="inlineStr">
        <is>
          <t>HEBY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41216-2025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45898</v>
      </c>
      <c r="E577" s="1" t="n">
        <v>46326</v>
      </c>
      <c r="F577" t="inlineStr">
        <is>
          <t>UPPSALA LÄN</t>
        </is>
      </c>
      <c r="G577" t="inlineStr">
        <is>
          <t>HEBY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42334-2026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46307</v>
      </c>
      <c r="E578" s="1" t="n">
        <v>46326</v>
      </c>
      <c r="F578" t="inlineStr">
        <is>
          <t>UPPSALA LÄN</t>
        </is>
      </c>
      <c r="G578" t="inlineStr">
        <is>
          <t>HEBY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35435-2026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46262</v>
      </c>
      <c r="E579" s="1" t="n">
        <v>46326</v>
      </c>
      <c r="F579" t="inlineStr">
        <is>
          <t>UPPSALA LÄN</t>
        </is>
      </c>
      <c r="G579" t="inlineStr">
        <is>
          <t>HEBY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41912-2026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46303</v>
      </c>
      <c r="E580" s="1" t="n">
        <v>46326</v>
      </c>
      <c r="F580" t="inlineStr">
        <is>
          <t>UPPSALA LÄN</t>
        </is>
      </c>
      <c r="G580" t="inlineStr">
        <is>
          <t>HEBY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46265</v>
      </c>
      <c r="E581" s="1" t="n">
        <v>46326</v>
      </c>
      <c r="F581" t="inlineStr">
        <is>
          <t>UPPSALA LÄN</t>
        </is>
      </c>
      <c r="G581" t="inlineStr">
        <is>
          <t>HEBY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38818-2026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46286</v>
      </c>
      <c r="E582" s="1" t="n">
        <v>46326</v>
      </c>
      <c r="F582" t="inlineStr">
        <is>
          <t>UPPSALA LÄN</t>
        </is>
      </c>
      <c r="G582" t="inlineStr">
        <is>
          <t>HEBY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46311</v>
      </c>
      <c r="E583" s="1" t="n">
        <v>46326</v>
      </c>
      <c r="F583" t="inlineStr">
        <is>
          <t>UPPSALA LÄN</t>
        </is>
      </c>
      <c r="G583" t="inlineStr">
        <is>
          <t>HEBY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43040-2026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46311</v>
      </c>
      <c r="E584" s="1" t="n">
        <v>46326</v>
      </c>
      <c r="F584" t="inlineStr">
        <is>
          <t>UPPSALA LÄN</t>
        </is>
      </c>
      <c r="G584" t="inlineStr">
        <is>
          <t>HEBY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46311</v>
      </c>
      <c r="E585" s="1" t="n">
        <v>46326</v>
      </c>
      <c r="F585" t="inlineStr">
        <is>
          <t>UPPSALA LÄN</t>
        </is>
      </c>
      <c r="G585" t="inlineStr">
        <is>
          <t>HEBY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43139-2026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46311</v>
      </c>
      <c r="E586" s="1" t="n">
        <v>46326</v>
      </c>
      <c r="F586" t="inlineStr">
        <is>
          <t>UPPSALA LÄN</t>
        </is>
      </c>
      <c r="G586" t="inlineStr">
        <is>
          <t>HEBY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36359-2026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46326</v>
      </c>
      <c r="F587" t="inlineStr">
        <is>
          <t>UPPSALA LÄN</t>
        </is>
      </c>
      <c r="G587" t="inlineStr">
        <is>
          <t>HEBY</t>
        </is>
      </c>
      <c r="H587" t="inlineStr">
        <is>
          <t>Kyrkan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46268</v>
      </c>
      <c r="E588" s="1" t="n">
        <v>46326</v>
      </c>
      <c r="F588" t="inlineStr">
        <is>
          <t>UPPSALA LÄN</t>
        </is>
      </c>
      <c r="G588" t="inlineStr">
        <is>
          <t>HEBY</t>
        </is>
      </c>
      <c r="H588" t="inlineStr">
        <is>
          <t>Kyrkan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43560-2026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46315</v>
      </c>
      <c r="E589" s="1" t="n">
        <v>46326</v>
      </c>
      <c r="F589" t="inlineStr">
        <is>
          <t>UPPSALA LÄN</t>
        </is>
      </c>
      <c r="G589" t="inlineStr">
        <is>
          <t>HEBY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46326</v>
      </c>
      <c r="F590" t="inlineStr">
        <is>
          <t>UPPSALA LÄN</t>
        </is>
      </c>
      <c r="G590" t="inlineStr">
        <is>
          <t>HEBY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43244-2026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46314</v>
      </c>
      <c r="E591" s="1" t="n">
        <v>46326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46314</v>
      </c>
      <c r="E592" s="1" t="n">
        <v>46326</v>
      </c>
      <c r="F592" t="inlineStr">
        <is>
          <t>UPPSALA LÄN</t>
        </is>
      </c>
      <c r="G592" t="inlineStr">
        <is>
          <t>HEBY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46312</v>
      </c>
      <c r="E593" s="1" t="n">
        <v>46326</v>
      </c>
      <c r="F593" t="inlineStr">
        <is>
          <t>UPPSALA LÄN</t>
        </is>
      </c>
      <c r="G593" t="inlineStr">
        <is>
          <t>HEBY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43555-2026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46315</v>
      </c>
      <c r="E594" s="1" t="n">
        <v>46326</v>
      </c>
      <c r="F594" t="inlineStr">
        <is>
          <t>UPPSALA LÄN</t>
        </is>
      </c>
      <c r="G594" t="inlineStr">
        <is>
          <t>HEBY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43562-2026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46315</v>
      </c>
      <c r="E595" s="1" t="n">
        <v>46326</v>
      </c>
      <c r="F595" t="inlineStr">
        <is>
          <t>UPPSALA LÄN</t>
        </is>
      </c>
      <c r="G595" t="inlineStr">
        <is>
          <t>HEBY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9623-2026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46326</v>
      </c>
      <c r="F596" t="inlineStr">
        <is>
          <t>UPPSALA LÄN</t>
        </is>
      </c>
      <c r="G596" t="inlineStr">
        <is>
          <t>HEBY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46314</v>
      </c>
      <c r="E597" s="1" t="n">
        <v>46326</v>
      </c>
      <c r="F597" t="inlineStr">
        <is>
          <t>UPPSALA LÄN</t>
        </is>
      </c>
      <c r="G597" t="inlineStr">
        <is>
          <t>HEBY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46326</v>
      </c>
      <c r="F598" t="inlineStr">
        <is>
          <t>UPPSALA LÄN</t>
        </is>
      </c>
      <c r="G598" t="inlineStr">
        <is>
          <t>HEBY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46312</v>
      </c>
      <c r="E599" s="1" t="n">
        <v>46326</v>
      </c>
      <c r="F599" t="inlineStr">
        <is>
          <t>UPPSALA LÄN</t>
        </is>
      </c>
      <c r="G599" t="inlineStr">
        <is>
          <t>HEBY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36738-2026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46326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46314</v>
      </c>
      <c r="E601" s="1" t="n">
        <v>46326</v>
      </c>
      <c r="F601" t="inlineStr">
        <is>
          <t>UPPSALA LÄN</t>
        </is>
      </c>
      <c r="G601" t="inlineStr">
        <is>
          <t>HEBY</t>
        </is>
      </c>
      <c r="H601" t="inlineStr">
        <is>
          <t>Bergvik skog öst AB</t>
        </is>
      </c>
      <c r="I601" t="n">
        <v>8.800000000000001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46326</v>
      </c>
      <c r="F602" t="inlineStr">
        <is>
          <t>UPPSALA LÄN</t>
        </is>
      </c>
      <c r="G602" t="inlineStr">
        <is>
          <t>HEBY</t>
        </is>
      </c>
      <c r="H602" t="inlineStr">
        <is>
          <t>Bergvik skog väst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43270-2026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46314</v>
      </c>
      <c r="E603" s="1" t="n">
        <v>46326</v>
      </c>
      <c r="F603" t="inlineStr">
        <is>
          <t>UPPSALA LÄN</t>
        </is>
      </c>
      <c r="G603" t="inlineStr">
        <is>
          <t>HEBY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46314</v>
      </c>
      <c r="E604" s="1" t="n">
        <v>46326</v>
      </c>
      <c r="F604" t="inlineStr">
        <is>
          <t>UPPSALA LÄN</t>
        </is>
      </c>
      <c r="G604" t="inlineStr">
        <is>
          <t>HEBY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46314</v>
      </c>
      <c r="E605" s="1" t="n">
        <v>46326</v>
      </c>
      <c r="F605" t="inlineStr">
        <is>
          <t>UPPSALA LÄN</t>
        </is>
      </c>
      <c r="G605" t="inlineStr">
        <is>
          <t>HEBY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36777-2026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46326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43242-2026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46314</v>
      </c>
      <c r="E607" s="1" t="n">
        <v>46326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öst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43518-2026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46315</v>
      </c>
      <c r="E608" s="1" t="n">
        <v>46326</v>
      </c>
      <c r="F608" t="inlineStr">
        <is>
          <t>UPPSALA LÄN</t>
        </is>
      </c>
      <c r="G608" t="inlineStr">
        <is>
          <t>HEBY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46326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väst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40491-2026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46295</v>
      </c>
      <c r="E610" s="1" t="n">
        <v>46326</v>
      </c>
      <c r="F610" t="inlineStr">
        <is>
          <t>UPPSALA LÄN</t>
        </is>
      </c>
      <c r="G610" t="inlineStr">
        <is>
          <t>HEBY</t>
        </is>
      </c>
      <c r="H610" t="inlineStr">
        <is>
          <t>Allmännings- och besparingsskogar</t>
        </is>
      </c>
      <c r="I610" t="n">
        <v>10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44268-2026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46318</v>
      </c>
      <c r="E611" s="1" t="n">
        <v>46326</v>
      </c>
      <c r="F611" t="inlineStr">
        <is>
          <t>UPPSALA LÄN</t>
        </is>
      </c>
      <c r="G611" t="inlineStr">
        <is>
          <t>HEBY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46278</v>
      </c>
      <c r="E612" s="1" t="n">
        <v>46326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44153-2026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46318</v>
      </c>
      <c r="E613" s="1" t="n">
        <v>46326</v>
      </c>
      <c r="F613" t="inlineStr">
        <is>
          <t>UPPSALA LÄN</t>
        </is>
      </c>
      <c r="G613" t="inlineStr">
        <is>
          <t>HEBY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44275-2026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46318</v>
      </c>
      <c r="E614" s="1" t="n">
        <v>46326</v>
      </c>
      <c r="F614" t="inlineStr">
        <is>
          <t>UPPSALA LÄN</t>
        </is>
      </c>
      <c r="G614" t="inlineStr">
        <is>
          <t>HEBY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46326</v>
      </c>
      <c r="F615" t="inlineStr">
        <is>
          <t>UPPSALA LÄN</t>
        </is>
      </c>
      <c r="G615" t="inlineStr">
        <is>
          <t>HEBY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46126</v>
      </c>
      <c r="E616" s="1" t="n">
        <v>46326</v>
      </c>
      <c r="F616" t="inlineStr">
        <is>
          <t>UPPSALA LÄN</t>
        </is>
      </c>
      <c r="G616" t="inlineStr">
        <is>
          <t>HEBY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45952</v>
      </c>
      <c r="E617" s="1" t="n">
        <v>46326</v>
      </c>
      <c r="F617" t="inlineStr">
        <is>
          <t>UPPSALA LÄN</t>
        </is>
      </c>
      <c r="G617" t="inlineStr">
        <is>
          <t>HEBY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32347-2026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46238</v>
      </c>
      <c r="E618" s="1" t="n">
        <v>46326</v>
      </c>
      <c r="F618" t="inlineStr">
        <is>
          <t>UPPSALA LÄN</t>
        </is>
      </c>
      <c r="G618" t="inlineStr">
        <is>
          <t>HEBY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44269-2026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46318</v>
      </c>
      <c r="E619" s="1" t="n">
        <v>46326</v>
      </c>
      <c r="F619" t="inlineStr">
        <is>
          <t>UPPSALA LÄN</t>
        </is>
      </c>
      <c r="G619" t="inlineStr">
        <is>
          <t>HEBY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44893-2026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46323</v>
      </c>
      <c r="E620" s="1" t="n">
        <v>46326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öst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44969-2026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46323</v>
      </c>
      <c r="E621" s="1" t="n">
        <v>46326</v>
      </c>
      <c r="F621" t="inlineStr">
        <is>
          <t>UPPSALA LÄN</t>
        </is>
      </c>
      <c r="G621" t="inlineStr">
        <is>
          <t>HEBY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46280</v>
      </c>
      <c r="E622" s="1" t="n">
        <v>46326</v>
      </c>
      <c r="F622" t="inlineStr">
        <is>
          <t>UPPSALA LÄN</t>
        </is>
      </c>
      <c r="G622" t="inlineStr">
        <is>
          <t>HEBY</t>
        </is>
      </c>
      <c r="H622" t="inlineStr">
        <is>
          <t>Sveaskog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37784-2026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46279</v>
      </c>
      <c r="E623" s="1" t="n">
        <v>46326</v>
      </c>
      <c r="F623" t="inlineStr">
        <is>
          <t>UPPSALA LÄN</t>
        </is>
      </c>
      <c r="G623" t="inlineStr">
        <is>
          <t>HEBY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37975-2026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46280</v>
      </c>
      <c r="E624" s="1" t="n">
        <v>46326</v>
      </c>
      <c r="F624" t="inlineStr">
        <is>
          <t>UPPSALA LÄN</t>
        </is>
      </c>
      <c r="G624" t="inlineStr">
        <is>
          <t>HEBY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37748-2026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46279</v>
      </c>
      <c r="E625" s="1" t="n">
        <v>46326</v>
      </c>
      <c r="F625" t="inlineStr">
        <is>
          <t>UPPSALA LÄN</t>
        </is>
      </c>
      <c r="G625" t="inlineStr">
        <is>
          <t>HEBY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44774-2026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46322</v>
      </c>
      <c r="E626" s="1" t="n">
        <v>46326</v>
      </c>
      <c r="F626" t="inlineStr">
        <is>
          <t>UPPSALA LÄN</t>
        </is>
      </c>
      <c r="G626" t="inlineStr">
        <is>
          <t>HEBY</t>
        </is>
      </c>
      <c r="H626" t="inlineStr">
        <is>
          <t>Bergvik skog öst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44622-2026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46322</v>
      </c>
      <c r="E627" s="1" t="n">
        <v>46326</v>
      </c>
      <c r="F627" t="inlineStr">
        <is>
          <t>UPPSALA LÄN</t>
        </is>
      </c>
      <c r="G627" t="inlineStr">
        <is>
          <t>HEBY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38039-2026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46280</v>
      </c>
      <c r="E628" s="1" t="n">
        <v>46326</v>
      </c>
      <c r="F628" t="inlineStr">
        <is>
          <t>UPPSALA LÄN</t>
        </is>
      </c>
      <c r="G628" t="inlineStr">
        <is>
          <t>HEBY</t>
        </is>
      </c>
      <c r="H628" t="inlineStr">
        <is>
          <t>Sveaskog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38038-2026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46280</v>
      </c>
      <c r="E629" s="1" t="n">
        <v>46326</v>
      </c>
      <c r="F629" t="inlineStr">
        <is>
          <t>UPPSALA LÄN</t>
        </is>
      </c>
      <c r="G629" t="inlineStr">
        <is>
          <t>HEBY</t>
        </is>
      </c>
      <c r="H629" t="inlineStr">
        <is>
          <t>Sveaskog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46281</v>
      </c>
      <c r="E630" s="1" t="n">
        <v>46326</v>
      </c>
      <c r="F630" t="inlineStr">
        <is>
          <t>UPPSALA LÄN</t>
        </is>
      </c>
      <c r="G630" t="inlineStr">
        <is>
          <t>HEBY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45120-2026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46324</v>
      </c>
      <c r="E631" s="1" t="n">
        <v>46326</v>
      </c>
      <c r="F631" t="inlineStr">
        <is>
          <t>UPPSALA LÄN</t>
        </is>
      </c>
      <c r="G631" t="inlineStr">
        <is>
          <t>HEBY</t>
        </is>
      </c>
      <c r="H631" t="inlineStr">
        <is>
          <t>Bergvik skog öst AB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38243-2026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46281</v>
      </c>
      <c r="E632" s="1" t="n">
        <v>46326</v>
      </c>
      <c r="F632" t="inlineStr">
        <is>
          <t>UPPSALA LÄN</t>
        </is>
      </c>
      <c r="G632" t="inlineStr">
        <is>
          <t>HEBY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45764</v>
      </c>
      <c r="E633" s="1" t="n">
        <v>46326</v>
      </c>
      <c r="F633" t="inlineStr">
        <is>
          <t>UPPSALA LÄN</t>
        </is>
      </c>
      <c r="G633" t="inlineStr">
        <is>
          <t>HEBY</t>
        </is>
      </c>
      <c r="H633" t="inlineStr">
        <is>
          <t>Bergvik skog väst AB</t>
        </is>
      </c>
      <c r="I633" t="n">
        <v>45.9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29518-2026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46326</v>
      </c>
      <c r="F634" t="inlineStr">
        <is>
          <t>UPPSALA LÄN</t>
        </is>
      </c>
      <c r="G634" t="inlineStr">
        <is>
          <t>HEBY</t>
        </is>
      </c>
      <c r="H634" t="inlineStr">
        <is>
          <t>Bergvik skog väst AB</t>
        </is>
      </c>
      <c r="I634" t="n">
        <v>47.9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1334-2022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44629</v>
      </c>
      <c r="E635" s="1" t="n">
        <v>46326</v>
      </c>
      <c r="F635" t="inlineStr">
        <is>
          <t>UPPSALA LÄN</t>
        </is>
      </c>
      <c r="G635" t="inlineStr">
        <is>
          <t>HEBY</t>
        </is>
      </c>
      <c r="I635" t="n">
        <v>6.9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10324-2021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44546</v>
      </c>
      <c r="E636" s="1" t="n">
        <v>46326</v>
      </c>
      <c r="F636" t="inlineStr">
        <is>
          <t>UPPSALA LÄN</t>
        </is>
      </c>
      <c r="G636" t="inlineStr">
        <is>
          <t>HEBY</t>
        </is>
      </c>
      <c r="H636" t="inlineStr">
        <is>
          <t>Bergvik skog väst AB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3256-2023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45191</v>
      </c>
      <c r="E637" s="1" t="n">
        <v>46326</v>
      </c>
      <c r="F637" t="inlineStr">
        <is>
          <t>UPPSALA LÄN</t>
        </is>
      </c>
      <c r="G637" t="inlineStr">
        <is>
          <t>HEBY</t>
        </is>
      </c>
      <c r="H637" t="inlineStr">
        <is>
          <t>Bergvik skog väst AB</t>
        </is>
      </c>
      <c r="I637" t="n">
        <v>20.9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517-2022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44588</v>
      </c>
      <c r="E638" s="1" t="n">
        <v>46326</v>
      </c>
      <c r="F638" t="inlineStr">
        <is>
          <t>UPPSALA LÄN</t>
        </is>
      </c>
      <c r="G638" t="inlineStr">
        <is>
          <t>HEBY</t>
        </is>
      </c>
      <c r="H638" t="inlineStr">
        <is>
          <t>Bergvik skog öst AB</t>
        </is>
      </c>
      <c r="I638" t="n">
        <v>30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4466-2022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44788</v>
      </c>
      <c r="E639" s="1" t="n">
        <v>46326</v>
      </c>
      <c r="F639" t="inlineStr">
        <is>
          <t>UPPSALA LÄN</t>
        </is>
      </c>
      <c r="G639" t="inlineStr">
        <is>
          <t>HEBY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2310-2022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44684</v>
      </c>
      <c r="E640" s="1" t="n">
        <v>46326</v>
      </c>
      <c r="F640" t="inlineStr">
        <is>
          <t>UPPSALA LÄN</t>
        </is>
      </c>
      <c r="G640" t="inlineStr">
        <is>
          <t>HEBY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4423-2024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45590</v>
      </c>
      <c r="E641" s="1" t="n">
        <v>46326</v>
      </c>
      <c r="F641" t="inlineStr">
        <is>
          <t>UPPSALA LÄN</t>
        </is>
      </c>
      <c r="G641" t="inlineStr">
        <is>
          <t>HEBY</t>
        </is>
      </c>
      <c r="H641" t="inlineStr">
        <is>
          <t>Bergvik skog väst AB</t>
        </is>
      </c>
      <c r="I641" t="n">
        <v>47.6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1385-2024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45411</v>
      </c>
      <c r="E642" s="1" t="n">
        <v>46326</v>
      </c>
      <c r="F642" t="inlineStr">
        <is>
          <t>UPPSALA LÄN</t>
        </is>
      </c>
      <c r="G642" t="inlineStr">
        <is>
          <t>HEBY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2797-2024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45485</v>
      </c>
      <c r="E643" s="1" t="n">
        <v>46326</v>
      </c>
      <c r="F643" t="inlineStr">
        <is>
          <t>UPPSALA LÄN</t>
        </is>
      </c>
      <c r="G643" t="inlineStr">
        <is>
          <t>HEBY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398-2025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45699</v>
      </c>
      <c r="E644" s="1" t="n">
        <v>46326</v>
      </c>
      <c r="F644" t="inlineStr">
        <is>
          <t>UPPSALA LÄN</t>
        </is>
      </c>
      <c r="G644" t="inlineStr">
        <is>
          <t>HEBY</t>
        </is>
      </c>
      <c r="H644" t="inlineStr">
        <is>
          <t>Bergvik skog öst AB</t>
        </is>
      </c>
      <c r="I644" t="n">
        <v>23.3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1386-2024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45411</v>
      </c>
      <c r="E645" s="1" t="n">
        <v>46326</v>
      </c>
      <c r="F645" t="inlineStr">
        <is>
          <t>UPPSALA LÄN</t>
        </is>
      </c>
      <c r="G645" t="inlineStr">
        <is>
          <t>HEBY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4464-2022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44788</v>
      </c>
      <c r="E646" s="1" t="n">
        <v>46326</v>
      </c>
      <c r="F646" t="inlineStr">
        <is>
          <t>UPPSALA LÄN</t>
        </is>
      </c>
      <c r="G646" t="inlineStr">
        <is>
          <t>HEBY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1330-2022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44629</v>
      </c>
      <c r="E647" s="1" t="n">
        <v>46326</v>
      </c>
      <c r="F647" t="inlineStr">
        <is>
          <t>UPPSALA LÄN</t>
        </is>
      </c>
      <c r="G647" t="inlineStr">
        <is>
          <t>HEBY</t>
        </is>
      </c>
      <c r="I647" t="n">
        <v>25.1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  <c r="Z647">
        <f>HYPERLINK("https://klasma.github.io/Logging_0331/knärot/S 1330-2022 karta knärot.png", "S 1330-2022")</f>
        <v/>
      </c>
      <c r="AA647">
        <f>HYPERLINK("https://klasma.github.io/Logging_0331/klagomål/S 1330-2022 FSC-klagomål.docx", "S 1330-2022")</f>
        <v/>
      </c>
      <c r="AB647">
        <f>HYPERLINK("https://klasma.github.io/Logging_0331/klagomålsmail/S 1330-2022 FSC-klagomål mail.docx", "S 1330-2022")</f>
        <v/>
      </c>
      <c r="AC647">
        <f>HYPERLINK("https://klasma.github.io/Logging_0331/tillsyn/S 1330-2022 tillsynsbegäran.docx", "S 1330-2022")</f>
        <v/>
      </c>
      <c r="AD647">
        <f>HYPERLINK("https://klasma.github.io/Logging_0331/tillsynsmail/S 1330-2022 tillsynsbegäran mail.docx", "S 1330-2022")</f>
        <v/>
      </c>
    </row>
    <row r="648" ht="15" customHeight="1">
      <c r="A648" t="inlineStr">
        <is>
          <t>S 3301-2025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45987</v>
      </c>
      <c r="E648" s="1" t="n">
        <v>46326</v>
      </c>
      <c r="F648" t="inlineStr">
        <is>
          <t>UPPSALA LÄN</t>
        </is>
      </c>
      <c r="G648" t="inlineStr">
        <is>
          <t>HEBY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3478-2025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46000</v>
      </c>
      <c r="E649" s="1" t="n">
        <v>46326</v>
      </c>
      <c r="F649" t="inlineStr">
        <is>
          <t>UPPSALA LÄN</t>
        </is>
      </c>
      <c r="G649" t="inlineStr">
        <is>
          <t>HEBY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598-2026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46085</v>
      </c>
      <c r="E650" s="1" t="n">
        <v>46326</v>
      </c>
      <c r="F650" t="inlineStr">
        <is>
          <t>UPPSALA LÄN</t>
        </is>
      </c>
      <c r="G650" t="inlineStr">
        <is>
          <t>HEBY</t>
        </is>
      </c>
      <c r="H650" t="inlineStr">
        <is>
          <t>Bergvik skog väst AB</t>
        </is>
      </c>
      <c r="I650" t="n">
        <v>43.4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1818-2026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46190</v>
      </c>
      <c r="E651" s="1" t="n">
        <v>46326</v>
      </c>
      <c r="F651" t="inlineStr">
        <is>
          <t>UPPSALA LÄN</t>
        </is>
      </c>
      <c r="G651" t="inlineStr">
        <is>
          <t>HEBY</t>
        </is>
      </c>
      <c r="H651" t="inlineStr">
        <is>
          <t>Kommuner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>
      <c r="A652" t="inlineStr">
        <is>
          <t>S 2346-2026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46273</v>
      </c>
      <c r="E652" s="1" t="n">
        <v>46326</v>
      </c>
      <c r="F652" t="inlineStr">
        <is>
          <t>UPPSALA LÄN</t>
        </is>
      </c>
      <c r="G652" t="inlineStr">
        <is>
          <t>HEBY</t>
        </is>
      </c>
      <c r="H652" t="inlineStr">
        <is>
          <t>Bergvik skog väst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2026-10-31T03:23:01Z</dcterms:created>
  <dcterms:modified xmlns:dcterms="http://purl.org/dc/terms/" xmlns:xsi="http://www.w3.org/2001/XMLSchema-instance" xsi:type="dcterms:W3CDTF">2026-10-31T03:23:02Z</dcterms:modified>
</cp:coreProperties>
</file>
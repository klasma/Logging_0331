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46296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46296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46296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46296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46296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46296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62137-2022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46296</v>
      </c>
      <c r="F14" t="inlineStr">
        <is>
          <t>UPPSALA LÄN</t>
        </is>
      </c>
      <c r="G14" t="inlineStr">
        <is>
          <t>HEBY</t>
        </is>
      </c>
      <c r="I14" t="n">
        <v>5.3</v>
      </c>
      <c r="J14" t="n">
        <v>1</v>
      </c>
      <c r="K14" t="n">
        <v>4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15</v>
      </c>
      <c r="U14" t="n">
        <v>6</v>
      </c>
      <c r="V14" s="2" t="inlineStr">
        <is>
          <t>Knärot
Ullticka
Grovticka
Grönpyrola
Trådticka
Vedticka</t>
        </is>
      </c>
      <c r="W14">
        <f>HYPERLINK("https://klasma.github.io/Logging_0331/artfynd/A 62137-2022 artfynd.xlsx", "A 62137-2022")</f>
        <v/>
      </c>
      <c r="X14">
        <f>HYPERLINK("https://klasma.github.io/Logging_0331/kartor/A 62137-2022 karta.png", "A 62137-2022")</f>
        <v/>
      </c>
      <c r="Y14">
        <f>HYPERLINK("https://klasma.github.io/Logging_0331/kartor_geotiff/A 62137-2022 georefererad karta.tif", "A 62137-2022")</f>
        <v/>
      </c>
      <c r="Z14">
        <f>HYPERLINK("https://klasma.github.io/Logging_0331/knärot/A 62137-2022 karta knärot.png", "A 62137-2022")</f>
        <v/>
      </c>
      <c r="AA14">
        <f>HYPERLINK("https://klasma.github.io/Logging_0331/klagomål/A 62137-2022 FSC-klagomål.docx", "A 62137-2022")</f>
        <v/>
      </c>
      <c r="AB14">
        <f>HYPERLINK("https://klasma.github.io/Logging_0331/klagomålsmail/A 62137-2022 FSC-klagomål mail.docx", "A 62137-2022")</f>
        <v/>
      </c>
      <c r="AC14">
        <f>HYPERLINK("https://klasma.github.io/Logging_0331/tillsyn/A 62137-2022 tillsynsbegäran.docx", "A 62137-2022")</f>
        <v/>
      </c>
      <c r="AD14">
        <f>HYPERLINK("https://klasma.github.io/Logging_0331/tillsynsmail/A 62137-2022 tillsynsbegäran mail.docx", "A 62137-2022")</f>
        <v/>
      </c>
    </row>
    <row r="15" ht="15" customHeight="1">
      <c r="A15" t="inlineStr">
        <is>
          <t>A 56075-2023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46296</v>
      </c>
      <c r="F15" t="inlineStr">
        <is>
          <t>UPPSALA LÄN</t>
        </is>
      </c>
      <c r="G15" t="inlineStr">
        <is>
          <t>HEBY</t>
        </is>
      </c>
      <c r="I15" t="n">
        <v>3.8</v>
      </c>
      <c r="J15" t="n">
        <v>1</v>
      </c>
      <c r="K15" t="n">
        <v>2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9</v>
      </c>
      <c r="U15" t="n">
        <v>0</v>
      </c>
      <c r="V15" s="2" t="inlineStr">
        <is>
          <t>Grönhjon
Ullticka
Vedtrappmossa
Jättesvampmal
Rostfläck
Blåsippa</t>
        </is>
      </c>
      <c r="W15">
        <f>HYPERLINK("https://klasma.github.io/Logging_0331/artfynd/A 56075-2023 artfynd.xlsx", "A 56075-2023")</f>
        <v/>
      </c>
      <c r="X15">
        <f>HYPERLINK("https://klasma.github.io/Logging_0331/kartor/A 56075-2023 karta.png", "A 56075-2023")</f>
        <v/>
      </c>
      <c r="Y15">
        <f>HYPERLINK("https://klasma.github.io/Logging_0331/kartor_geotiff/A 56075-2023 georefererad karta.tif", "A 56075-2023")</f>
        <v/>
      </c>
      <c r="AA15">
        <f>HYPERLINK("https://klasma.github.io/Logging_0331/klagomål/A 56075-2023 FSC-klagomål.docx", "A 56075-2023")</f>
        <v/>
      </c>
      <c r="AB15">
        <f>HYPERLINK("https://klasma.github.io/Logging_0331/klagomålsmail/A 56075-2023 FSC-klagomål mail.docx", "A 56075-2023")</f>
        <v/>
      </c>
      <c r="AC15">
        <f>HYPERLINK("https://klasma.github.io/Logging_0331/tillsyn/A 56075-2023 tillsynsbegäran.docx", "A 56075-2023")</f>
        <v/>
      </c>
      <c r="AD15">
        <f>HYPERLINK("https://klasma.github.io/Logging_0331/tillsynsmail/A 56075-2023 tillsynsbegäran mail.docx", "A 56075-2023")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46296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46296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46296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46296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46296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46296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46296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46296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46296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44525-2022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46296</v>
      </c>
      <c r="F25" t="inlineStr">
        <is>
          <t>UPPSALA LÄN</t>
        </is>
      </c>
      <c r="G25" t="inlineStr">
        <is>
          <t>HEBY</t>
        </is>
      </c>
      <c r="I25" t="n">
        <v>1.8</v>
      </c>
      <c r="J25" t="n">
        <v>1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Knärot
Bronshjon
Thomsons trägnagare
Vedticka</t>
        </is>
      </c>
      <c r="W25">
        <f>HYPERLINK("https://klasma.github.io/Logging_0331/artfynd/A 44525-2022 artfynd.xlsx", "A 44525-2022")</f>
        <v/>
      </c>
      <c r="X25">
        <f>HYPERLINK("https://klasma.github.io/Logging_0331/kartor/A 44525-2022 karta.png", "A 44525-2022")</f>
        <v/>
      </c>
      <c r="Y25">
        <f>HYPERLINK("https://klasma.github.io/Logging_0331/kartor_geotiff/A 44525-2022 georefererad karta.tif", "A 44525-2022")</f>
        <v/>
      </c>
      <c r="Z25">
        <f>HYPERLINK("https://klasma.github.io/Logging_0331/knärot/A 44525-2022 karta knärot.png", "A 44525-2022")</f>
        <v/>
      </c>
      <c r="AA25">
        <f>HYPERLINK("https://klasma.github.io/Logging_0331/klagomål/A 44525-2022 FSC-klagomål.docx", "A 44525-2022")</f>
        <v/>
      </c>
      <c r="AB25">
        <f>HYPERLINK("https://klasma.github.io/Logging_0331/klagomålsmail/A 44525-2022 FSC-klagomål mail.docx", "A 44525-2022")</f>
        <v/>
      </c>
      <c r="AC25">
        <f>HYPERLINK("https://klasma.github.io/Logging_0331/tillsyn/A 44525-2022 tillsynsbegäran.docx", "A 44525-2022")</f>
        <v/>
      </c>
      <c r="AD25">
        <f>HYPERLINK("https://klasma.github.io/Logging_0331/tillsynsmail/A 44525-2022 tillsynsbegäran mail.docx", "A 44525-2022")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46296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46296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32785-2023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46296</v>
      </c>
      <c r="F28" t="inlineStr">
        <is>
          <t>UPPSALA LÄN</t>
        </is>
      </c>
      <c r="G28" t="inlineStr">
        <is>
          <t>HEBY</t>
        </is>
      </c>
      <c r="I28" t="n">
        <v>3.1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5</v>
      </c>
      <c r="U28" t="n">
        <v>3</v>
      </c>
      <c r="V28" s="2" t="inlineStr">
        <is>
          <t>Garnlav
Talltita
Spillkråka
Huggorm</t>
        </is>
      </c>
      <c r="W28">
        <f>HYPERLINK("https://klasma.github.io/Logging_0331/artfynd/A 32785-2023 artfynd.xlsx", "A 32785-2023")</f>
        <v/>
      </c>
      <c r="X28">
        <f>HYPERLINK("https://klasma.github.io/Logging_0331/kartor/A 32785-2023 karta.png", "A 32785-2023")</f>
        <v/>
      </c>
      <c r="Y28">
        <f>HYPERLINK("https://klasma.github.io/Logging_0331/kartor_geotiff/A 32785-2023 georefererad karta.tif", "A 32785-2023")</f>
        <v/>
      </c>
      <c r="AA28">
        <f>HYPERLINK("https://klasma.github.io/Logging_0331/klagomål/A 32785-2023 FSC-klagomål.docx", "A 32785-2023")</f>
        <v/>
      </c>
      <c r="AB28">
        <f>HYPERLINK("https://klasma.github.io/Logging_0331/klagomålsmail/A 32785-2023 FSC-klagomål mail.docx", "A 32785-2023")</f>
        <v/>
      </c>
      <c r="AC28">
        <f>HYPERLINK("https://klasma.github.io/Logging_0331/tillsyn/A 32785-2023 tillsynsbegäran.docx", "A 32785-2023")</f>
        <v/>
      </c>
      <c r="AD28">
        <f>HYPERLINK("https://klasma.github.io/Logging_0331/tillsynsmail/A 32785-2023 tillsynsbegäran mail.docx", "A 32785-2023")</f>
        <v/>
      </c>
      <c r="AE28">
        <f>HYPERLINK("https://klasma.github.io/Logging_0331/fåglar/A 32785-2023 prioriterade fågelarter.docx", "A 32785-2023")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46296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46296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46296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46296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46296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44281-2024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46296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Amphicyllis globiformis
Granvivel
Skrovlig flatbagge</t>
        </is>
      </c>
      <c r="W34">
        <f>HYPERLINK("https://klasma.github.io/Logging_0331/artfynd/A 44281-2024 artfynd.xlsx", "A 44281-2024")</f>
        <v/>
      </c>
      <c r="X34">
        <f>HYPERLINK("https://klasma.github.io/Logging_0331/kartor/A 44281-2024 karta.png", "A 44281-2024")</f>
        <v/>
      </c>
      <c r="Y34">
        <f>HYPERLINK("https://klasma.github.io/Logging_0331/kartor_geotiff/A 44281-2024 georefererad karta.tif", "A 44281-2024")</f>
        <v/>
      </c>
      <c r="AA34">
        <f>HYPERLINK("https://klasma.github.io/Logging_0331/klagomål/A 44281-2024 FSC-klagomål.docx", "A 44281-2024")</f>
        <v/>
      </c>
      <c r="AB34">
        <f>HYPERLINK("https://klasma.github.io/Logging_0331/klagomålsmail/A 44281-2024 FSC-klagomål mail.docx", "A 44281-2024")</f>
        <v/>
      </c>
      <c r="AC34">
        <f>HYPERLINK("https://klasma.github.io/Logging_0331/tillsyn/A 44281-2024 tillsynsbegäran.docx", "A 44281-2024")</f>
        <v/>
      </c>
      <c r="AD34">
        <f>HYPERLINK("https://klasma.github.io/Logging_0331/tillsynsmail/A 44281-2024 tillsynsbegäran mail.docx", "A 44281-2024")</f>
        <v/>
      </c>
    </row>
    <row r="35" ht="15" customHeight="1">
      <c r="A35" t="inlineStr">
        <is>
          <t>A 54814-2024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46296</v>
      </c>
      <c r="F35" t="inlineStr">
        <is>
          <t>UPPSALA LÄN</t>
        </is>
      </c>
      <c r="G35" t="inlineStr">
        <is>
          <t>HEBY</t>
        </is>
      </c>
      <c r="I35" t="n">
        <v>2.5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Knärot
Talltita
Kungsfågel</t>
        </is>
      </c>
      <c r="W35">
        <f>HYPERLINK("https://klasma.github.io/Logging_0331/artfynd/A 54814-2024 artfynd.xlsx", "A 54814-2024")</f>
        <v/>
      </c>
      <c r="X35">
        <f>HYPERLINK("https://klasma.github.io/Logging_0331/kartor/A 54814-2024 karta.png", "A 54814-2024")</f>
        <v/>
      </c>
      <c r="Y35">
        <f>HYPERLINK("https://klasma.github.io/Logging_0331/kartor_geotiff/A 54814-2024 georefererad karta.tif", "A 54814-2024")</f>
        <v/>
      </c>
      <c r="Z35">
        <f>HYPERLINK("https://klasma.github.io/Logging_0331/knärot/A 54814-2024 karta knärot.png", "A 54814-2024")</f>
        <v/>
      </c>
      <c r="AA35">
        <f>HYPERLINK("https://klasma.github.io/Logging_0331/klagomål/A 54814-2024 FSC-klagomål.docx", "A 54814-2024")</f>
        <v/>
      </c>
      <c r="AB35">
        <f>HYPERLINK("https://klasma.github.io/Logging_0331/klagomålsmail/A 54814-2024 FSC-klagomål mail.docx", "A 54814-2024")</f>
        <v/>
      </c>
      <c r="AC35">
        <f>HYPERLINK("https://klasma.github.io/Logging_0331/tillsyn/A 54814-2024 tillsynsbegäran.docx", "A 54814-2024")</f>
        <v/>
      </c>
      <c r="AD35">
        <f>HYPERLINK("https://klasma.github.io/Logging_0331/tillsynsmail/A 54814-2024 tillsynsbegäran mail.docx", "A 54814-2024")</f>
        <v/>
      </c>
      <c r="AE35">
        <f>HYPERLINK("https://klasma.github.io/Logging_0331/fåglar/A 54814-2024 prioriterade fågelarter.docx", "A 54814-2024")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46296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46296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46296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46296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46296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40662-2023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46296</v>
      </c>
      <c r="F41" t="inlineStr">
        <is>
          <t>UPPSALA LÄN</t>
        </is>
      </c>
      <c r="G41" t="inlineStr">
        <is>
          <t>HEBY</t>
        </is>
      </c>
      <c r="H41" t="inlineStr">
        <is>
          <t>Övriga Aktiebolag</t>
        </is>
      </c>
      <c r="I41" t="n">
        <v>5.7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3</v>
      </c>
      <c r="U41" t="n">
        <v>0</v>
      </c>
      <c r="V41" s="2" t="inlineStr">
        <is>
          <t>Knärot
Fläcknycklar</t>
        </is>
      </c>
      <c r="W41">
        <f>HYPERLINK("https://klasma.github.io/Logging_0331/artfynd/A 40662-2023 artfynd.xlsx", "A 40662-2023")</f>
        <v/>
      </c>
      <c r="X41">
        <f>HYPERLINK("https://klasma.github.io/Logging_0331/kartor/A 40662-2023 karta.png", "A 40662-2023")</f>
        <v/>
      </c>
      <c r="Y41">
        <f>HYPERLINK("https://klasma.github.io/Logging_0331/kartor_geotiff/A 40662-2023 georefererad karta.tif", "A 40662-2023")</f>
        <v/>
      </c>
      <c r="Z41">
        <f>HYPERLINK("https://klasma.github.io/Logging_0331/knärot/A 40662-2023 karta knärot.png", "A 40662-2023")</f>
        <v/>
      </c>
      <c r="AA41">
        <f>HYPERLINK("https://klasma.github.io/Logging_0331/klagomål/A 40662-2023 FSC-klagomål.docx", "A 40662-2023")</f>
        <v/>
      </c>
      <c r="AB41">
        <f>HYPERLINK("https://klasma.github.io/Logging_0331/klagomålsmail/A 40662-2023 FSC-klagomål mail.docx", "A 40662-2023")</f>
        <v/>
      </c>
      <c r="AC41">
        <f>HYPERLINK("https://klasma.github.io/Logging_0331/tillsyn/A 40662-2023 tillsynsbegäran.docx", "A 40662-2023")</f>
        <v/>
      </c>
      <c r="AD41">
        <f>HYPERLINK("https://klasma.github.io/Logging_0331/tillsynsmail/A 40662-2023 tillsynsbegäran mail.docx", "A 40662-2023")</f>
        <v/>
      </c>
    </row>
    <row r="42" ht="15" customHeight="1">
      <c r="A42" t="inlineStr">
        <is>
          <t>A 17972-2024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45419</v>
      </c>
      <c r="E42" s="1" t="n">
        <v>46296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9.699999999999999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2</v>
      </c>
      <c r="V42" s="2" t="inlineStr">
        <is>
          <t>Spädstarr
Repestarr</t>
        </is>
      </c>
      <c r="W42">
        <f>HYPERLINK("https://klasma.github.io/Logging_0331/artfynd/A 17972-2024 artfynd.xlsx", "A 17972-2024")</f>
        <v/>
      </c>
      <c r="X42">
        <f>HYPERLINK("https://klasma.github.io/Logging_0331/kartor/A 17972-2024 karta.png", "A 17972-2024")</f>
        <v/>
      </c>
      <c r="Y42">
        <f>HYPERLINK("https://klasma.github.io/Logging_0331/kartor_geotiff/A 17972-2024 georefererad karta.tif", "A 17972-2024")</f>
        <v/>
      </c>
      <c r="AA42">
        <f>HYPERLINK("https://klasma.github.io/Logging_0331/klagomål/A 17972-2024 FSC-klagomål.docx", "A 17972-2024")</f>
        <v/>
      </c>
      <c r="AB42">
        <f>HYPERLINK("https://klasma.github.io/Logging_0331/klagomålsmail/A 17972-2024 FSC-klagomål mail.docx", "A 17972-2024")</f>
        <v/>
      </c>
      <c r="AC42">
        <f>HYPERLINK("https://klasma.github.io/Logging_0331/tillsyn/A 17972-2024 tillsynsbegäran.docx", "A 17972-2024")</f>
        <v/>
      </c>
      <c r="AD42">
        <f>HYPERLINK("https://klasma.github.io/Logging_0331/tillsynsmail/A 17972-2024 tillsynsbegäran mail.docx", "A 17972-2024")</f>
        <v/>
      </c>
    </row>
    <row r="43" ht="15" customHeight="1">
      <c r="A43" t="inlineStr">
        <is>
          <t>A 63982-2023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45278</v>
      </c>
      <c r="E43" s="1" t="n">
        <v>46296</v>
      </c>
      <c r="F43" t="inlineStr">
        <is>
          <t>UPPSALA LÄN</t>
        </is>
      </c>
      <c r="G43" t="inlineStr">
        <is>
          <t>HEBY</t>
        </is>
      </c>
      <c r="H43" t="inlineStr">
        <is>
          <t>Kyrkan</t>
        </is>
      </c>
      <c r="I43" t="n">
        <v>1.6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Större flatbagge
Tjäder</t>
        </is>
      </c>
      <c r="W43">
        <f>HYPERLINK("https://klasma.github.io/Logging_0331/artfynd/A 63982-2023 artfynd.xlsx", "A 63982-2023")</f>
        <v/>
      </c>
      <c r="X43">
        <f>HYPERLINK("https://klasma.github.io/Logging_0331/kartor/A 63982-2023 karta.png", "A 63982-2023")</f>
        <v/>
      </c>
      <c r="Y43">
        <f>HYPERLINK("https://klasma.github.io/Logging_0331/kartor_geotiff/A 63982-2023 georefererad karta.tif", "A 63982-2023")</f>
        <v/>
      </c>
      <c r="AA43">
        <f>HYPERLINK("https://klasma.github.io/Logging_0331/klagomål/A 63982-2023 FSC-klagomål.docx", "A 63982-2023")</f>
        <v/>
      </c>
      <c r="AB43">
        <f>HYPERLINK("https://klasma.github.io/Logging_0331/klagomålsmail/A 63982-2023 FSC-klagomål mail.docx", "A 63982-2023")</f>
        <v/>
      </c>
      <c r="AC43">
        <f>HYPERLINK("https://klasma.github.io/Logging_0331/tillsyn/A 63982-2023 tillsynsbegäran.docx", "A 63982-2023")</f>
        <v/>
      </c>
      <c r="AD43">
        <f>HYPERLINK("https://klasma.github.io/Logging_0331/tillsynsmail/A 63982-2023 tillsynsbegäran mail.docx", "A 63982-2023")</f>
        <v/>
      </c>
      <c r="AE43">
        <f>HYPERLINK("https://klasma.github.io/Logging_0331/fåglar/A 63982-2023 prioriterade fågelarter.docx", "A 63982-2023")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46296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46296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41219-2025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46296</v>
      </c>
      <c r="F46" t="inlineStr">
        <is>
          <t>UPPSALA LÄN</t>
        </is>
      </c>
      <c r="G46" t="inlineStr">
        <is>
          <t>HEBY</t>
        </is>
      </c>
      <c r="H46" t="inlineStr">
        <is>
          <t>Bergvik skog väst AB</t>
        </is>
      </c>
      <c r="I46" t="n">
        <v>22.2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8</v>
      </c>
      <c r="U46" t="n">
        <v>0</v>
      </c>
      <c r="V46" s="2" t="inlineStr">
        <is>
          <t>Lammticka
Motaggsvamp</t>
        </is>
      </c>
      <c r="W46">
        <f>HYPERLINK("https://klasma.github.io/Logging_0331/artfynd/A 41219-2025 artfynd.xlsx", "A 41219-2025")</f>
        <v/>
      </c>
      <c r="X46">
        <f>HYPERLINK("https://klasma.github.io/Logging_0331/kartor/A 41219-2025 karta.png", "A 41219-2025")</f>
        <v/>
      </c>
      <c r="Y46">
        <f>HYPERLINK("https://klasma.github.io/Logging_0331/kartor_geotiff/A 41219-2025 georefererad karta.tif", "A 41219-2025")</f>
        <v/>
      </c>
      <c r="AA46">
        <f>HYPERLINK("https://klasma.github.io/Logging_0331/klagomål/A 41219-2025 FSC-klagomål.docx", "A 41219-2025")</f>
        <v/>
      </c>
      <c r="AB46">
        <f>HYPERLINK("https://klasma.github.io/Logging_0331/klagomålsmail/A 41219-2025 FSC-klagomål mail.docx", "A 41219-2025")</f>
        <v/>
      </c>
      <c r="AC46">
        <f>HYPERLINK("https://klasma.github.io/Logging_0331/tillsyn/A 41219-2025 tillsynsbegäran.docx", "A 41219-2025")</f>
        <v/>
      </c>
      <c r="AD46">
        <f>HYPERLINK("https://klasma.github.io/Logging_0331/tillsynsmail/A 41219-2025 tillsynsbegäran mail.docx", "A 41219-2025")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46296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46296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46296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46296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46296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46296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46296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46296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63940-2023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45278</v>
      </c>
      <c r="E56" s="1" t="n">
        <v>46296</v>
      </c>
      <c r="F56" t="inlineStr">
        <is>
          <t>UPPSALA LÄN</t>
        </is>
      </c>
      <c r="G56" t="inlineStr">
        <is>
          <t>HEBY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Gullpudra</t>
        </is>
      </c>
      <c r="W56">
        <f>HYPERLINK("https://klasma.github.io/Logging_0331/artfynd/A 63940-2023 artfynd.xlsx", "A 63940-2023")</f>
        <v/>
      </c>
      <c r="X56">
        <f>HYPERLINK("https://klasma.github.io/Logging_0331/kartor/A 63940-2023 karta.png", "A 63940-2023")</f>
        <v/>
      </c>
      <c r="Y56">
        <f>HYPERLINK("https://klasma.github.io/Logging_0331/kartor_geotiff/A 63940-2023 georefererad karta.tif", "A 63940-2023")</f>
        <v/>
      </c>
      <c r="AA56">
        <f>HYPERLINK("https://klasma.github.io/Logging_0331/klagomål/A 63940-2023 FSC-klagomål.docx", "A 63940-2023")</f>
        <v/>
      </c>
      <c r="AB56">
        <f>HYPERLINK("https://klasma.github.io/Logging_0331/klagomålsmail/A 63940-2023 FSC-klagomål mail.docx", "A 63940-2023")</f>
        <v/>
      </c>
      <c r="AC56">
        <f>HYPERLINK("https://klasma.github.io/Logging_0331/tillsyn/A 63940-2023 tillsynsbegäran.docx", "A 63940-2023")</f>
        <v/>
      </c>
      <c r="AD56">
        <f>HYPERLINK("https://klasma.github.io/Logging_0331/tillsynsmail/A 63940-2023 tillsynsbegäran mail.docx", "A 63940-2023")</f>
        <v/>
      </c>
    </row>
    <row r="57" ht="15" customHeight="1">
      <c r="A57" t="inlineStr">
        <is>
          <t>A 61598-2021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46296</v>
      </c>
      <c r="F57" t="inlineStr">
        <is>
          <t>UPPSALA LÄN</t>
        </is>
      </c>
      <c r="G57" t="inlineStr">
        <is>
          <t>HEBY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Trana</t>
        </is>
      </c>
      <c r="W57">
        <f>HYPERLINK("https://klasma.github.io/Logging_0331/artfynd/A 61598-2021 artfynd.xlsx", "A 61598-2021")</f>
        <v/>
      </c>
      <c r="X57">
        <f>HYPERLINK("https://klasma.github.io/Logging_0331/kartor/A 61598-2021 karta.png", "A 61598-2021")</f>
        <v/>
      </c>
      <c r="Y57">
        <f>HYPERLINK("https://klasma.github.io/Logging_0331/kartor_geotiff/A 61598-2021 georefererad karta.tif", "A 61598-2021")</f>
        <v/>
      </c>
      <c r="AA57">
        <f>HYPERLINK("https://klasma.github.io/Logging_0331/klagomål/A 61598-2021 FSC-klagomål.docx", "A 61598-2021")</f>
        <v/>
      </c>
      <c r="AB57">
        <f>HYPERLINK("https://klasma.github.io/Logging_0331/klagomålsmail/A 61598-2021 FSC-klagomål mail.docx", "A 61598-2021")</f>
        <v/>
      </c>
      <c r="AC57">
        <f>HYPERLINK("https://klasma.github.io/Logging_0331/tillsyn/A 61598-2021 tillsynsbegäran.docx", "A 61598-2021")</f>
        <v/>
      </c>
      <c r="AD57">
        <f>HYPERLINK("https://klasma.github.io/Logging_0331/tillsynsmail/A 61598-2021 tillsynsbegäran mail.docx", "A 61598-2021")</f>
        <v/>
      </c>
      <c r="AE57">
        <f>HYPERLINK("https://klasma.github.io/Logging_0331/fåglar/A 61598-2021 prioriterade fågelarter.docx", "A 61598-2021")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46296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46296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46296</v>
      </c>
      <c r="F60" t="inlineStr">
        <is>
          <t>UPPSALA LÄN</t>
        </is>
      </c>
      <c r="G60" t="inlineStr">
        <is>
          <t>HEBY</t>
        </is>
      </c>
      <c r="I60" t="n">
        <v>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11</v>
      </c>
      <c r="U60" t="n">
        <v>0</v>
      </c>
      <c r="V60" s="2" t="inlineStr">
        <is>
          <t>Motaggsvamp</t>
        </is>
      </c>
      <c r="W60">
        <f>HYPERLINK("https://klasma.github.io/Logging_0331/artfynd/A 8624-2024 artfynd.xlsx", "A 8624-2024")</f>
        <v/>
      </c>
      <c r="X60">
        <f>HYPERLINK("https://klasma.github.io/Logging_0331/kartor/A 8624-2024 karta.png", "A 8624-2024")</f>
        <v/>
      </c>
      <c r="Y60">
        <f>HYPERLINK("https://klasma.github.io/Logging_0331/kartor_geotiff/A 8624-2024 georefererad karta.tif", "A 8624-2024")</f>
        <v/>
      </c>
      <c r="AA60">
        <f>HYPERLINK("https://klasma.github.io/Logging_0331/klagomål/A 8624-2024 FSC-klagomål.docx", "A 8624-2024")</f>
        <v/>
      </c>
      <c r="AB60">
        <f>HYPERLINK("https://klasma.github.io/Logging_0331/klagomålsmail/A 8624-2024 FSC-klagomål mail.docx", "A 8624-2024")</f>
        <v/>
      </c>
      <c r="AC60">
        <f>HYPERLINK("https://klasma.github.io/Logging_0331/tillsyn/A 8624-2024 tillsynsbegäran.docx", "A 8624-2024")</f>
        <v/>
      </c>
      <c r="AD60">
        <f>HYPERLINK("https://klasma.github.io/Logging_0331/tillsynsmail/A 8624-2024 tillsynsbegäran mail.docx", "A 8624-2024")</f>
        <v/>
      </c>
    </row>
    <row r="61" ht="15" customHeight="1">
      <c r="A61" t="inlineStr">
        <is>
          <t>A 31569-2023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46296</v>
      </c>
      <c r="F61" t="inlineStr">
        <is>
          <t>UPPSALA LÄN</t>
        </is>
      </c>
      <c r="G61" t="inlineStr">
        <is>
          <t>HEBY</t>
        </is>
      </c>
      <c r="I61" t="n">
        <v>2.5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HYPERLINK("https://klasma.github.io/Logging_0331/artfynd/A 31569-2023 artfynd.xlsx", "A 31569-2023")</f>
        <v/>
      </c>
      <c r="X61">
        <f>HYPERLINK("https://klasma.github.io/Logging_0331/kartor/A 31569-2023 karta.png", "A 31569-2023")</f>
        <v/>
      </c>
      <c r="Y61">
        <f>HYPERLINK("https://klasma.github.io/Logging_0331/kartor_geotiff/A 31569-2023 georefererad karta.tif", "A 31569-2023")</f>
        <v/>
      </c>
      <c r="Z61">
        <f>HYPERLINK("https://klasma.github.io/Logging_0331/knärot/A 31569-2023 karta knärot.png", "A 31569-2023")</f>
        <v/>
      </c>
      <c r="AA61">
        <f>HYPERLINK("https://klasma.github.io/Logging_0331/klagomål/A 31569-2023 FSC-klagomål.docx", "A 31569-2023")</f>
        <v/>
      </c>
      <c r="AB61">
        <f>HYPERLINK("https://klasma.github.io/Logging_0331/klagomålsmail/A 31569-2023 FSC-klagomål mail.docx", "A 31569-2023")</f>
        <v/>
      </c>
      <c r="AC61">
        <f>HYPERLINK("https://klasma.github.io/Logging_0331/tillsyn/A 31569-2023 tillsynsbegäran.docx", "A 31569-2023")</f>
        <v/>
      </c>
      <c r="AD61">
        <f>HYPERLINK("https://klasma.github.io/Logging_0331/tillsynsmail/A 31569-2023 tillsynsbegäran mail.docx", "A 31569-2023")</f>
        <v/>
      </c>
    </row>
    <row r="62" ht="15" customHeight="1">
      <c r="A62" t="inlineStr">
        <is>
          <t>A 55663-2024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46296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HYPERLINK("https://klasma.github.io/Logging_0331/artfynd/A 55663-2024 artfynd.xlsx", "A 55663-2024")</f>
        <v/>
      </c>
      <c r="X62">
        <f>HYPERLINK("https://klasma.github.io/Logging_0331/kartor/A 55663-2024 karta.png", "A 55663-2024")</f>
        <v/>
      </c>
      <c r="Y62">
        <f>HYPERLINK("https://klasma.github.io/Logging_0331/kartor_geotiff/A 55663-2024 georefererad karta.tif", "A 55663-2024")</f>
        <v/>
      </c>
      <c r="AA62">
        <f>HYPERLINK("https://klasma.github.io/Logging_0331/klagomål/A 55663-2024 FSC-klagomål.docx", "A 55663-2024")</f>
        <v/>
      </c>
      <c r="AB62">
        <f>HYPERLINK("https://klasma.github.io/Logging_0331/klagomålsmail/A 55663-2024 FSC-klagomål mail.docx", "A 55663-2024")</f>
        <v/>
      </c>
      <c r="AC62">
        <f>HYPERLINK("https://klasma.github.io/Logging_0331/tillsyn/A 55663-2024 tillsynsbegäran.docx", "A 55663-2024")</f>
        <v/>
      </c>
      <c r="AD62">
        <f>HYPERLINK("https://klasma.github.io/Logging_0331/tillsynsmail/A 55663-2024 tillsynsbegäran mail.docx", "A 55663-2024")</f>
        <v/>
      </c>
    </row>
    <row r="63" ht="15" customHeight="1">
      <c r="A63" t="inlineStr">
        <is>
          <t>A 26596-2024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45469</v>
      </c>
      <c r="E63" s="1" t="n">
        <v>46296</v>
      </c>
      <c r="F63" t="inlineStr">
        <is>
          <t>UPPSALA LÄN</t>
        </is>
      </c>
      <c r="G63" t="inlineStr">
        <is>
          <t>HEBY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Stenichnus poweri</t>
        </is>
      </c>
      <c r="W63">
        <f>HYPERLINK("https://klasma.github.io/Logging_0331/artfynd/A 26596-2024 artfynd.xlsx", "A 26596-2024")</f>
        <v/>
      </c>
      <c r="X63">
        <f>HYPERLINK("https://klasma.github.io/Logging_0331/kartor/A 26596-2024 karta.png", "A 26596-2024")</f>
        <v/>
      </c>
      <c r="Y63">
        <f>HYPERLINK("https://klasma.github.io/Logging_0331/kartor_geotiff/A 26596-2024 georefererad karta.tif", "A 26596-2024")</f>
        <v/>
      </c>
      <c r="AA63">
        <f>HYPERLINK("https://klasma.github.io/Logging_0331/klagomål/A 26596-2024 FSC-klagomål.docx", "A 26596-2024")</f>
        <v/>
      </c>
      <c r="AB63">
        <f>HYPERLINK("https://klasma.github.io/Logging_0331/klagomålsmail/A 26596-2024 FSC-klagomål mail.docx", "A 26596-2024")</f>
        <v/>
      </c>
      <c r="AC63">
        <f>HYPERLINK("https://klasma.github.io/Logging_0331/tillsyn/A 26596-2024 tillsynsbegäran.docx", "A 26596-2024")</f>
        <v/>
      </c>
      <c r="AD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46296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HYPERLINK("https://klasma.github.io/Logging_0331/artfynd/A 53992-2023 artfynd.xlsx", "A 53992-2023")</f>
        <v/>
      </c>
      <c r="X64">
        <f>HYPERLINK("https://klasma.github.io/Logging_0331/kartor/A 53992-2023 karta.png", "A 53992-2023")</f>
        <v/>
      </c>
      <c r="Y64">
        <f>HYPERLINK("https://klasma.github.io/Logging_0331/kartor_geotiff/A 53992-2023 georefererad karta.tif", "A 53992-2023")</f>
        <v/>
      </c>
      <c r="AA64">
        <f>HYPERLINK("https://klasma.github.io/Logging_0331/klagomål/A 53992-2023 FSC-klagomål.docx", "A 53992-2023")</f>
        <v/>
      </c>
      <c r="AB64">
        <f>HYPERLINK("https://klasma.github.io/Logging_0331/klagomålsmail/A 53992-2023 FSC-klagomål mail.docx", "A 53992-2023")</f>
        <v/>
      </c>
      <c r="AC64">
        <f>HYPERLINK("https://klasma.github.io/Logging_0331/tillsyn/A 53992-2023 tillsynsbegäran.docx", "A 53992-2023")</f>
        <v/>
      </c>
      <c r="AD64">
        <f>HYPERLINK("https://klasma.github.io/Logging_0331/tillsynsmail/A 53992-2023 tillsynsbegäran mail.docx", "A 53992-2023")</f>
        <v/>
      </c>
    </row>
    <row r="65" ht="15" customHeight="1">
      <c r="A65" t="inlineStr">
        <is>
          <t>A 19555-2025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45770</v>
      </c>
      <c r="E65" s="1" t="n">
        <v>46296</v>
      </c>
      <c r="F65" t="inlineStr">
        <is>
          <t>UPPSALA LÄN</t>
        </is>
      </c>
      <c r="G65" t="inlineStr">
        <is>
          <t>HEBY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Sparvuggla</t>
        </is>
      </c>
      <c r="W65">
        <f>HYPERLINK("https://klasma.github.io/Logging_0331/artfynd/A 19555-2025 artfynd.xlsx", "A 19555-2025")</f>
        <v/>
      </c>
      <c r="X65">
        <f>HYPERLINK("https://klasma.github.io/Logging_0331/kartor/A 19555-2025 karta.png", "A 19555-2025")</f>
        <v/>
      </c>
      <c r="Y65">
        <f>HYPERLINK("https://klasma.github.io/Logging_0331/kartor_geotiff/A 19555-2025 georefererad karta.tif", "A 19555-2025")</f>
        <v/>
      </c>
      <c r="AA65">
        <f>HYPERLINK("https://klasma.github.io/Logging_0331/klagomål/A 19555-2025 FSC-klagomål.docx", "A 19555-2025")</f>
        <v/>
      </c>
      <c r="AB65">
        <f>HYPERLINK("https://klasma.github.io/Logging_0331/klagomålsmail/A 19555-2025 FSC-klagomål mail.docx", "A 19555-2025")</f>
        <v/>
      </c>
      <c r="AC65">
        <f>HYPERLINK("https://klasma.github.io/Logging_0331/tillsyn/A 19555-2025 tillsynsbegäran.docx", "A 19555-2025")</f>
        <v/>
      </c>
      <c r="AD65">
        <f>HYPERLINK("https://klasma.github.io/Logging_0331/tillsynsmail/A 19555-2025 tillsynsbegäran mail.docx", "A 19555-2025")</f>
        <v/>
      </c>
      <c r="AE65">
        <f>HYPERLINK("https://klasma.github.io/Logging_0331/fåglar/A 19555-2025 prioriterade fågelarter.docx", "A 19555-2025")</f>
        <v/>
      </c>
    </row>
    <row r="66" ht="15" customHeight="1">
      <c r="A66" t="inlineStr">
        <is>
          <t>A 17006-2024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45411</v>
      </c>
      <c r="E66" s="1" t="n">
        <v>46296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14.6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HYPERLINK("https://klasma.github.io/Logging_0331/artfynd/A 17006-2024 artfynd.xlsx", "A 17006-2024")</f>
        <v/>
      </c>
      <c r="X66">
        <f>HYPERLINK("https://klasma.github.io/Logging_0331/kartor/A 17006-2024 karta.png", "A 17006-2024")</f>
        <v/>
      </c>
      <c r="Y66">
        <f>HYPERLINK("https://klasma.github.io/Logging_0331/kartor_geotiff/A 17006-2024 georefererad karta.tif", "A 17006-2024")</f>
        <v/>
      </c>
      <c r="AA66">
        <f>HYPERLINK("https://klasma.github.io/Logging_0331/klagomål/A 17006-2024 FSC-klagomål.docx", "A 17006-2024")</f>
        <v/>
      </c>
      <c r="AB66">
        <f>HYPERLINK("https://klasma.github.io/Logging_0331/klagomålsmail/A 17006-2024 FSC-klagomål mail.docx", "A 17006-2024")</f>
        <v/>
      </c>
      <c r="AC66">
        <f>HYPERLINK("https://klasma.github.io/Logging_0331/tillsyn/A 17006-2024 tillsynsbegäran.docx", "A 17006-2024")</f>
        <v/>
      </c>
      <c r="AD66">
        <f>HYPERLINK("https://klasma.github.io/Logging_0331/tillsynsmail/A 17006-2024 tillsynsbegäran mail.docx", "A 17006-2024")</f>
        <v/>
      </c>
      <c r="AE66">
        <f>HYPERLINK("https://klasma.github.io/Logging_0331/fåglar/A 17006-2024 prioriterade fågelarter.docx", "A 17006-2024")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46296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46296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49707-2023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45208</v>
      </c>
      <c r="E69" s="1" t="n">
        <v>46296</v>
      </c>
      <c r="F69" t="inlineStr">
        <is>
          <t>UPPSALA LÄN</t>
        </is>
      </c>
      <c r="G69" t="inlineStr">
        <is>
          <t>HEBY</t>
        </is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Granbarkgnagare</t>
        </is>
      </c>
      <c r="W69">
        <f>HYPERLINK("https://klasma.github.io/Logging_0331/artfynd/A 49707-2023 artfynd.xlsx", "A 49707-2023")</f>
        <v/>
      </c>
      <c r="X69">
        <f>HYPERLINK("https://klasma.github.io/Logging_0331/kartor/A 49707-2023 karta.png", "A 49707-2023")</f>
        <v/>
      </c>
      <c r="Y69">
        <f>HYPERLINK("https://klasma.github.io/Logging_0331/kartor_geotiff/A 49707-2023 georefererad karta.tif", "A 49707-2023")</f>
        <v/>
      </c>
      <c r="AA69">
        <f>HYPERLINK("https://klasma.github.io/Logging_0331/klagomål/A 49707-2023 FSC-klagomål.docx", "A 49707-2023")</f>
        <v/>
      </c>
      <c r="AB69">
        <f>HYPERLINK("https://klasma.github.io/Logging_0331/klagomålsmail/A 49707-2023 FSC-klagomål mail.docx", "A 49707-2023")</f>
        <v/>
      </c>
      <c r="AC69">
        <f>HYPERLINK("https://klasma.github.io/Logging_0331/tillsyn/A 49707-2023 tillsynsbegäran.docx", "A 49707-2023")</f>
        <v/>
      </c>
      <c r="AD69">
        <f>HYPERLINK("https://klasma.github.io/Logging_0331/tillsynsmail/A 49707-2023 tillsynsbegäran mail.docx", "A 49707-2023")</f>
        <v/>
      </c>
    </row>
    <row r="70" ht="15" customHeight="1">
      <c r="A70" t="inlineStr">
        <is>
          <t>A 54368-2024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46296</v>
      </c>
      <c r="F70" t="inlineStr">
        <is>
          <t>UPPSALA LÄN</t>
        </is>
      </c>
      <c r="G70" t="inlineStr">
        <is>
          <t>HEBY</t>
        </is>
      </c>
      <c r="H70" t="inlineStr">
        <is>
          <t>Allmännings- och besparingsskogar</t>
        </is>
      </c>
      <c r="I70" t="n">
        <v>13.9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Talltita</t>
        </is>
      </c>
      <c r="W70">
        <f>HYPERLINK("https://klasma.github.io/Logging_0331/artfynd/A 54368-2024 artfynd.xlsx", "A 54368-2024")</f>
        <v/>
      </c>
      <c r="X70">
        <f>HYPERLINK("https://klasma.github.io/Logging_0331/kartor/A 54368-2024 karta.png", "A 54368-2024")</f>
        <v/>
      </c>
      <c r="Y70">
        <f>HYPERLINK("https://klasma.github.io/Logging_0331/kartor_geotiff/A 54368-2024 georefererad karta.tif", "A 54368-2024")</f>
        <v/>
      </c>
      <c r="AA70">
        <f>HYPERLINK("https://klasma.github.io/Logging_0331/klagomål/A 54368-2024 FSC-klagomål.docx", "A 54368-2024")</f>
        <v/>
      </c>
      <c r="AB70">
        <f>HYPERLINK("https://klasma.github.io/Logging_0331/klagomålsmail/A 54368-2024 FSC-klagomål mail.docx", "A 54368-2024")</f>
        <v/>
      </c>
      <c r="AC70">
        <f>HYPERLINK("https://klasma.github.io/Logging_0331/tillsyn/A 54368-2024 tillsynsbegäran.docx", "A 54368-2024")</f>
        <v/>
      </c>
      <c r="AD70">
        <f>HYPERLINK("https://klasma.github.io/Logging_0331/tillsynsmail/A 54368-2024 tillsynsbegäran mail.docx", "A 54368-2024")</f>
        <v/>
      </c>
      <c r="AE70">
        <f>HYPERLINK("https://klasma.github.io/Logging_0331/fåglar/A 54368-2024 prioriterade fågelarter.docx", "A 54368-2024")</f>
        <v/>
      </c>
    </row>
    <row r="71" ht="15" customHeight="1">
      <c r="A71" t="inlineStr">
        <is>
          <t>A 38417-2025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46296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8.300000000000001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HYPERLINK("https://klasma.github.io/Logging_0331/artfynd/A 38417-2025 artfynd.xlsx", "A 38417-2025")</f>
        <v/>
      </c>
      <c r="X71">
        <f>HYPERLINK("https://klasma.github.io/Logging_0331/kartor/A 38417-2025 karta.png", "A 38417-2025")</f>
        <v/>
      </c>
      <c r="Y71">
        <f>HYPERLINK("https://klasma.github.io/Logging_0331/kartor_geotiff/A 38417-2025 georefererad karta.tif", "A 38417-2025")</f>
        <v/>
      </c>
      <c r="Z71">
        <f>HYPERLINK("https://klasma.github.io/Logging_0331/knärot/A 38417-2025 karta knärot.png", "A 38417-2025")</f>
        <v/>
      </c>
      <c r="AA71">
        <f>HYPERLINK("https://klasma.github.io/Logging_0331/klagomål/A 38417-2025 FSC-klagomål.docx", "A 38417-2025")</f>
        <v/>
      </c>
      <c r="AB71">
        <f>HYPERLINK("https://klasma.github.io/Logging_0331/klagomålsmail/A 38417-2025 FSC-klagomål mail.docx", "A 38417-2025")</f>
        <v/>
      </c>
      <c r="AC71">
        <f>HYPERLINK("https://klasma.github.io/Logging_0331/tillsyn/A 38417-2025 tillsynsbegäran.docx", "A 38417-2025")</f>
        <v/>
      </c>
      <c r="AD71">
        <f>HYPERLINK("https://klasma.github.io/Logging_0331/tillsynsmail/A 38417-2025 tillsynsbegäran mail.docx", "A 38417-2025")</f>
        <v/>
      </c>
    </row>
    <row r="72" ht="15" customHeight="1">
      <c r="A72" t="inlineStr">
        <is>
          <t>A 9455-2026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46296</v>
      </c>
      <c r="F72" t="inlineStr">
        <is>
          <t>UPPSALA LÄN</t>
        </is>
      </c>
      <c r="G72" t="inlineStr">
        <is>
          <t>HEBY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Kungsspindling</t>
        </is>
      </c>
      <c r="W72">
        <f>HYPERLINK("https://klasma.github.io/Logging_0331/artfynd/A 9455-2026 artfynd.xlsx", "A 9455-2026")</f>
        <v/>
      </c>
      <c r="X72">
        <f>HYPERLINK("https://klasma.github.io/Logging_0331/kartor/A 9455-2026 karta.png", "A 9455-2026")</f>
        <v/>
      </c>
      <c r="Y72">
        <f>HYPERLINK("https://klasma.github.io/Logging_0331/kartor_geotiff/A 9455-2026 georefererad karta.tif", "A 9455-2026")</f>
        <v/>
      </c>
      <c r="AA72">
        <f>HYPERLINK("https://klasma.github.io/Logging_0331/klagomål/A 9455-2026 FSC-klagomål.docx", "A 9455-2026")</f>
        <v/>
      </c>
      <c r="AB72">
        <f>HYPERLINK("https://klasma.github.io/Logging_0331/klagomålsmail/A 9455-2026 FSC-klagomål mail.docx", "A 9455-2026")</f>
        <v/>
      </c>
      <c r="AC72">
        <f>HYPERLINK("https://klasma.github.io/Logging_0331/tillsyn/A 9455-2026 tillsynsbegäran.docx", "A 9455-2026")</f>
        <v/>
      </c>
      <c r="AD72">
        <f>HYPERLINK("https://klasma.github.io/Logging_0331/tillsynsmail/A 9455-2026 tillsynsbegäran mail.docx", "A 9455-2026")</f>
        <v/>
      </c>
    </row>
    <row r="73" ht="15" customHeight="1">
      <c r="A73" t="inlineStr">
        <is>
          <t>A 9358-2026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46296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9358-2026 artfynd.xlsx", "A 9358-2026")</f>
        <v/>
      </c>
      <c r="X73">
        <f>HYPERLINK("https://klasma.github.io/Logging_0331/kartor/A 9358-2026 karta.png", "A 9358-2026")</f>
        <v/>
      </c>
      <c r="Y73">
        <f>HYPERLINK("https://klasma.github.io/Logging_0331/kartor_geotiff/A 9358-2026 georefererad karta.tif", "A 9358-2026")</f>
        <v/>
      </c>
      <c r="AA73">
        <f>HYPERLINK("https://klasma.github.io/Logging_0331/klagomål/A 9358-2026 FSC-klagomål.docx", "A 9358-2026")</f>
        <v/>
      </c>
      <c r="AB73">
        <f>HYPERLINK("https://klasma.github.io/Logging_0331/klagomålsmail/A 9358-2026 FSC-klagomål mail.docx", "A 9358-2026")</f>
        <v/>
      </c>
      <c r="AC73">
        <f>HYPERLINK("https://klasma.github.io/Logging_0331/tillsyn/A 9358-2026 tillsynsbegäran.docx", "A 9358-2026")</f>
        <v/>
      </c>
      <c r="AD73">
        <f>HYPERLINK("https://klasma.github.io/Logging_0331/tillsynsmail/A 9358-2026 tillsynsbegäran mail.docx", "A 9358-2026")</f>
        <v/>
      </c>
    </row>
    <row r="74" ht="15" customHeight="1">
      <c r="A74" t="inlineStr">
        <is>
          <t>A 11560-2026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46084</v>
      </c>
      <c r="E74" s="1" t="n">
        <v>46296</v>
      </c>
      <c r="F74" t="inlineStr">
        <is>
          <t>UPPSALA LÄN</t>
        </is>
      </c>
      <c r="G74" t="inlineStr">
        <is>
          <t>HEBY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Mindre vattensalamander</t>
        </is>
      </c>
      <c r="W74">
        <f>HYPERLINK("https://klasma.github.io/Logging_0331/artfynd/A 11560-2026 artfynd.xlsx", "A 11560-2026")</f>
        <v/>
      </c>
      <c r="X74">
        <f>HYPERLINK("https://klasma.github.io/Logging_0331/kartor/A 11560-2026 karta.png", "A 11560-2026")</f>
        <v/>
      </c>
      <c r="Y74">
        <f>HYPERLINK("https://klasma.github.io/Logging_0331/kartor_geotiff/A 11560-2026 georefererad karta.tif", "A 11560-2026")</f>
        <v/>
      </c>
      <c r="AA74">
        <f>HYPERLINK("https://klasma.github.io/Logging_0331/klagomål/A 11560-2026 FSC-klagomål.docx", "A 11560-2026")</f>
        <v/>
      </c>
      <c r="AB74">
        <f>HYPERLINK("https://klasma.github.io/Logging_0331/klagomålsmail/A 11560-2026 FSC-klagomål mail.docx", "A 11560-2026")</f>
        <v/>
      </c>
      <c r="AC74">
        <f>HYPERLINK("https://klasma.github.io/Logging_0331/tillsyn/A 11560-2026 tillsynsbegäran.docx", "A 11560-2026")</f>
        <v/>
      </c>
      <c r="AD74">
        <f>HYPERLINK("https://klasma.github.io/Logging_0331/tillsynsmail/A 11560-2026 tillsynsbegäran mail.docx", "A 11560-2026")</f>
        <v/>
      </c>
    </row>
    <row r="75" ht="15" customHeight="1">
      <c r="A75" t="inlineStr">
        <is>
          <t>A 11841-2026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46296</v>
      </c>
      <c r="F75" t="inlineStr">
        <is>
          <t>UPPSALA LÄN</t>
        </is>
      </c>
      <c r="G75" t="inlineStr">
        <is>
          <t>HEBY</t>
        </is>
      </c>
      <c r="I75" t="n">
        <v>1.1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Stor aspticka</t>
        </is>
      </c>
      <c r="W75">
        <f>HYPERLINK("https://klasma.github.io/Logging_0331/artfynd/A 11841-2026 artfynd.xlsx", "A 11841-2026")</f>
        <v/>
      </c>
      <c r="X75">
        <f>HYPERLINK("https://klasma.github.io/Logging_0331/kartor/A 11841-2026 karta.png", "A 11841-2026")</f>
        <v/>
      </c>
      <c r="Y75">
        <f>HYPERLINK("https://klasma.github.io/Logging_0331/kartor_geotiff/A 11841-2026 georefererad karta.tif", "A 11841-2026")</f>
        <v/>
      </c>
      <c r="AA75">
        <f>HYPERLINK("https://klasma.github.io/Logging_0331/klagomål/A 11841-2026 FSC-klagomål.docx", "A 11841-2026")</f>
        <v/>
      </c>
      <c r="AB75">
        <f>HYPERLINK("https://klasma.github.io/Logging_0331/klagomålsmail/A 11841-2026 FSC-klagomål mail.docx", "A 11841-2026")</f>
        <v/>
      </c>
      <c r="AC75">
        <f>HYPERLINK("https://klasma.github.io/Logging_0331/tillsyn/A 11841-2026 tillsynsbegäran.docx", "A 11841-2026")</f>
        <v/>
      </c>
      <c r="AD75">
        <f>HYPERLINK("https://klasma.github.io/Logging_0331/tillsynsmail/A 11841-2026 tillsynsbegäran mail.docx", "A 11841-2026")</f>
        <v/>
      </c>
    </row>
    <row r="76" ht="15" customHeight="1">
      <c r="A76" t="inlineStr">
        <is>
          <t>A 3374-2024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45317</v>
      </c>
      <c r="E76" s="1" t="n">
        <v>46296</v>
      </c>
      <c r="F76" t="inlineStr">
        <is>
          <t>UPPSALA LÄN</t>
        </is>
      </c>
      <c r="G76" t="inlineStr">
        <is>
          <t>HEBY</t>
        </is>
      </c>
      <c r="I76" t="n">
        <v>8.4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Berggräsfjäril</t>
        </is>
      </c>
      <c r="W76">
        <f>HYPERLINK("https://klasma.github.io/Logging_0331/artfynd/A 3374-2024 artfynd.xlsx", "A 3374-2024")</f>
        <v/>
      </c>
      <c r="X76">
        <f>HYPERLINK("https://klasma.github.io/Logging_0331/kartor/A 3374-2024 karta.png", "A 3374-2024")</f>
        <v/>
      </c>
      <c r="Y76">
        <f>HYPERLINK("https://klasma.github.io/Logging_0331/kartor_geotiff/A 3374-2024 georefererad karta.tif", "A 3374-2024")</f>
        <v/>
      </c>
      <c r="AA76">
        <f>HYPERLINK("https://klasma.github.io/Logging_0331/klagomål/A 3374-2024 FSC-klagomål.docx", "A 3374-2024")</f>
        <v/>
      </c>
      <c r="AB76">
        <f>HYPERLINK("https://klasma.github.io/Logging_0331/klagomålsmail/A 3374-2024 FSC-klagomål mail.docx", "A 3374-2024")</f>
        <v/>
      </c>
      <c r="AC76">
        <f>HYPERLINK("https://klasma.github.io/Logging_0331/tillsyn/A 3374-2024 tillsynsbegäran.docx", "A 3374-2024")</f>
        <v/>
      </c>
      <c r="AD76">
        <f>HYPERLINK("https://klasma.github.io/Logging_0331/tillsynsmail/A 3374-2024 tillsynsbegäran mail.docx", "A 3374-2024")</f>
        <v/>
      </c>
    </row>
    <row r="77" ht="15" customHeight="1">
      <c r="A77" t="inlineStr">
        <is>
          <t>A 11011-2025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45723</v>
      </c>
      <c r="E77" s="1" t="n">
        <v>46296</v>
      </c>
      <c r="F77" t="inlineStr">
        <is>
          <t>UPPSALA LÄN</t>
        </is>
      </c>
      <c r="G77" t="inlineStr">
        <is>
          <t>HEBY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HYPERLINK("https://klasma.github.io/Logging_0331/artfynd/A 11011-2025 artfynd.xlsx", "A 11011-2025")</f>
        <v/>
      </c>
      <c r="X77">
        <f>HYPERLINK("https://klasma.github.io/Logging_0331/kartor/A 11011-2025 karta.png", "A 11011-2025")</f>
        <v/>
      </c>
      <c r="Y77">
        <f>HYPERLINK("https://klasma.github.io/Logging_0331/kartor_geotiff/A 11011-2025 georefererad karta.tif", "A 11011-2025")</f>
        <v/>
      </c>
      <c r="AA77">
        <f>HYPERLINK("https://klasma.github.io/Logging_0331/klagomål/A 11011-2025 FSC-klagomål.docx", "A 11011-2025")</f>
        <v/>
      </c>
      <c r="AB77">
        <f>HYPERLINK("https://klasma.github.io/Logging_0331/klagomålsmail/A 11011-2025 FSC-klagomål mail.docx", "A 11011-2025")</f>
        <v/>
      </c>
      <c r="AC77">
        <f>HYPERLINK("https://klasma.github.io/Logging_0331/tillsyn/A 11011-2025 tillsynsbegäran.docx", "A 11011-2025")</f>
        <v/>
      </c>
      <c r="AD77">
        <f>HYPERLINK("https://klasma.github.io/Logging_0331/tillsynsmail/A 11011-2025 tillsynsbegäran mail.docx", "A 11011-2025")</f>
        <v/>
      </c>
    </row>
    <row r="78" ht="15" customHeight="1">
      <c r="A78" t="inlineStr">
        <is>
          <t>A 20530-2026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46296</v>
      </c>
      <c r="F78" t="inlineStr">
        <is>
          <t>UPPSALA LÄN</t>
        </is>
      </c>
      <c r="G78" t="inlineStr">
        <is>
          <t>HEBY</t>
        </is>
      </c>
      <c r="I78" t="n">
        <v>5.3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Björksplintborre</t>
        </is>
      </c>
      <c r="W78">
        <f>HYPERLINK("https://klasma.github.io/Logging_0331/artfynd/A 20530-2026 artfynd.xlsx", "A 20530-2026")</f>
        <v/>
      </c>
      <c r="X78">
        <f>HYPERLINK("https://klasma.github.io/Logging_0331/kartor/A 20530-2026 karta.png", "A 20530-2026")</f>
        <v/>
      </c>
      <c r="Y78">
        <f>HYPERLINK("https://klasma.github.io/Logging_0331/kartor_geotiff/A 20530-2026 georefererad karta.tif", "A 20530-2026")</f>
        <v/>
      </c>
      <c r="AA78">
        <f>HYPERLINK("https://klasma.github.io/Logging_0331/klagomål/A 20530-2026 FSC-klagomål.docx", "A 20530-2026")</f>
        <v/>
      </c>
      <c r="AB78">
        <f>HYPERLINK("https://klasma.github.io/Logging_0331/klagomålsmail/A 20530-2026 FSC-klagomål mail.docx", "A 20530-2026")</f>
        <v/>
      </c>
      <c r="AC78">
        <f>HYPERLINK("https://klasma.github.io/Logging_0331/tillsyn/A 20530-2026 tillsynsbegäran.docx", "A 20530-2026")</f>
        <v/>
      </c>
      <c r="AD78">
        <f>HYPERLINK("https://klasma.github.io/Logging_0331/tillsynsmail/A 20530-2026 tillsynsbegäran mail.docx", "A 20530-2026")</f>
        <v/>
      </c>
    </row>
    <row r="79" ht="15" customHeight="1">
      <c r="A79" t="inlineStr">
        <is>
          <t>A 9618-2026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46296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HYPERLINK("https://klasma.github.io/Logging_0331/artfynd/A 9618-2026 artfynd.xlsx", "A 9618-2026")</f>
        <v/>
      </c>
      <c r="X79">
        <f>HYPERLINK("https://klasma.github.io/Logging_0331/kartor/A 9618-2026 karta.png", "A 9618-2026")</f>
        <v/>
      </c>
      <c r="Y79">
        <f>HYPERLINK("https://klasma.github.io/Logging_0331/kartor_geotiff/A 9618-2026 georefererad karta.tif", "A 9618-2026")</f>
        <v/>
      </c>
      <c r="AA79">
        <f>HYPERLINK("https://klasma.github.io/Logging_0331/klagomål/A 9618-2026 FSC-klagomål.docx", "A 9618-2026")</f>
        <v/>
      </c>
      <c r="AB79">
        <f>HYPERLINK("https://klasma.github.io/Logging_0331/klagomålsmail/A 9618-2026 FSC-klagomål mail.docx", "A 9618-2026")</f>
        <v/>
      </c>
      <c r="AC79">
        <f>HYPERLINK("https://klasma.github.io/Logging_0331/tillsyn/A 9618-2026 tillsynsbegäran.docx", "A 9618-2026")</f>
        <v/>
      </c>
      <c r="AD79">
        <f>HYPERLINK("https://klasma.github.io/Logging_0331/tillsynsmail/A 9618-2026 tillsynsbegäran mail.docx", "A 9618-2026")</f>
        <v/>
      </c>
    </row>
    <row r="80" ht="15" customHeight="1">
      <c r="A80" t="inlineStr">
        <is>
          <t>A 55763-2025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45972</v>
      </c>
      <c r="E80" s="1" t="n">
        <v>46296</v>
      </c>
      <c r="F80" t="inlineStr">
        <is>
          <t>UPPSALA LÄN</t>
        </is>
      </c>
      <c r="G80" t="inlineStr">
        <is>
          <t>HEBY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Kandelabersvamp</t>
        </is>
      </c>
      <c r="W80">
        <f>HYPERLINK("https://klasma.github.io/Logging_0331/artfynd/A 55763-2025 artfynd.xlsx", "A 55763-2025")</f>
        <v/>
      </c>
      <c r="X80">
        <f>HYPERLINK("https://klasma.github.io/Logging_0331/kartor/A 55763-2025 karta.png", "A 55763-2025")</f>
        <v/>
      </c>
      <c r="Y80">
        <f>HYPERLINK("https://klasma.github.io/Logging_0331/kartor_geotiff/A 55763-2025 georefererad karta.tif", "A 55763-2025")</f>
        <v/>
      </c>
      <c r="AA80">
        <f>HYPERLINK("https://klasma.github.io/Logging_0331/klagomål/A 55763-2025 FSC-klagomål.docx", "A 55763-2025")</f>
        <v/>
      </c>
      <c r="AB80">
        <f>HYPERLINK("https://klasma.github.io/Logging_0331/klagomålsmail/A 55763-2025 FSC-klagomål mail.docx", "A 55763-2025")</f>
        <v/>
      </c>
      <c r="AC80">
        <f>HYPERLINK("https://klasma.github.io/Logging_0331/tillsyn/A 55763-2025 tillsynsbegäran.docx", "A 55763-2025")</f>
        <v/>
      </c>
      <c r="AD80">
        <f>HYPERLINK("https://klasma.github.io/Logging_0331/tillsynsmail/A 55763-2025 tillsynsbegäran mail.docx", "A 55763-2025")</f>
        <v/>
      </c>
    </row>
    <row r="81" ht="15" customHeight="1">
      <c r="A81" t="inlineStr">
        <is>
          <t>A 31885-2026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46231</v>
      </c>
      <c r="E81" s="1" t="n">
        <v>46296</v>
      </c>
      <c r="F81" t="inlineStr">
        <is>
          <t>UPPSALA LÄN</t>
        </is>
      </c>
      <c r="G81" t="inlineStr">
        <is>
          <t>HEBY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 spretmossa</t>
        </is>
      </c>
      <c r="W81">
        <f>HYPERLINK("https://klasma.github.io/Logging_0331/artfynd/A 31885-2026 artfynd.xlsx", "A 31885-2026")</f>
        <v/>
      </c>
      <c r="X81">
        <f>HYPERLINK("https://klasma.github.io/Logging_0331/kartor/A 31885-2026 karta.png", "A 31885-2026")</f>
        <v/>
      </c>
      <c r="Y81">
        <f>HYPERLINK("https://klasma.github.io/Logging_0331/kartor_geotiff/A 31885-2026 georefererad karta.tif", "A 31885-2026")</f>
        <v/>
      </c>
      <c r="AA81">
        <f>HYPERLINK("https://klasma.github.io/Logging_0331/klagomål/A 31885-2026 FSC-klagomål.docx", "A 31885-2026")</f>
        <v/>
      </c>
      <c r="AB81">
        <f>HYPERLINK("https://klasma.github.io/Logging_0331/klagomålsmail/A 31885-2026 FSC-klagomål mail.docx", "A 31885-2026")</f>
        <v/>
      </c>
      <c r="AC81">
        <f>HYPERLINK("https://klasma.github.io/Logging_0331/tillsyn/A 31885-2026 tillsynsbegäran.docx", "A 31885-2026")</f>
        <v/>
      </c>
      <c r="AD81">
        <f>HYPERLINK("https://klasma.github.io/Logging_0331/tillsynsmail/A 31885-2026 tillsynsbegäran mail.docx", "A 31885-2026")</f>
        <v/>
      </c>
    </row>
    <row r="82" ht="15" customHeight="1">
      <c r="A82" t="inlineStr">
        <is>
          <t>A 40506-2026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46296</v>
      </c>
      <c r="F82" t="inlineStr">
        <is>
          <t>UPPSALA LÄN</t>
        </is>
      </c>
      <c r="G82" t="inlineStr">
        <is>
          <t>HEBY</t>
        </is>
      </c>
      <c r="H82" t="inlineStr">
        <is>
          <t>Allmännings- och besparingsskogar</t>
        </is>
      </c>
      <c r="I82" t="n">
        <v>7.1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HYPERLINK("https://klasma.github.io/Logging_0331/artfynd/A 40506-2026 artfynd.xlsx", "A 40506-2026")</f>
        <v/>
      </c>
      <c r="X82">
        <f>HYPERLINK("https://klasma.github.io/Logging_0331/kartor/A 40506-2026 karta.png", "A 40506-2026")</f>
        <v/>
      </c>
      <c r="Y82">
        <f>HYPERLINK("https://klasma.github.io/Logging_0331/kartor_geotiff/A 40506-2026 georefererad karta.tif", "A 40506-2026")</f>
        <v/>
      </c>
      <c r="AA82">
        <f>HYPERLINK("https://klasma.github.io/Logging_0331/klagomål/A 40506-2026 FSC-klagomål.docx", "A 40506-2026")</f>
        <v/>
      </c>
      <c r="AB82">
        <f>HYPERLINK("https://klasma.github.io/Logging_0331/klagomålsmail/A 40506-2026 FSC-klagomål mail.docx", "A 40506-2026")</f>
        <v/>
      </c>
      <c r="AC82">
        <f>HYPERLINK("https://klasma.github.io/Logging_0331/tillsyn/A 40506-2026 tillsynsbegäran.docx", "A 40506-2026")</f>
        <v/>
      </c>
      <c r="AD82">
        <f>HYPERLINK("https://klasma.github.io/Logging_0331/tillsynsmail/A 40506-2026 tillsynsbegäran mail.docx", "A 40506-2026")</f>
        <v/>
      </c>
      <c r="AE82">
        <f>HYPERLINK("https://klasma.github.io/Logging_0331/fåglar/A 40506-2026 prioriterade fågelarter.docx", "A 40506-2026")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46296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46296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46296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46296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46296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46296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46296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46296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46296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46296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46296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46296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46296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46296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46296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46296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46296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46296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46296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46296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46296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46296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63959-2021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46296</v>
      </c>
      <c r="F105" t="inlineStr">
        <is>
          <t>UPPSALA LÄN</t>
        </is>
      </c>
      <c r="G105" t="inlineStr">
        <is>
          <t>HEBY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44844</v>
      </c>
      <c r="E106" s="1" t="n">
        <v>46296</v>
      </c>
      <c r="F106" t="inlineStr">
        <is>
          <t>UPPSALA LÄN</t>
        </is>
      </c>
      <c r="G106" t="inlineStr">
        <is>
          <t>HEBY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46296</v>
      </c>
      <c r="F107" t="inlineStr">
        <is>
          <t>UPPSALA LÄN</t>
        </is>
      </c>
      <c r="G107" t="inlineStr">
        <is>
          <t>HEBY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46296</v>
      </c>
      <c r="F108" t="inlineStr">
        <is>
          <t>UPPSALA LÄN</t>
        </is>
      </c>
      <c r="G108" t="inlineStr">
        <is>
          <t>HEBY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46296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27858-2022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46296</v>
      </c>
      <c r="F110" t="inlineStr">
        <is>
          <t>UPPSALA LÄN</t>
        </is>
      </c>
      <c r="G110" t="inlineStr">
        <is>
          <t>HEBY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46296</v>
      </c>
      <c r="F111" t="inlineStr">
        <is>
          <t>UPPSALA LÄN</t>
        </is>
      </c>
      <c r="G111" t="inlineStr">
        <is>
          <t>HEBY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46296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46651-2022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44850</v>
      </c>
      <c r="E113" s="1" t="n">
        <v>46296</v>
      </c>
      <c r="F113" t="inlineStr">
        <is>
          <t>UPPSALA LÄN</t>
        </is>
      </c>
      <c r="G113" t="inlineStr">
        <is>
          <t>HEBY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46296</v>
      </c>
      <c r="F114" t="inlineStr">
        <is>
          <t>UPPSALA LÄN</t>
        </is>
      </c>
      <c r="G114" t="inlineStr">
        <is>
          <t>HEBY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59599-2021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44491</v>
      </c>
      <c r="E115" s="1" t="n">
        <v>46296</v>
      </c>
      <c r="F115" t="inlineStr">
        <is>
          <t>UPPSALA LÄN</t>
        </is>
      </c>
      <c r="G115" t="inlineStr">
        <is>
          <t>HEBY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46296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66025-2021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46296</v>
      </c>
      <c r="F117" t="inlineStr">
        <is>
          <t>UPPSALA LÄN</t>
        </is>
      </c>
      <c r="G117" t="inlineStr">
        <is>
          <t>HEBY</t>
        </is>
      </c>
      <c r="H117" t="inlineStr">
        <is>
          <t>Bergvik skog öst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46296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46296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65626-2021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44516</v>
      </c>
      <c r="E120" s="1" t="n">
        <v>46296</v>
      </c>
      <c r="F120" t="inlineStr">
        <is>
          <t>UPPSALA LÄN</t>
        </is>
      </c>
      <c r="G120" t="inlineStr">
        <is>
          <t>HEBY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44565</v>
      </c>
      <c r="E121" s="1" t="n">
        <v>46296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46296</v>
      </c>
      <c r="F122" t="inlineStr">
        <is>
          <t>UPPSALA LÄN</t>
        </is>
      </c>
      <c r="G122" t="inlineStr">
        <is>
          <t>HEBY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46296</v>
      </c>
      <c r="F123" t="inlineStr">
        <is>
          <t>UPPSALA LÄN</t>
        </is>
      </c>
      <c r="G123" t="inlineStr">
        <is>
          <t>HEBY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46296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73385-2021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46296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44832</v>
      </c>
      <c r="E126" s="1" t="n">
        <v>46296</v>
      </c>
      <c r="F126" t="inlineStr">
        <is>
          <t>UPPSALA LÄN</t>
        </is>
      </c>
      <c r="G126" t="inlineStr">
        <is>
          <t>HEBY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46296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46296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46296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44722</v>
      </c>
      <c r="E130" s="1" t="n">
        <v>46296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46296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46296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väst AB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46296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46296</v>
      </c>
      <c r="F134" t="inlineStr">
        <is>
          <t>UPPSALA LÄN</t>
        </is>
      </c>
      <c r="G134" t="inlineStr">
        <is>
          <t>HEBY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46296</v>
      </c>
      <c r="F135" t="inlineStr">
        <is>
          <t>UPPSALA LÄN</t>
        </is>
      </c>
      <c r="G135" t="inlineStr">
        <is>
          <t>HEBY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46296</v>
      </c>
      <c r="F136" t="inlineStr">
        <is>
          <t>UPPSALA LÄN</t>
        </is>
      </c>
      <c r="G136" t="inlineStr">
        <is>
          <t>HEBY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69597-2021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44532</v>
      </c>
      <c r="E137" s="1" t="n">
        <v>46296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44694</v>
      </c>
      <c r="E138" s="1" t="n">
        <v>46296</v>
      </c>
      <c r="F138" t="inlineStr">
        <is>
          <t>UPPSALA LÄN</t>
        </is>
      </c>
      <c r="G138" t="inlineStr">
        <is>
          <t>HEBY</t>
        </is>
      </c>
      <c r="I138" t="n">
        <v>22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44573</v>
      </c>
      <c r="E139" s="1" t="n">
        <v>46296</v>
      </c>
      <c r="F139" t="inlineStr">
        <is>
          <t>UPPSALA LÄN</t>
        </is>
      </c>
      <c r="G139" t="inlineStr">
        <is>
          <t>HEBY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46296</v>
      </c>
      <c r="F140" t="inlineStr">
        <is>
          <t>UPPSALA LÄN</t>
        </is>
      </c>
      <c r="G140" t="inlineStr">
        <is>
          <t>HEBY</t>
        </is>
      </c>
      <c r="H140" t="inlineStr">
        <is>
          <t>Övriga Aktiebolag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44602</v>
      </c>
      <c r="E141" s="1" t="n">
        <v>46296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46296</v>
      </c>
      <c r="F142" t="inlineStr">
        <is>
          <t>UPPSALA LÄN</t>
        </is>
      </c>
      <c r="G142" t="inlineStr">
        <is>
          <t>HEBY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19718-2023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45050</v>
      </c>
      <c r="E143" s="1" t="n">
        <v>46296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46296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44911</v>
      </c>
      <c r="E145" s="1" t="n">
        <v>46296</v>
      </c>
      <c r="F145" t="inlineStr">
        <is>
          <t>UPPSALA LÄN</t>
        </is>
      </c>
      <c r="G145" t="inlineStr">
        <is>
          <t>HEBY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73622-2021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46296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46296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8182-2022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46296</v>
      </c>
      <c r="F148" t="inlineStr">
        <is>
          <t>UPPSALA LÄN</t>
        </is>
      </c>
      <c r="G148" t="inlineStr">
        <is>
          <t>HEBY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46296</v>
      </c>
      <c r="F149" t="inlineStr">
        <is>
          <t>UPPSALA LÄN</t>
        </is>
      </c>
      <c r="G149" t="inlineStr">
        <is>
          <t>HEBY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45502</v>
      </c>
      <c r="E150" s="1" t="n">
        <v>46296</v>
      </c>
      <c r="F150" t="inlineStr">
        <is>
          <t>UPPSALA LÄN</t>
        </is>
      </c>
      <c r="G150" t="inlineStr">
        <is>
          <t>HEBY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46296</v>
      </c>
      <c r="F151" t="inlineStr">
        <is>
          <t>UPPSALA LÄN</t>
        </is>
      </c>
      <c r="G151" t="inlineStr">
        <is>
          <t>HEBY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46296</v>
      </c>
      <c r="F152" t="inlineStr">
        <is>
          <t>UPPSALA LÄN</t>
        </is>
      </c>
      <c r="G152" t="inlineStr">
        <is>
          <t>HEBY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46296</v>
      </c>
      <c r="F153" t="inlineStr">
        <is>
          <t>UPPSALA LÄN</t>
        </is>
      </c>
      <c r="G153" t="inlineStr">
        <is>
          <t>HEBY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44609</v>
      </c>
      <c r="E154" s="1" t="n">
        <v>46296</v>
      </c>
      <c r="F154" t="inlineStr">
        <is>
          <t>UPPSALA LÄN</t>
        </is>
      </c>
      <c r="G154" t="inlineStr">
        <is>
          <t>HEBY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45422</v>
      </c>
      <c r="E155" s="1" t="n">
        <v>46296</v>
      </c>
      <c r="F155" t="inlineStr">
        <is>
          <t>UPPSALA LÄN</t>
        </is>
      </c>
      <c r="G155" t="inlineStr">
        <is>
          <t>HEBY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46296</v>
      </c>
      <c r="F156" t="inlineStr">
        <is>
          <t>UPPSALA LÄN</t>
        </is>
      </c>
      <c r="G156" t="inlineStr">
        <is>
          <t>HEBY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46296</v>
      </c>
      <c r="F157" t="inlineStr">
        <is>
          <t>UPPSALA LÄN</t>
        </is>
      </c>
      <c r="G157" t="inlineStr">
        <is>
          <t>HEBY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46296</v>
      </c>
      <c r="F158" t="inlineStr">
        <is>
          <t>UPPSALA LÄN</t>
        </is>
      </c>
      <c r="G158" t="inlineStr">
        <is>
          <t>HEBY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45567</v>
      </c>
      <c r="E159" s="1" t="n">
        <v>46296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46296</v>
      </c>
      <c r="F160" t="inlineStr">
        <is>
          <t>UPPSALA LÄN</t>
        </is>
      </c>
      <c r="G160" t="inlineStr">
        <is>
          <t>HEBY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46296</v>
      </c>
      <c r="F161" t="inlineStr">
        <is>
          <t>UPPSALA LÄN</t>
        </is>
      </c>
      <c r="G161" t="inlineStr">
        <is>
          <t>HEBY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45511</v>
      </c>
      <c r="E162" s="1" t="n">
        <v>46296</v>
      </c>
      <c r="F162" t="inlineStr">
        <is>
          <t>UPPSALA LÄN</t>
        </is>
      </c>
      <c r="G162" t="inlineStr">
        <is>
          <t>HEBY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45058</v>
      </c>
      <c r="E163" s="1" t="n">
        <v>46296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46296</v>
      </c>
      <c r="F164" t="inlineStr">
        <is>
          <t>UPPSALA LÄN</t>
        </is>
      </c>
      <c r="G164" t="inlineStr">
        <is>
          <t>HEBY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51091-2023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45218</v>
      </c>
      <c r="E165" s="1" t="n">
        <v>46296</v>
      </c>
      <c r="F165" t="inlineStr">
        <is>
          <t>UPPSALA LÄN</t>
        </is>
      </c>
      <c r="G165" t="inlineStr">
        <is>
          <t>HEBY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44781</v>
      </c>
      <c r="E166" s="1" t="n">
        <v>46296</v>
      </c>
      <c r="F166" t="inlineStr">
        <is>
          <t>UPPSALA LÄN</t>
        </is>
      </c>
      <c r="G166" t="inlineStr">
        <is>
          <t>HEBY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45181</v>
      </c>
      <c r="E167" s="1" t="n">
        <v>46296</v>
      </c>
      <c r="F167" t="inlineStr">
        <is>
          <t>UPPSALA LÄN</t>
        </is>
      </c>
      <c r="G167" t="inlineStr">
        <is>
          <t>HEBY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45062</v>
      </c>
      <c r="E168" s="1" t="n">
        <v>46296</v>
      </c>
      <c r="F168" t="inlineStr">
        <is>
          <t>UPPSALA LÄN</t>
        </is>
      </c>
      <c r="G168" t="inlineStr">
        <is>
          <t>HEBY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46296</v>
      </c>
      <c r="F169" t="inlineStr">
        <is>
          <t>UPPSALA LÄN</t>
        </is>
      </c>
      <c r="G169" t="inlineStr">
        <is>
          <t>HEBY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46296</v>
      </c>
      <c r="F170" t="inlineStr">
        <is>
          <t>UPPSALA LÄN</t>
        </is>
      </c>
      <c r="G170" t="inlineStr">
        <is>
          <t>HEBY</t>
        </is>
      </c>
      <c r="H170" t="inlineStr">
        <is>
          <t>Allmännings- och besparingsskogar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44993</v>
      </c>
      <c r="E171" s="1" t="n">
        <v>46296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45135</v>
      </c>
      <c r="E172" s="1" t="n">
        <v>46296</v>
      </c>
      <c r="F172" t="inlineStr">
        <is>
          <t>UPPSALA LÄN</t>
        </is>
      </c>
      <c r="G172" t="inlineStr">
        <is>
          <t>HEBY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44802</v>
      </c>
      <c r="E173" s="1" t="n">
        <v>46296</v>
      </c>
      <c r="F173" t="inlineStr">
        <is>
          <t>UPPSALA LÄN</t>
        </is>
      </c>
      <c r="G173" t="inlineStr">
        <is>
          <t>HEBY</t>
        </is>
      </c>
      <c r="I173" t="n">
        <v>12.1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45364</v>
      </c>
      <c r="E174" s="1" t="n">
        <v>46296</v>
      </c>
      <c r="F174" t="inlineStr">
        <is>
          <t>UPPSALA LÄN</t>
        </is>
      </c>
      <c r="G174" t="inlineStr">
        <is>
          <t>HEBY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46296</v>
      </c>
      <c r="F175" t="inlineStr">
        <is>
          <t>UPPSALA LÄN</t>
        </is>
      </c>
      <c r="G175" t="inlineStr">
        <is>
          <t>HEBY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44601</v>
      </c>
      <c r="E176" s="1" t="n">
        <v>46296</v>
      </c>
      <c r="F176" t="inlineStr">
        <is>
          <t>UPPSALA LÄN</t>
        </is>
      </c>
      <c r="G176" t="inlineStr">
        <is>
          <t>HEBY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44093-2024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46296</v>
      </c>
      <c r="F177" t="inlineStr">
        <is>
          <t>UPPSALA LÄN</t>
        </is>
      </c>
      <c r="G177" t="inlineStr">
        <is>
          <t>HEBY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44823</v>
      </c>
      <c r="E178" s="1" t="n">
        <v>46296</v>
      </c>
      <c r="F178" t="inlineStr">
        <is>
          <t>UPPSALA LÄN</t>
        </is>
      </c>
      <c r="G178" t="inlineStr">
        <is>
          <t>HEBY</t>
        </is>
      </c>
      <c r="H178" t="inlineStr">
        <is>
          <t>Övriga Aktiebolag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46296</v>
      </c>
      <c r="F179" t="inlineStr">
        <is>
          <t>UPPSALA LÄN</t>
        </is>
      </c>
      <c r="G179" t="inlineStr">
        <is>
          <t>HEBY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64899-2021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44512</v>
      </c>
      <c r="E180" s="1" t="n">
        <v>46296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öst AB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46296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46296</v>
      </c>
      <c r="F182" t="inlineStr">
        <is>
          <t>UPPSALA LÄN</t>
        </is>
      </c>
      <c r="G182" t="inlineStr">
        <is>
          <t>HEBY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46296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44802</v>
      </c>
      <c r="E184" s="1" t="n">
        <v>46296</v>
      </c>
      <c r="F184" t="inlineStr">
        <is>
          <t>UPPSALA LÄN</t>
        </is>
      </c>
      <c r="G184" t="inlineStr">
        <is>
          <t>HEBY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44802</v>
      </c>
      <c r="E185" s="1" t="n">
        <v>46296</v>
      </c>
      <c r="F185" t="inlineStr">
        <is>
          <t>UPPSALA LÄN</t>
        </is>
      </c>
      <c r="G185" t="inlineStr">
        <is>
          <t>HEBY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46296</v>
      </c>
      <c r="F186" t="inlineStr">
        <is>
          <t>UPPSALA LÄN</t>
        </is>
      </c>
      <c r="G186" t="inlineStr">
        <is>
          <t>HEBY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44951</v>
      </c>
      <c r="E187" s="1" t="n">
        <v>46296</v>
      </c>
      <c r="F187" t="inlineStr">
        <is>
          <t>UPPSALA LÄN</t>
        </is>
      </c>
      <c r="G187" t="inlineStr">
        <is>
          <t>HEBY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45133</v>
      </c>
      <c r="E188" s="1" t="n">
        <v>46296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66055-2021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46296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öst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45339</v>
      </c>
      <c r="E190" s="1" t="n">
        <v>46296</v>
      </c>
      <c r="F190" t="inlineStr">
        <is>
          <t>UPPSALA LÄN</t>
        </is>
      </c>
      <c r="G190" t="inlineStr">
        <is>
          <t>HEBY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45331</v>
      </c>
      <c r="E191" s="1" t="n">
        <v>46296</v>
      </c>
      <c r="F191" t="inlineStr">
        <is>
          <t>UPPSALA LÄN</t>
        </is>
      </c>
      <c r="G191" t="inlineStr">
        <is>
          <t>HEBY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45331</v>
      </c>
      <c r="E192" s="1" t="n">
        <v>46296</v>
      </c>
      <c r="F192" t="inlineStr">
        <is>
          <t>UPPSALA LÄN</t>
        </is>
      </c>
      <c r="G192" t="inlineStr">
        <is>
          <t>HEBY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45317</v>
      </c>
      <c r="E193" s="1" t="n">
        <v>46296</v>
      </c>
      <c r="F193" t="inlineStr">
        <is>
          <t>UPPSALA LÄN</t>
        </is>
      </c>
      <c r="G193" t="inlineStr">
        <is>
          <t>HEBY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74215-2021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44558</v>
      </c>
      <c r="E194" s="1" t="n">
        <v>46296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54594-2024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45617</v>
      </c>
      <c r="E195" s="1" t="n">
        <v>46296</v>
      </c>
      <c r="F195" t="inlineStr">
        <is>
          <t>UPPSALA LÄN</t>
        </is>
      </c>
      <c r="G195" t="inlineStr">
        <is>
          <t>HEBY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58913-2023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45250</v>
      </c>
      <c r="E196" s="1" t="n">
        <v>46296</v>
      </c>
      <c r="F196" t="inlineStr">
        <is>
          <t>UPPSALA LÄN</t>
        </is>
      </c>
      <c r="G196" t="inlineStr">
        <is>
          <t>HEBY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44614</v>
      </c>
      <c r="E197" s="1" t="n">
        <v>46296</v>
      </c>
      <c r="F197" t="inlineStr">
        <is>
          <t>UPPSALA LÄN</t>
        </is>
      </c>
      <c r="G197" t="inlineStr">
        <is>
          <t>HEBY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46296</v>
      </c>
      <c r="F198" t="inlineStr">
        <is>
          <t>UPPSALA LÄN</t>
        </is>
      </c>
      <c r="G198" t="inlineStr">
        <is>
          <t>HEBY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33376-2024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46296</v>
      </c>
      <c r="F199" t="inlineStr">
        <is>
          <t>UPPSALA LÄN</t>
        </is>
      </c>
      <c r="G199" t="inlineStr">
        <is>
          <t>HEBY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45519</v>
      </c>
      <c r="E200" s="1" t="n">
        <v>46296</v>
      </c>
      <c r="F200" t="inlineStr">
        <is>
          <t>UPPSALA LÄN</t>
        </is>
      </c>
      <c r="G200" t="inlineStr">
        <is>
          <t>HEBY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46296</v>
      </c>
      <c r="F201" t="inlineStr">
        <is>
          <t>UPPSALA LÄN</t>
        </is>
      </c>
      <c r="G201" t="inlineStr">
        <is>
          <t>HEBY</t>
        </is>
      </c>
      <c r="H201" t="inlineStr">
        <is>
          <t>Kyrkan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44701</v>
      </c>
      <c r="E202" s="1" t="n">
        <v>46296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45599</v>
      </c>
      <c r="E203" s="1" t="n">
        <v>46296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45195</v>
      </c>
      <c r="E204" s="1" t="n">
        <v>46296</v>
      </c>
      <c r="F204" t="inlineStr">
        <is>
          <t>UPPSALA LÄN</t>
        </is>
      </c>
      <c r="G204" t="inlineStr">
        <is>
          <t>HEBY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46296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44791</v>
      </c>
      <c r="E206" s="1" t="n">
        <v>46296</v>
      </c>
      <c r="F206" t="inlineStr">
        <is>
          <t>UPPSALA LÄN</t>
        </is>
      </c>
      <c r="G206" t="inlineStr">
        <is>
          <t>HEBY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44916</v>
      </c>
      <c r="E207" s="1" t="n">
        <v>46296</v>
      </c>
      <c r="F207" t="inlineStr">
        <is>
          <t>UPPSALA LÄN</t>
        </is>
      </c>
      <c r="G207" t="inlineStr">
        <is>
          <t>HEBY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44753</v>
      </c>
      <c r="E208" s="1" t="n">
        <v>46296</v>
      </c>
      <c r="F208" t="inlineStr">
        <is>
          <t>UPPSALA LÄN</t>
        </is>
      </c>
      <c r="G208" t="inlineStr">
        <is>
          <t>HEBY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44945</v>
      </c>
      <c r="E209" s="1" t="n">
        <v>46296</v>
      </c>
      <c r="F209" t="inlineStr">
        <is>
          <t>UPPSALA LÄN</t>
        </is>
      </c>
      <c r="G209" t="inlineStr">
        <is>
          <t>HEBY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46296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8660-2022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46296</v>
      </c>
      <c r="F211" t="inlineStr">
        <is>
          <t>UPPSALA LÄN</t>
        </is>
      </c>
      <c r="G211" t="inlineStr">
        <is>
          <t>HEBY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46296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46296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66.90000000000001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45132</v>
      </c>
      <c r="E214" s="1" t="n">
        <v>46296</v>
      </c>
      <c r="F214" t="inlineStr">
        <is>
          <t>UPPSALA LÄN</t>
        </is>
      </c>
      <c r="G214" t="inlineStr">
        <is>
          <t>HEBY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46296</v>
      </c>
      <c r="F215" t="inlineStr">
        <is>
          <t>UPPSALA LÄN</t>
        </is>
      </c>
      <c r="G215" t="inlineStr">
        <is>
          <t>HEBY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46296</v>
      </c>
      <c r="F216" t="inlineStr">
        <is>
          <t>UPPSALA LÄN</t>
        </is>
      </c>
      <c r="G216" t="inlineStr">
        <is>
          <t>HEBY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46296</v>
      </c>
      <c r="F217" t="inlineStr">
        <is>
          <t>UPPSALA LÄN</t>
        </is>
      </c>
      <c r="G217" t="inlineStr">
        <is>
          <t>HEBY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46296</v>
      </c>
      <c r="F218" t="inlineStr">
        <is>
          <t>UPPSALA LÄN</t>
        </is>
      </c>
      <c r="G218" t="inlineStr">
        <is>
          <t>HEBY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46296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46296</v>
      </c>
      <c r="F220" t="inlineStr">
        <is>
          <t>UPPSALA LÄN</t>
        </is>
      </c>
      <c r="G220" t="inlineStr">
        <is>
          <t>HEBY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46296</v>
      </c>
      <c r="F221" t="inlineStr">
        <is>
          <t>UPPSALA LÄN</t>
        </is>
      </c>
      <c r="G221" t="inlineStr">
        <is>
          <t>HEBY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44981</v>
      </c>
      <c r="E222" s="1" t="n">
        <v>46296</v>
      </c>
      <c r="F222" t="inlineStr">
        <is>
          <t>UPPSALA LÄN</t>
        </is>
      </c>
      <c r="G222" t="inlineStr">
        <is>
          <t>HEBY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46296</v>
      </c>
      <c r="F223" t="inlineStr">
        <is>
          <t>UPPSALA LÄN</t>
        </is>
      </c>
      <c r="G223" t="inlineStr">
        <is>
          <t>HEBY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46296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46296</v>
      </c>
      <c r="F225" t="inlineStr">
        <is>
          <t>UPPSALA LÄN</t>
        </is>
      </c>
      <c r="G225" t="inlineStr">
        <is>
          <t>HEBY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46296</v>
      </c>
      <c r="F226" t="inlineStr">
        <is>
          <t>UPPSALA LÄN</t>
        </is>
      </c>
      <c r="G226" t="inlineStr">
        <is>
          <t>HEBY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46647-2022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44849</v>
      </c>
      <c r="E227" s="1" t="n">
        <v>46296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46296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45132</v>
      </c>
      <c r="E229" s="1" t="n">
        <v>46296</v>
      </c>
      <c r="F229" t="inlineStr">
        <is>
          <t>UPPSALA LÄN</t>
        </is>
      </c>
      <c r="G229" t="inlineStr">
        <is>
          <t>HEBY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45132</v>
      </c>
      <c r="E230" s="1" t="n">
        <v>46296</v>
      </c>
      <c r="F230" t="inlineStr">
        <is>
          <t>UPPSALA LÄN</t>
        </is>
      </c>
      <c r="G230" t="inlineStr">
        <is>
          <t>HEBY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46296</v>
      </c>
      <c r="F231" t="inlineStr">
        <is>
          <t>UPPSALA LÄN</t>
        </is>
      </c>
      <c r="G231" t="inlineStr">
        <is>
          <t>HEBY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45674</v>
      </c>
      <c r="E232" s="1" t="n">
        <v>46296</v>
      </c>
      <c r="F232" t="inlineStr">
        <is>
          <t>UPPSALA LÄN</t>
        </is>
      </c>
      <c r="G232" t="inlineStr">
        <is>
          <t>HEBY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58914-2023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46296</v>
      </c>
      <c r="F233" t="inlineStr">
        <is>
          <t>UPPSALA LÄN</t>
        </is>
      </c>
      <c r="G233" t="inlineStr">
        <is>
          <t>HEBY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45050</v>
      </c>
      <c r="E234" s="1" t="n">
        <v>46296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väst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62650-2022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44925</v>
      </c>
      <c r="E235" s="1" t="n">
        <v>46296</v>
      </c>
      <c r="F235" t="inlineStr">
        <is>
          <t>UPPSALA LÄN</t>
        </is>
      </c>
      <c r="G235" t="inlineStr">
        <is>
          <t>HEBY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46296</v>
      </c>
      <c r="F236" t="inlineStr">
        <is>
          <t>UPPSALA LÄN</t>
        </is>
      </c>
      <c r="G236" t="inlineStr">
        <is>
          <t>HEBY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46296</v>
      </c>
      <c r="F237" t="inlineStr">
        <is>
          <t>UPPSALA LÄN</t>
        </is>
      </c>
      <c r="G237" t="inlineStr">
        <is>
          <t>HEBY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44533</v>
      </c>
      <c r="E238" s="1" t="n">
        <v>46296</v>
      </c>
      <c r="F238" t="inlineStr">
        <is>
          <t>UPPSALA LÄN</t>
        </is>
      </c>
      <c r="G238" t="inlineStr">
        <is>
          <t>HEBY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45686</v>
      </c>
      <c r="E239" s="1" t="n">
        <v>46296</v>
      </c>
      <c r="F239" t="inlineStr">
        <is>
          <t>UPPSALA LÄN</t>
        </is>
      </c>
      <c r="G239" t="inlineStr">
        <is>
          <t>HEBY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46296</v>
      </c>
      <c r="F240" t="inlineStr">
        <is>
          <t>UPPSALA LÄN</t>
        </is>
      </c>
      <c r="G240" t="inlineStr">
        <is>
          <t>HEBY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44694</v>
      </c>
      <c r="E241" s="1" t="n">
        <v>46296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46296</v>
      </c>
      <c r="F242" t="inlineStr">
        <is>
          <t>UPPSALA LÄN</t>
        </is>
      </c>
      <c r="G242" t="inlineStr">
        <is>
          <t>HEBY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44944</v>
      </c>
      <c r="E243" s="1" t="n">
        <v>46296</v>
      </c>
      <c r="F243" t="inlineStr">
        <is>
          <t>UPPSALA LÄN</t>
        </is>
      </c>
      <c r="G243" t="inlineStr">
        <is>
          <t>HEBY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46296</v>
      </c>
      <c r="F244" t="inlineStr">
        <is>
          <t>UPPSALA LÄN</t>
        </is>
      </c>
      <c r="G244" t="inlineStr">
        <is>
          <t>HEBY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46296</v>
      </c>
      <c r="F245" t="inlineStr">
        <is>
          <t>UPPSALA LÄN</t>
        </is>
      </c>
      <c r="G245" t="inlineStr">
        <is>
          <t>HEBY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9815-2022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44620</v>
      </c>
      <c r="E246" s="1" t="n">
        <v>46296</v>
      </c>
      <c r="F246" t="inlineStr">
        <is>
          <t>UPPSALA LÄN</t>
        </is>
      </c>
      <c r="G246" t="inlineStr">
        <is>
          <t>HEBY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44754</v>
      </c>
      <c r="E247" s="1" t="n">
        <v>46296</v>
      </c>
      <c r="F247" t="inlineStr">
        <is>
          <t>UPPSALA LÄN</t>
        </is>
      </c>
      <c r="G247" t="inlineStr">
        <is>
          <t>HEBY</t>
        </is>
      </c>
      <c r="H247" t="inlineStr">
        <is>
          <t>Bergvik skog öst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46296</v>
      </c>
      <c r="F248" t="inlineStr">
        <is>
          <t>UPPSALA LÄN</t>
        </is>
      </c>
      <c r="G248" t="inlineStr">
        <is>
          <t>HEBY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19990-2022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44697</v>
      </c>
      <c r="E249" s="1" t="n">
        <v>46296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14.3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45006</v>
      </c>
      <c r="E250" s="1" t="n">
        <v>46296</v>
      </c>
      <c r="F250" t="inlineStr">
        <is>
          <t>UPPSALA LÄN</t>
        </is>
      </c>
      <c r="G250" t="inlineStr">
        <is>
          <t>HEBY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46296</v>
      </c>
      <c r="F251" t="inlineStr">
        <is>
          <t>UPPSALA LÄN</t>
        </is>
      </c>
      <c r="G251" t="inlineStr">
        <is>
          <t>HEBY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44964</v>
      </c>
      <c r="E252" s="1" t="n">
        <v>46296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46296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44701</v>
      </c>
      <c r="E254" s="1" t="n">
        <v>46296</v>
      </c>
      <c r="F254" t="inlineStr">
        <is>
          <t>UPPSALA LÄN</t>
        </is>
      </c>
      <c r="G254" t="inlineStr">
        <is>
          <t>HEBY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45195</v>
      </c>
      <c r="E255" s="1" t="n">
        <v>46296</v>
      </c>
      <c r="F255" t="inlineStr">
        <is>
          <t>UPPSALA LÄN</t>
        </is>
      </c>
      <c r="G255" t="inlineStr">
        <is>
          <t>HEBY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46296</v>
      </c>
      <c r="F256" t="inlineStr">
        <is>
          <t>UPPSALA LÄN</t>
        </is>
      </c>
      <c r="G256" t="inlineStr">
        <is>
          <t>HEBY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46296</v>
      </c>
      <c r="F257" t="inlineStr">
        <is>
          <t>UPPSALA LÄN</t>
        </is>
      </c>
      <c r="G257" t="inlineStr">
        <is>
          <t>HEBY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45308</v>
      </c>
      <c r="E258" s="1" t="n">
        <v>46296</v>
      </c>
      <c r="F258" t="inlineStr">
        <is>
          <t>UPPSALA LÄN</t>
        </is>
      </c>
      <c r="G258" t="inlineStr">
        <is>
          <t>HEBY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34593-2023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45138</v>
      </c>
      <c r="E259" s="1" t="n">
        <v>46296</v>
      </c>
      <c r="F259" t="inlineStr">
        <is>
          <t>UPPSALA LÄN</t>
        </is>
      </c>
      <c r="G259" t="inlineStr">
        <is>
          <t>HEBY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42938-2022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44833</v>
      </c>
      <c r="E260" s="1" t="n">
        <v>46296</v>
      </c>
      <c r="F260" t="inlineStr">
        <is>
          <t>UPPSALA LÄN</t>
        </is>
      </c>
      <c r="G260" t="inlineStr">
        <is>
          <t>HEBY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46296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44568</v>
      </c>
      <c r="E262" s="1" t="n">
        <v>46296</v>
      </c>
      <c r="F262" t="inlineStr">
        <is>
          <t>UPPSALA LÄN</t>
        </is>
      </c>
      <c r="G262" t="inlineStr">
        <is>
          <t>HEBY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46296</v>
      </c>
      <c r="F263" t="inlineStr">
        <is>
          <t>UPPSALA LÄN</t>
        </is>
      </c>
      <c r="G263" t="inlineStr">
        <is>
          <t>HEBY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45394</v>
      </c>
      <c r="E264" s="1" t="n">
        <v>46296</v>
      </c>
      <c r="F264" t="inlineStr">
        <is>
          <t>UPPSALA LÄN</t>
        </is>
      </c>
      <c r="G264" t="inlineStr">
        <is>
          <t>HEBY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46296</v>
      </c>
      <c r="F265" t="inlineStr">
        <is>
          <t>UPPSALA LÄN</t>
        </is>
      </c>
      <c r="G265" t="inlineStr">
        <is>
          <t>HEBY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46296</v>
      </c>
      <c r="F266" t="inlineStr">
        <is>
          <t>UPPSALA LÄN</t>
        </is>
      </c>
      <c r="G266" t="inlineStr">
        <is>
          <t>HEBY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46296</v>
      </c>
      <c r="F267" t="inlineStr">
        <is>
          <t>UPPSALA LÄN</t>
        </is>
      </c>
      <c r="G267" t="inlineStr">
        <is>
          <t>HEBY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13213-2022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44644</v>
      </c>
      <c r="E268" s="1" t="n">
        <v>46296</v>
      </c>
      <c r="F268" t="inlineStr">
        <is>
          <t>UPPSALA LÄN</t>
        </is>
      </c>
      <c r="G268" t="inlineStr">
        <is>
          <t>HEBY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46296</v>
      </c>
      <c r="F269" t="inlineStr">
        <is>
          <t>UPPSALA LÄN</t>
        </is>
      </c>
      <c r="G269" t="inlineStr">
        <is>
          <t>HEBY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46296</v>
      </c>
      <c r="F270" t="inlineStr">
        <is>
          <t>UPPSALA LÄN</t>
        </is>
      </c>
      <c r="G270" t="inlineStr">
        <is>
          <t>HEBY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45390</v>
      </c>
      <c r="E271" s="1" t="n">
        <v>46296</v>
      </c>
      <c r="F271" t="inlineStr">
        <is>
          <t>UPPSALA LÄN</t>
        </is>
      </c>
      <c r="G271" t="inlineStr">
        <is>
          <t>HEBY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46296</v>
      </c>
      <c r="F272" t="inlineStr">
        <is>
          <t>UPPSALA LÄN</t>
        </is>
      </c>
      <c r="G272" t="inlineStr">
        <is>
          <t>HEBY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45786</v>
      </c>
      <c r="E273" s="1" t="n">
        <v>46296</v>
      </c>
      <c r="F273" t="inlineStr">
        <is>
          <t>UPPSALA LÄN</t>
        </is>
      </c>
      <c r="G273" t="inlineStr">
        <is>
          <t>HEBY</t>
        </is>
      </c>
      <c r="H273" t="inlineStr">
        <is>
          <t>Kyrkan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45786</v>
      </c>
      <c r="E274" s="1" t="n">
        <v>46296</v>
      </c>
      <c r="F274" t="inlineStr">
        <is>
          <t>UPPSALA LÄN</t>
        </is>
      </c>
      <c r="G274" t="inlineStr">
        <is>
          <t>HEBY</t>
        </is>
      </c>
      <c r="H274" t="inlineStr">
        <is>
          <t>Kyrkan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45761</v>
      </c>
      <c r="E275" s="1" t="n">
        <v>46296</v>
      </c>
      <c r="F275" t="inlineStr">
        <is>
          <t>UPPSALA LÄN</t>
        </is>
      </c>
      <c r="G275" t="inlineStr">
        <is>
          <t>HEBY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45321</v>
      </c>
      <c r="E276" s="1" t="n">
        <v>46296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46296</v>
      </c>
      <c r="F277" t="inlineStr">
        <is>
          <t>UPPSALA LÄN</t>
        </is>
      </c>
      <c r="G277" t="inlineStr">
        <is>
          <t>HEBY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44734</v>
      </c>
      <c r="E278" s="1" t="n">
        <v>46296</v>
      </c>
      <c r="F278" t="inlineStr">
        <is>
          <t>UPPSALA LÄN</t>
        </is>
      </c>
      <c r="G278" t="inlineStr">
        <is>
          <t>HEBY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45786</v>
      </c>
      <c r="E279" s="1" t="n">
        <v>46296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22460-2025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46296</v>
      </c>
      <c r="F280" t="inlineStr">
        <is>
          <t>UPPSALA LÄN</t>
        </is>
      </c>
      <c r="G280" t="inlineStr">
        <is>
          <t>HEBY</t>
        </is>
      </c>
      <c r="H280" t="inlineStr">
        <is>
          <t>Kyrkan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46296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44914</v>
      </c>
      <c r="E282" s="1" t="n">
        <v>46296</v>
      </c>
      <c r="F282" t="inlineStr">
        <is>
          <t>UPPSALA LÄN</t>
        </is>
      </c>
      <c r="G282" t="inlineStr">
        <is>
          <t>HEBY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45364</v>
      </c>
      <c r="E283" s="1" t="n">
        <v>46296</v>
      </c>
      <c r="F283" t="inlineStr">
        <is>
          <t>UPPSALA LÄN</t>
        </is>
      </c>
      <c r="G283" t="inlineStr">
        <is>
          <t>HEBY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70976-2021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44538</v>
      </c>
      <c r="E284" s="1" t="n">
        <v>46296</v>
      </c>
      <c r="F284" t="inlineStr">
        <is>
          <t>UPPSALA LÄN</t>
        </is>
      </c>
      <c r="G284" t="inlineStr">
        <is>
          <t>HEBY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46296</v>
      </c>
      <c r="F285" t="inlineStr">
        <is>
          <t>UPPSALA LÄN</t>
        </is>
      </c>
      <c r="G285" t="inlineStr">
        <is>
          <t>HEBY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45376</v>
      </c>
      <c r="E286" s="1" t="n">
        <v>46296</v>
      </c>
      <c r="F286" t="inlineStr">
        <is>
          <t>UPPSALA LÄN</t>
        </is>
      </c>
      <c r="G286" t="inlineStr">
        <is>
          <t>HEBY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46296</v>
      </c>
      <c r="F287" t="inlineStr">
        <is>
          <t>UPPSALA LÄN</t>
        </is>
      </c>
      <c r="G287" t="inlineStr">
        <is>
          <t>HEBY</t>
        </is>
      </c>
      <c r="H287" t="inlineStr">
        <is>
          <t>Övriga Aktiebolag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56352-2021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46296</v>
      </c>
      <c r="F288" t="inlineStr">
        <is>
          <t>UPPSALA LÄN</t>
        </is>
      </c>
      <c r="G288" t="inlineStr">
        <is>
          <t>HEBY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46296</v>
      </c>
      <c r="F289" t="inlineStr">
        <is>
          <t>UPPSALA LÄN</t>
        </is>
      </c>
      <c r="G289" t="inlineStr">
        <is>
          <t>HEBY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24558-2023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45083</v>
      </c>
      <c r="E290" s="1" t="n">
        <v>46296</v>
      </c>
      <c r="F290" t="inlineStr">
        <is>
          <t>UPPSALA LÄN</t>
        </is>
      </c>
      <c r="G290" t="inlineStr">
        <is>
          <t>HEBY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44944</v>
      </c>
      <c r="E291" s="1" t="n">
        <v>46296</v>
      </c>
      <c r="F291" t="inlineStr">
        <is>
          <t>UPPSALA LÄN</t>
        </is>
      </c>
      <c r="G291" t="inlineStr">
        <is>
          <t>HEBY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21302-2023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46296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44865</v>
      </c>
      <c r="E293" s="1" t="n">
        <v>46296</v>
      </c>
      <c r="F293" t="inlineStr">
        <is>
          <t>UPPSALA LÄN</t>
        </is>
      </c>
      <c r="G293" t="inlineStr">
        <is>
          <t>HEBY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46296</v>
      </c>
      <c r="F294" t="inlineStr">
        <is>
          <t>UPPSALA LÄN</t>
        </is>
      </c>
      <c r="G294" t="inlineStr">
        <is>
          <t>HEBY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46296</v>
      </c>
      <c r="F295" t="inlineStr">
        <is>
          <t>UPPSALA LÄN</t>
        </is>
      </c>
      <c r="G295" t="inlineStr">
        <is>
          <t>HEBY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45133</v>
      </c>
      <c r="E296" s="1" t="n">
        <v>46296</v>
      </c>
      <c r="F296" t="inlineStr">
        <is>
          <t>UPPSALA LÄN</t>
        </is>
      </c>
      <c r="G296" t="inlineStr">
        <is>
          <t>HEBY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46296</v>
      </c>
      <c r="F297" t="inlineStr">
        <is>
          <t>UPPSALA LÄN</t>
        </is>
      </c>
      <c r="G297" t="inlineStr">
        <is>
          <t>HEBY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46296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45688</v>
      </c>
      <c r="E299" s="1" t="n">
        <v>46296</v>
      </c>
      <c r="F299" t="inlineStr">
        <is>
          <t>UPPSALA LÄN</t>
        </is>
      </c>
      <c r="G299" t="inlineStr">
        <is>
          <t>HEBY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45390</v>
      </c>
      <c r="E300" s="1" t="n">
        <v>46296</v>
      </c>
      <c r="F300" t="inlineStr">
        <is>
          <t>UPPSALA LÄN</t>
        </is>
      </c>
      <c r="G300" t="inlineStr">
        <is>
          <t>HEBY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45181</v>
      </c>
      <c r="E301" s="1" t="n">
        <v>46296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46296</v>
      </c>
      <c r="F302" t="inlineStr">
        <is>
          <t>UPPSALA LÄN</t>
        </is>
      </c>
      <c r="G302" t="inlineStr">
        <is>
          <t>HEBY</t>
        </is>
      </c>
      <c r="H302" t="inlineStr">
        <is>
          <t>Kyrkan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46296</v>
      </c>
      <c r="F303" t="inlineStr">
        <is>
          <t>UPPSALA LÄN</t>
        </is>
      </c>
      <c r="G303" t="inlineStr">
        <is>
          <t>HEBY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46296</v>
      </c>
      <c r="F304" t="inlineStr">
        <is>
          <t>UPPSALA LÄN</t>
        </is>
      </c>
      <c r="G304" t="inlineStr">
        <is>
          <t>HEBY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46296</v>
      </c>
      <c r="F305" t="inlineStr">
        <is>
          <t>UPPSALA LÄN</t>
        </is>
      </c>
      <c r="G305" t="inlineStr">
        <is>
          <t>HEBY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72180-2021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44543</v>
      </c>
      <c r="E306" s="1" t="n">
        <v>46296</v>
      </c>
      <c r="F306" t="inlineStr">
        <is>
          <t>UPPSALA LÄN</t>
        </is>
      </c>
      <c r="G306" t="inlineStr">
        <is>
          <t>HEBY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33379-2022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44788</v>
      </c>
      <c r="E307" s="1" t="n">
        <v>46296</v>
      </c>
      <c r="F307" t="inlineStr">
        <is>
          <t>UPPSALA LÄN</t>
        </is>
      </c>
      <c r="G307" t="inlineStr">
        <is>
          <t>HEBY</t>
        </is>
      </c>
      <c r="I307" t="n">
        <v>18.8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45379</v>
      </c>
      <c r="E308" s="1" t="n">
        <v>46296</v>
      </c>
      <c r="F308" t="inlineStr">
        <is>
          <t>UPPSALA LÄN</t>
        </is>
      </c>
      <c r="G308" t="inlineStr">
        <is>
          <t>HEBY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1755-2022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44574</v>
      </c>
      <c r="E309" s="1" t="n">
        <v>46296</v>
      </c>
      <c r="F309" t="inlineStr">
        <is>
          <t>UPPSALA LÄN</t>
        </is>
      </c>
      <c r="G309" t="inlineStr">
        <is>
          <t>HEBY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56398-2023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46296</v>
      </c>
      <c r="F310" t="inlineStr">
        <is>
          <t>UPPSALA LÄN</t>
        </is>
      </c>
      <c r="G310" t="inlineStr">
        <is>
          <t>HEBY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44810</v>
      </c>
      <c r="E311" s="1" t="n">
        <v>46296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38831-2024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45547</v>
      </c>
      <c r="E312" s="1" t="n">
        <v>46296</v>
      </c>
      <c r="F312" t="inlineStr">
        <is>
          <t>UPPSALA LÄN</t>
        </is>
      </c>
      <c r="G312" t="inlineStr">
        <is>
          <t>HEBY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45331</v>
      </c>
      <c r="E313" s="1" t="n">
        <v>46296</v>
      </c>
      <c r="F313" t="inlineStr">
        <is>
          <t>UPPSALA LÄN</t>
        </is>
      </c>
      <c r="G313" t="inlineStr">
        <is>
          <t>HEBY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18144-2022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44684</v>
      </c>
      <c r="E314" s="1" t="n">
        <v>46296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18148-2022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44684</v>
      </c>
      <c r="E315" s="1" t="n">
        <v>46296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väst AB</t>
        </is>
      </c>
      <c r="I315" t="n">
        <v>41.8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45351</v>
      </c>
      <c r="E316" s="1" t="n">
        <v>46296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44586</v>
      </c>
      <c r="E317" s="1" t="n">
        <v>46296</v>
      </c>
      <c r="F317" t="inlineStr">
        <is>
          <t>UPPSALA LÄN</t>
        </is>
      </c>
      <c r="G317" t="inlineStr">
        <is>
          <t>HEBY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59486-2021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44491</v>
      </c>
      <c r="E318" s="1" t="n">
        <v>46296</v>
      </c>
      <c r="F318" t="inlineStr">
        <is>
          <t>UPPSALA LÄN</t>
        </is>
      </c>
      <c r="G318" t="inlineStr">
        <is>
          <t>HEBY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46296</v>
      </c>
      <c r="F319" t="inlineStr">
        <is>
          <t>UPPSALA LÄN</t>
        </is>
      </c>
      <c r="G319" t="inlineStr">
        <is>
          <t>HEBY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45114</v>
      </c>
      <c r="E320" s="1" t="n">
        <v>46296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46296</v>
      </c>
      <c r="F321" t="inlineStr">
        <is>
          <t>UPPSALA LÄN</t>
        </is>
      </c>
      <c r="G321" t="inlineStr">
        <is>
          <t>HEBY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44911</v>
      </c>
      <c r="E322" s="1" t="n">
        <v>46296</v>
      </c>
      <c r="F322" t="inlineStr">
        <is>
          <t>UPPSALA LÄN</t>
        </is>
      </c>
      <c r="G322" t="inlineStr">
        <is>
          <t>HEBY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3368-2024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45317</v>
      </c>
      <c r="E323" s="1" t="n">
        <v>46296</v>
      </c>
      <c r="F323" t="inlineStr">
        <is>
          <t>UPPSALA LÄN</t>
        </is>
      </c>
      <c r="G323" t="inlineStr">
        <is>
          <t>HEBY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46296</v>
      </c>
      <c r="F324" t="inlineStr">
        <is>
          <t>UPPSALA LÄN</t>
        </is>
      </c>
      <c r="G324" t="inlineStr">
        <is>
          <t>HEBY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45098</v>
      </c>
      <c r="E325" s="1" t="n">
        <v>46296</v>
      </c>
      <c r="F325" t="inlineStr">
        <is>
          <t>UPPSALA LÄN</t>
        </is>
      </c>
      <c r="G325" t="inlineStr">
        <is>
          <t>HEBY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44734</v>
      </c>
      <c r="E326" s="1" t="n">
        <v>46296</v>
      </c>
      <c r="F326" t="inlineStr">
        <is>
          <t>UPPSALA LÄN</t>
        </is>
      </c>
      <c r="G326" t="inlineStr">
        <is>
          <t>HEBY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45804</v>
      </c>
      <c r="E327" s="1" t="n">
        <v>46296</v>
      </c>
      <c r="F327" t="inlineStr">
        <is>
          <t>UPPSALA LÄN</t>
        </is>
      </c>
      <c r="G327" t="inlineStr">
        <is>
          <t>HEBY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45804</v>
      </c>
      <c r="E328" s="1" t="n">
        <v>46296</v>
      </c>
      <c r="F328" t="inlineStr">
        <is>
          <t>UPPSALA LÄN</t>
        </is>
      </c>
      <c r="G328" t="inlineStr">
        <is>
          <t>HEBY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45390</v>
      </c>
      <c r="E329" s="1" t="n">
        <v>46296</v>
      </c>
      <c r="F329" t="inlineStr">
        <is>
          <t>UPPSALA LÄN</t>
        </is>
      </c>
      <c r="G329" t="inlineStr">
        <is>
          <t>HEBY</t>
        </is>
      </c>
      <c r="I329" t="n">
        <v>15.8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45708</v>
      </c>
      <c r="E330" s="1" t="n">
        <v>46296</v>
      </c>
      <c r="F330" t="inlineStr">
        <is>
          <t>UPPSALA LÄN</t>
        </is>
      </c>
      <c r="G330" t="inlineStr">
        <is>
          <t>HEBY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46296</v>
      </c>
      <c r="F331" t="inlineStr">
        <is>
          <t>UPPSALA LÄN</t>
        </is>
      </c>
      <c r="G331" t="inlineStr">
        <is>
          <t>HEBY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44888</v>
      </c>
      <c r="E332" s="1" t="n">
        <v>46296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46296</v>
      </c>
      <c r="F333" t="inlineStr">
        <is>
          <t>UPPSALA LÄN</t>
        </is>
      </c>
      <c r="G333" t="inlineStr">
        <is>
          <t>HEBY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19721-2022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44694</v>
      </c>
      <c r="E334" s="1" t="n">
        <v>46296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45680</v>
      </c>
      <c r="E335" s="1" t="n">
        <v>46296</v>
      </c>
      <c r="F335" t="inlineStr">
        <is>
          <t>UPPSALA LÄN</t>
        </is>
      </c>
      <c r="G335" t="inlineStr">
        <is>
          <t>HEBY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44978</v>
      </c>
      <c r="E336" s="1" t="n">
        <v>46296</v>
      </c>
      <c r="F336" t="inlineStr">
        <is>
          <t>UPPSALA LÄN</t>
        </is>
      </c>
      <c r="G336" t="inlineStr">
        <is>
          <t>HEBY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46296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46296</v>
      </c>
      <c r="F338" t="inlineStr">
        <is>
          <t>UPPSALA LÄN</t>
        </is>
      </c>
      <c r="G338" t="inlineStr">
        <is>
          <t>HEBY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14884-2024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45398</v>
      </c>
      <c r="E339" s="1" t="n">
        <v>46296</v>
      </c>
      <c r="F339" t="inlineStr">
        <is>
          <t>UPPSALA LÄN</t>
        </is>
      </c>
      <c r="G339" t="inlineStr">
        <is>
          <t>HEBY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45519</v>
      </c>
      <c r="E340" s="1" t="n">
        <v>46296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52955-2022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44875</v>
      </c>
      <c r="E341" s="1" t="n">
        <v>46296</v>
      </c>
      <c r="F341" t="inlineStr">
        <is>
          <t>UPPSALA LÄN</t>
        </is>
      </c>
      <c r="G341" t="inlineStr">
        <is>
          <t>HEBY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45089</v>
      </c>
      <c r="E342" s="1" t="n">
        <v>46296</v>
      </c>
      <c r="F342" t="inlineStr">
        <is>
          <t>UPPSALA LÄN</t>
        </is>
      </c>
      <c r="G342" t="inlineStr">
        <is>
          <t>HEBY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46296</v>
      </c>
      <c r="F343" t="inlineStr">
        <is>
          <t>UPPSALA LÄN</t>
        </is>
      </c>
      <c r="G343" t="inlineStr">
        <is>
          <t>HEBY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45294</v>
      </c>
      <c r="E344" s="1" t="n">
        <v>46296</v>
      </c>
      <c r="F344" t="inlineStr">
        <is>
          <t>UPPSALA LÄN</t>
        </is>
      </c>
      <c r="G344" t="inlineStr">
        <is>
          <t>HEBY</t>
        </is>
      </c>
      <c r="H344" t="inlineStr">
        <is>
          <t>Kommuner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66873-2021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44522</v>
      </c>
      <c r="E345" s="1" t="n">
        <v>46296</v>
      </c>
      <c r="F345" t="inlineStr">
        <is>
          <t>UPPSALA LÄN</t>
        </is>
      </c>
      <c r="G345" t="inlineStr">
        <is>
          <t>HEBY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46296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56302-2021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44477</v>
      </c>
      <c r="E347" s="1" t="n">
        <v>46296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väst AB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46296</v>
      </c>
      <c r="F348" t="inlineStr">
        <is>
          <t>UPPSALA LÄN</t>
        </is>
      </c>
      <c r="G348" t="inlineStr">
        <is>
          <t>HEBY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46296</v>
      </c>
      <c r="F349" t="inlineStr">
        <is>
          <t>UPPSALA LÄN</t>
        </is>
      </c>
      <c r="G349" t="inlineStr">
        <is>
          <t>HEBY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46296</v>
      </c>
      <c r="F350" t="inlineStr">
        <is>
          <t>UPPSALA LÄN</t>
        </is>
      </c>
      <c r="G350" t="inlineStr">
        <is>
          <t>HEBY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45532</v>
      </c>
      <c r="E351" s="1" t="n">
        <v>46296</v>
      </c>
      <c r="F351" t="inlineStr">
        <is>
          <t>UPPSALA LÄN</t>
        </is>
      </c>
      <c r="G351" t="inlineStr">
        <is>
          <t>HEBY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45818</v>
      </c>
      <c r="E352" s="1" t="n">
        <v>46296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50859-2022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44862</v>
      </c>
      <c r="E353" s="1" t="n">
        <v>46296</v>
      </c>
      <c r="F353" t="inlineStr">
        <is>
          <t>UPPSALA LÄN</t>
        </is>
      </c>
      <c r="G353" t="inlineStr">
        <is>
          <t>HEBY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46296</v>
      </c>
      <c r="F354" t="inlineStr">
        <is>
          <t>UPPSALA LÄN</t>
        </is>
      </c>
      <c r="G354" t="inlineStr">
        <is>
          <t>HEBY</t>
        </is>
      </c>
      <c r="H354" t="inlineStr">
        <is>
          <t>Kyrkan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39157-2023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45166</v>
      </c>
      <c r="E355" s="1" t="n">
        <v>46296</v>
      </c>
      <c r="F355" t="inlineStr">
        <is>
          <t>UPPSALA LÄN</t>
        </is>
      </c>
      <c r="G355" t="inlineStr">
        <is>
          <t>HEBY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9766-2023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44984</v>
      </c>
      <c r="E356" s="1" t="n">
        <v>46296</v>
      </c>
      <c r="F356" t="inlineStr">
        <is>
          <t>UPPSALA LÄN</t>
        </is>
      </c>
      <c r="G356" t="inlineStr">
        <is>
          <t>HEBY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46296</v>
      </c>
      <c r="F357" t="inlineStr">
        <is>
          <t>UPPSALA LÄN</t>
        </is>
      </c>
      <c r="G357" t="inlineStr">
        <is>
          <t>HEBY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46296</v>
      </c>
      <c r="F358" t="inlineStr">
        <is>
          <t>UPPSALA LÄN</t>
        </is>
      </c>
      <c r="G358" t="inlineStr">
        <is>
          <t>HEBY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44944</v>
      </c>
      <c r="E359" s="1" t="n">
        <v>46296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45252</v>
      </c>
      <c r="E360" s="1" t="n">
        <v>46296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46296</v>
      </c>
      <c r="F361" t="inlineStr">
        <is>
          <t>UPPSALA LÄN</t>
        </is>
      </c>
      <c r="G361" t="inlineStr">
        <is>
          <t>HEBY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51082-2023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46296</v>
      </c>
      <c r="F362" t="inlineStr">
        <is>
          <t>UPPSALA LÄN</t>
        </is>
      </c>
      <c r="G362" t="inlineStr">
        <is>
          <t>HEBY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58332-2023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45250</v>
      </c>
      <c r="E363" s="1" t="n">
        <v>46296</v>
      </c>
      <c r="F363" t="inlineStr">
        <is>
          <t>UPPSALA LÄN</t>
        </is>
      </c>
      <c r="G363" t="inlineStr">
        <is>
          <t>HEBY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46296</v>
      </c>
      <c r="F364" t="inlineStr">
        <is>
          <t>UPPSALA LÄN</t>
        </is>
      </c>
      <c r="G364" t="inlineStr">
        <is>
          <t>HEBY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60722-2022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44913</v>
      </c>
      <c r="E365" s="1" t="n">
        <v>46296</v>
      </c>
      <c r="F365" t="inlineStr">
        <is>
          <t>UPPSALA LÄN</t>
        </is>
      </c>
      <c r="G365" t="inlineStr">
        <is>
          <t>HEBY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46296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69377-2021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44531</v>
      </c>
      <c r="E367" s="1" t="n">
        <v>46296</v>
      </c>
      <c r="F367" t="inlineStr">
        <is>
          <t>UPPSALA LÄN</t>
        </is>
      </c>
      <c r="G367" t="inlineStr">
        <is>
          <t>HEBY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46296</v>
      </c>
      <c r="F368" t="inlineStr">
        <is>
          <t>UPPSALA LÄN</t>
        </is>
      </c>
      <c r="G368" t="inlineStr">
        <is>
          <t>HEBY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46296</v>
      </c>
      <c r="F369" t="inlineStr">
        <is>
          <t>UPPSALA LÄN</t>
        </is>
      </c>
      <c r="G369" t="inlineStr">
        <is>
          <t>HEBY</t>
        </is>
      </c>
      <c r="H369" t="inlineStr">
        <is>
          <t>Övriga Aktiebolag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64364-2021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44511</v>
      </c>
      <c r="E370" s="1" t="n">
        <v>46296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45551</v>
      </c>
      <c r="E371" s="1" t="n">
        <v>46296</v>
      </c>
      <c r="F371" t="inlineStr">
        <is>
          <t>UPPSALA LÄN</t>
        </is>
      </c>
      <c r="G371" t="inlineStr">
        <is>
          <t>HEBY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60295-2021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46296</v>
      </c>
      <c r="F372" t="inlineStr">
        <is>
          <t>UPPSALA LÄN</t>
        </is>
      </c>
      <c r="G372" t="inlineStr">
        <is>
          <t>HEBY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62145-2022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44914</v>
      </c>
      <c r="E373" s="1" t="n">
        <v>46296</v>
      </c>
      <c r="F373" t="inlineStr">
        <is>
          <t>UPPSALA LÄN</t>
        </is>
      </c>
      <c r="G373" t="inlineStr">
        <is>
          <t>HEBY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33394-2024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45519</v>
      </c>
      <c r="E374" s="1" t="n">
        <v>46296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45439</v>
      </c>
      <c r="E375" s="1" t="n">
        <v>46296</v>
      </c>
      <c r="F375" t="inlineStr">
        <is>
          <t>UPPSALA LÄN</t>
        </is>
      </c>
      <c r="G375" t="inlineStr">
        <is>
          <t>HEBY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46296</v>
      </c>
      <c r="F376" t="inlineStr">
        <is>
          <t>UPPSALA LÄN</t>
        </is>
      </c>
      <c r="G376" t="inlineStr">
        <is>
          <t>HEBY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45764</v>
      </c>
      <c r="E377" s="1" t="n">
        <v>46296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45764</v>
      </c>
      <c r="E378" s="1" t="n">
        <v>46296</v>
      </c>
      <c r="F378" t="inlineStr">
        <is>
          <t>UPPSALA LÄN</t>
        </is>
      </c>
      <c r="G378" t="inlineStr">
        <is>
          <t>HEBY</t>
        </is>
      </c>
      <c r="H378" t="inlineStr">
        <is>
          <t>Bergvik skog väst AB</t>
        </is>
      </c>
      <c r="I378" t="n">
        <v>43.4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40924-2023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45173</v>
      </c>
      <c r="E379" s="1" t="n">
        <v>46296</v>
      </c>
      <c r="F379" t="inlineStr">
        <is>
          <t>UPPSALA LÄN</t>
        </is>
      </c>
      <c r="G379" t="inlineStr">
        <is>
          <t>HEBY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40926-2023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45173</v>
      </c>
      <c r="E380" s="1" t="n">
        <v>46296</v>
      </c>
      <c r="F380" t="inlineStr">
        <is>
          <t>UPPSALA LÄN</t>
        </is>
      </c>
      <c r="G380" t="inlineStr">
        <is>
          <t>HEBY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46296</v>
      </c>
      <c r="F381" t="inlineStr">
        <is>
          <t>UPPSALA LÄN</t>
        </is>
      </c>
      <c r="G381" t="inlineStr">
        <is>
          <t>HEBY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16404-2023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45029</v>
      </c>
      <c r="E382" s="1" t="n">
        <v>46296</v>
      </c>
      <c r="F382" t="inlineStr">
        <is>
          <t>UPPSALA LÄN</t>
        </is>
      </c>
      <c r="G382" t="inlineStr">
        <is>
          <t>HEBY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44956</v>
      </c>
      <c r="E383" s="1" t="n">
        <v>46296</v>
      </c>
      <c r="F383" t="inlineStr">
        <is>
          <t>UPPSALA LÄN</t>
        </is>
      </c>
      <c r="G383" t="inlineStr">
        <is>
          <t>HEBY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45406</v>
      </c>
      <c r="E384" s="1" t="n">
        <v>46296</v>
      </c>
      <c r="F384" t="inlineStr">
        <is>
          <t>UPPSALA LÄN</t>
        </is>
      </c>
      <c r="G384" t="inlineStr">
        <is>
          <t>HEBY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50172-2024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45599</v>
      </c>
      <c r="E385" s="1" t="n">
        <v>46296</v>
      </c>
      <c r="F385" t="inlineStr">
        <is>
          <t>UPPSALA LÄN</t>
        </is>
      </c>
      <c r="G385" t="inlineStr">
        <is>
          <t>HEBY</t>
        </is>
      </c>
      <c r="H385" t="inlineStr">
        <is>
          <t>Bergvik skog väst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46296</v>
      </c>
      <c r="F386" t="inlineStr">
        <is>
          <t>UPPSALA LÄN</t>
        </is>
      </c>
      <c r="G386" t="inlineStr">
        <is>
          <t>HEBY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7173-2024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46296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46296</v>
      </c>
      <c r="F388" t="inlineStr">
        <is>
          <t>UPPSALA LÄN</t>
        </is>
      </c>
      <c r="G388" t="inlineStr">
        <is>
          <t>HEBY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44568</v>
      </c>
      <c r="E389" s="1" t="n">
        <v>46296</v>
      </c>
      <c r="F389" t="inlineStr">
        <is>
          <t>UPPSALA LÄN</t>
        </is>
      </c>
      <c r="G389" t="inlineStr">
        <is>
          <t>HEBY</t>
        </is>
      </c>
      <c r="I389" t="n">
        <v>10.6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44752</v>
      </c>
      <c r="E390" s="1" t="n">
        <v>46296</v>
      </c>
      <c r="F390" t="inlineStr">
        <is>
          <t>UPPSALA LÄN</t>
        </is>
      </c>
      <c r="G390" t="inlineStr">
        <is>
          <t>HEBY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45693</v>
      </c>
      <c r="E391" s="1" t="n">
        <v>46296</v>
      </c>
      <c r="F391" t="inlineStr">
        <is>
          <t>UPPSALA LÄN</t>
        </is>
      </c>
      <c r="G391" t="inlineStr">
        <is>
          <t>HEBY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45008</v>
      </c>
      <c r="E392" s="1" t="n">
        <v>46296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46296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väst AB</t>
        </is>
      </c>
      <c r="I393" t="n">
        <v>11.8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45847</v>
      </c>
      <c r="E394" s="1" t="n">
        <v>46296</v>
      </c>
      <c r="F394" t="inlineStr">
        <is>
          <t>UPPSALA LÄN</t>
        </is>
      </c>
      <c r="G394" t="inlineStr">
        <is>
          <t>HEBY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46296</v>
      </c>
      <c r="F395" t="inlineStr">
        <is>
          <t>UPPSALA LÄN</t>
        </is>
      </c>
      <c r="G395" t="inlineStr">
        <is>
          <t>HEBY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46296</v>
      </c>
      <c r="F396" t="inlineStr">
        <is>
          <t>UPPSALA LÄN</t>
        </is>
      </c>
      <c r="G396" t="inlineStr">
        <is>
          <t>HEBY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44574</v>
      </c>
      <c r="E397" s="1" t="n">
        <v>46296</v>
      </c>
      <c r="F397" t="inlineStr">
        <is>
          <t>UPPSALA LÄN</t>
        </is>
      </c>
      <c r="G397" t="inlineStr">
        <is>
          <t>HEBY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45852</v>
      </c>
      <c r="E398" s="1" t="n">
        <v>46296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10.3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45852</v>
      </c>
      <c r="E399" s="1" t="n">
        <v>46296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45128</v>
      </c>
      <c r="E400" s="1" t="n">
        <v>46296</v>
      </c>
      <c r="F400" t="inlineStr">
        <is>
          <t>UPPSALA LÄN</t>
        </is>
      </c>
      <c r="G400" t="inlineStr">
        <is>
          <t>HEBY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46296</v>
      </c>
      <c r="F401" t="inlineStr">
        <is>
          <t>UPPSALA LÄN</t>
        </is>
      </c>
      <c r="G401" t="inlineStr">
        <is>
          <t>HEBY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44942</v>
      </c>
      <c r="E402" s="1" t="n">
        <v>46296</v>
      </c>
      <c r="F402" t="inlineStr">
        <is>
          <t>UPPSALA LÄN</t>
        </is>
      </c>
      <c r="G402" t="inlineStr">
        <is>
          <t>HEBY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44984</v>
      </c>
      <c r="E403" s="1" t="n">
        <v>46296</v>
      </c>
      <c r="F403" t="inlineStr">
        <is>
          <t>UPPSALA LÄN</t>
        </is>
      </c>
      <c r="G403" t="inlineStr">
        <is>
          <t>HEBY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45013</v>
      </c>
      <c r="E404" s="1" t="n">
        <v>46296</v>
      </c>
      <c r="F404" t="inlineStr">
        <is>
          <t>UPPSALA LÄN</t>
        </is>
      </c>
      <c r="G404" t="inlineStr">
        <is>
          <t>HEBY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45321</v>
      </c>
      <c r="E405" s="1" t="n">
        <v>46296</v>
      </c>
      <c r="F405" t="inlineStr">
        <is>
          <t>UPPSALA LÄN</t>
        </is>
      </c>
      <c r="G405" t="inlineStr">
        <is>
          <t>HEBY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45092</v>
      </c>
      <c r="E406" s="1" t="n">
        <v>46296</v>
      </c>
      <c r="F406" t="inlineStr">
        <is>
          <t>UPPSALA LÄN</t>
        </is>
      </c>
      <c r="G406" t="inlineStr">
        <is>
          <t>HEBY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55204-2022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44886</v>
      </c>
      <c r="E407" s="1" t="n">
        <v>46296</v>
      </c>
      <c r="F407" t="inlineStr">
        <is>
          <t>UPPSALA LÄN</t>
        </is>
      </c>
      <c r="G407" t="inlineStr">
        <is>
          <t>HEBY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46296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väst AB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64191-2023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46296</v>
      </c>
      <c r="F409" t="inlineStr">
        <is>
          <t>UPPSALA LÄN</t>
        </is>
      </c>
      <c r="G409" t="inlineStr">
        <is>
          <t>HEBY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45687</v>
      </c>
      <c r="E410" s="1" t="n">
        <v>46296</v>
      </c>
      <c r="F410" t="inlineStr">
        <is>
          <t>UPPSALA LÄN</t>
        </is>
      </c>
      <c r="G410" t="inlineStr">
        <is>
          <t>HEBY</t>
        </is>
      </c>
      <c r="H410" t="inlineStr">
        <is>
          <t>Övriga Aktiebolag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61807-2022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44917</v>
      </c>
      <c r="E411" s="1" t="n">
        <v>46296</v>
      </c>
      <c r="F411" t="inlineStr">
        <is>
          <t>UPPSALA LÄN</t>
        </is>
      </c>
      <c r="G411" t="inlineStr">
        <is>
          <t>HEBY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39409-2025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45889</v>
      </c>
      <c r="E412" s="1" t="n">
        <v>46296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16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50255-2025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45944</v>
      </c>
      <c r="E413" s="1" t="n">
        <v>46296</v>
      </c>
      <c r="F413" t="inlineStr">
        <is>
          <t>UPPSALA LÄN</t>
        </is>
      </c>
      <c r="G413" t="inlineStr">
        <is>
          <t>HEBY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46296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45891</v>
      </c>
      <c r="E415" s="1" t="n">
        <v>46296</v>
      </c>
      <c r="F415" t="inlineStr">
        <is>
          <t>UPPSALA LÄN</t>
        </is>
      </c>
      <c r="G415" t="inlineStr">
        <is>
          <t>HEBY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45777</v>
      </c>
      <c r="E416" s="1" t="n">
        <v>46296</v>
      </c>
      <c r="F416" t="inlineStr">
        <is>
          <t>UPPSALA LÄN</t>
        </is>
      </c>
      <c r="G416" t="inlineStr">
        <is>
          <t>HEBY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46296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51333-2025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45950</v>
      </c>
      <c r="E418" s="1" t="n">
        <v>46296</v>
      </c>
      <c r="F418" t="inlineStr">
        <is>
          <t>UPPSALA LÄN</t>
        </is>
      </c>
      <c r="G418" t="inlineStr">
        <is>
          <t>HEBY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45898</v>
      </c>
      <c r="E419" s="1" t="n">
        <v>46296</v>
      </c>
      <c r="F419" t="inlineStr">
        <is>
          <t>UPPSALA LÄN</t>
        </is>
      </c>
      <c r="G419" t="inlineStr">
        <is>
          <t>HEBY</t>
        </is>
      </c>
      <c r="I419" t="n">
        <v>14.8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41246-2025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45898</v>
      </c>
      <c r="E420" s="1" t="n">
        <v>46296</v>
      </c>
      <c r="F420" t="inlineStr">
        <is>
          <t>UPPSALA LÄN</t>
        </is>
      </c>
      <c r="G420" t="inlineStr">
        <is>
          <t>HEBY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51685-2025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45951</v>
      </c>
      <c r="E421" s="1" t="n">
        <v>46296</v>
      </c>
      <c r="F421" t="inlineStr">
        <is>
          <t>UPPSALA LÄN</t>
        </is>
      </c>
      <c r="G421" t="inlineStr">
        <is>
          <t>HEBY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45952</v>
      </c>
      <c r="E422" s="1" t="n">
        <v>46296</v>
      </c>
      <c r="F422" t="inlineStr">
        <is>
          <t>UPPSALA LÄN</t>
        </is>
      </c>
      <c r="G422" t="inlineStr">
        <is>
          <t>HEBY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45952</v>
      </c>
      <c r="E423" s="1" t="n">
        <v>46296</v>
      </c>
      <c r="F423" t="inlineStr">
        <is>
          <t>UPPSALA LÄN</t>
        </is>
      </c>
      <c r="G423" t="inlineStr">
        <is>
          <t>HEBY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52861-2025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46296</v>
      </c>
      <c r="F424" t="inlineStr">
        <is>
          <t>UPPSALA LÄN</t>
        </is>
      </c>
      <c r="G424" t="inlineStr">
        <is>
          <t>HEBY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53186-2025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46296</v>
      </c>
      <c r="F425" t="inlineStr">
        <is>
          <t>UPPSALA LÄN</t>
        </is>
      </c>
      <c r="G425" t="inlineStr">
        <is>
          <t>HEBY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46296</v>
      </c>
      <c r="F426" t="inlineStr">
        <is>
          <t>UPPSALA LÄN</t>
        </is>
      </c>
      <c r="G426" t="inlineStr">
        <is>
          <t>HEBY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45294</v>
      </c>
      <c r="E427" s="1" t="n">
        <v>46296</v>
      </c>
      <c r="F427" t="inlineStr">
        <is>
          <t>UPPSALA LÄN</t>
        </is>
      </c>
      <c r="G427" t="inlineStr">
        <is>
          <t>HEBY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46296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45092</v>
      </c>
      <c r="E429" s="1" t="n">
        <v>46296</v>
      </c>
      <c r="F429" t="inlineStr">
        <is>
          <t>UPPSALA LÄN</t>
        </is>
      </c>
      <c r="G429" t="inlineStr">
        <is>
          <t>HEBY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46296</v>
      </c>
      <c r="F430" t="inlineStr">
        <is>
          <t>UPPSALA LÄN</t>
        </is>
      </c>
      <c r="G430" t="inlineStr">
        <is>
          <t>HEBY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45967</v>
      </c>
      <c r="E431" s="1" t="n">
        <v>46296</v>
      </c>
      <c r="F431" t="inlineStr">
        <is>
          <t>UPPSALA LÄN</t>
        </is>
      </c>
      <c r="G431" t="inlineStr">
        <is>
          <t>HEBY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46296</v>
      </c>
      <c r="F432" t="inlineStr">
        <is>
          <t>UPPSALA LÄN</t>
        </is>
      </c>
      <c r="G432" t="inlineStr">
        <is>
          <t>HEBY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45417-2025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46296</v>
      </c>
      <c r="F433" t="inlineStr">
        <is>
          <t>UPPSALA LÄN</t>
        </is>
      </c>
      <c r="G433" t="inlineStr">
        <is>
          <t>HEBY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45382-2025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46296</v>
      </c>
      <c r="F434" t="inlineStr">
        <is>
          <t>UPPSALA LÄN</t>
        </is>
      </c>
      <c r="G434" t="inlineStr">
        <is>
          <t>HEBY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46296</v>
      </c>
      <c r="F435" t="inlineStr">
        <is>
          <t>UPPSALA LÄN</t>
        </is>
      </c>
      <c r="G435" t="inlineStr">
        <is>
          <t>HEBY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55488-2025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45971</v>
      </c>
      <c r="E436" s="1" t="n">
        <v>46296</v>
      </c>
      <c r="F436" t="inlineStr">
        <is>
          <t>UPPSALA LÄN</t>
        </is>
      </c>
      <c r="G436" t="inlineStr">
        <is>
          <t>HEBY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55496-2025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45971</v>
      </c>
      <c r="E437" s="1" t="n">
        <v>46296</v>
      </c>
      <c r="F437" t="inlineStr">
        <is>
          <t>UPPSALA LÄN</t>
        </is>
      </c>
      <c r="G437" t="inlineStr">
        <is>
          <t>HEBY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45972</v>
      </c>
      <c r="E438" s="1" t="n">
        <v>46296</v>
      </c>
      <c r="F438" t="inlineStr">
        <is>
          <t>UPPSALA LÄN</t>
        </is>
      </c>
      <c r="G438" t="inlineStr">
        <is>
          <t>HEBY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45930</v>
      </c>
      <c r="E439" s="1" t="n">
        <v>46296</v>
      </c>
      <c r="F439" t="inlineStr">
        <is>
          <t>UPPSALA LÄN</t>
        </is>
      </c>
      <c r="G439" t="inlineStr">
        <is>
          <t>HEBY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45980</v>
      </c>
      <c r="E440" s="1" t="n">
        <v>46296</v>
      </c>
      <c r="F440" t="inlineStr">
        <is>
          <t>UPPSALA LÄN</t>
        </is>
      </c>
      <c r="G440" t="inlineStr">
        <is>
          <t>HEBY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46296</v>
      </c>
      <c r="F441" t="inlineStr">
        <is>
          <t>UPPSALA LÄN</t>
        </is>
      </c>
      <c r="G441" t="inlineStr">
        <is>
          <t>HEBY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45980</v>
      </c>
      <c r="E442" s="1" t="n">
        <v>46296</v>
      </c>
      <c r="F442" t="inlineStr">
        <is>
          <t>UPPSALA LÄN</t>
        </is>
      </c>
      <c r="G442" t="inlineStr">
        <is>
          <t>HEBY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40435-2025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45895</v>
      </c>
      <c r="E443" s="1" t="n">
        <v>46296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öst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51733-2025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45951</v>
      </c>
      <c r="E444" s="1" t="n">
        <v>46296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öst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46296</v>
      </c>
      <c r="F445" t="inlineStr">
        <is>
          <t>UPPSALA LÄN</t>
        </is>
      </c>
      <c r="G445" t="inlineStr">
        <is>
          <t>HEBY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46296</v>
      </c>
      <c r="F446" t="inlineStr">
        <is>
          <t>UPPSALA LÄN</t>
        </is>
      </c>
      <c r="G446" t="inlineStr">
        <is>
          <t>HEBY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61884-2025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46003</v>
      </c>
      <c r="E447" s="1" t="n">
        <v>46296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46003</v>
      </c>
      <c r="E448" s="1" t="n">
        <v>46296</v>
      </c>
      <c r="F448" t="inlineStr">
        <is>
          <t>UPPSALA LÄN</t>
        </is>
      </c>
      <c r="G448" t="inlineStr">
        <is>
          <t>HEBY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62042-2025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46005</v>
      </c>
      <c r="E449" s="1" t="n">
        <v>46296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62475-2025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46007</v>
      </c>
      <c r="E450" s="1" t="n">
        <v>46296</v>
      </c>
      <c r="F450" t="inlineStr">
        <is>
          <t>UPPSALA LÄN</t>
        </is>
      </c>
      <c r="G450" t="inlineStr">
        <is>
          <t>HEBY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46023</v>
      </c>
      <c r="E451" s="1" t="n">
        <v>46296</v>
      </c>
      <c r="F451" t="inlineStr">
        <is>
          <t>UPPSALA LÄN</t>
        </is>
      </c>
      <c r="G451" t="inlineStr">
        <is>
          <t>HEBY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46296</v>
      </c>
      <c r="F452" t="inlineStr">
        <is>
          <t>UPPSALA LÄN</t>
        </is>
      </c>
      <c r="G452" t="inlineStr">
        <is>
          <t>HEBY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46296</v>
      </c>
      <c r="F453" t="inlineStr">
        <is>
          <t>UPPSALA LÄN</t>
        </is>
      </c>
      <c r="G453" t="inlineStr">
        <is>
          <t>HEBY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46296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46296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46296</v>
      </c>
      <c r="F456" t="inlineStr">
        <is>
          <t>UPPSALA LÄN</t>
        </is>
      </c>
      <c r="G456" t="inlineStr">
        <is>
          <t>HEBY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46296</v>
      </c>
      <c r="F457" t="inlineStr">
        <is>
          <t>UPPSALA LÄN</t>
        </is>
      </c>
      <c r="G457" t="inlineStr">
        <is>
          <t>HEBY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11555-2026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46084</v>
      </c>
      <c r="E458" s="1" t="n">
        <v>46296</v>
      </c>
      <c r="F458" t="inlineStr">
        <is>
          <t>UPPSALA LÄN</t>
        </is>
      </c>
      <c r="G458" t="inlineStr">
        <is>
          <t>HEBY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46296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46296</v>
      </c>
      <c r="F460" t="inlineStr">
        <is>
          <t>UPPSALA LÄN</t>
        </is>
      </c>
      <c r="G460" t="inlineStr">
        <is>
          <t>HEBY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46296</v>
      </c>
      <c r="F461" t="inlineStr">
        <is>
          <t>UPPSALA LÄN</t>
        </is>
      </c>
      <c r="G461" t="inlineStr">
        <is>
          <t>HEBY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46057</v>
      </c>
      <c r="E462" s="1" t="n">
        <v>46296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46058</v>
      </c>
      <c r="E463" s="1" t="n">
        <v>46296</v>
      </c>
      <c r="F463" t="inlineStr">
        <is>
          <t>UPPSALA LÄN</t>
        </is>
      </c>
      <c r="G463" t="inlineStr">
        <is>
          <t>HEBY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46296</v>
      </c>
      <c r="F464" t="inlineStr">
        <is>
          <t>UPPSALA LÄN</t>
        </is>
      </c>
      <c r="G464" t="inlineStr">
        <is>
          <t>HEBY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46296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46296</v>
      </c>
      <c r="F466" t="inlineStr">
        <is>
          <t>UPPSALA LÄN</t>
        </is>
      </c>
      <c r="G466" t="inlineStr">
        <is>
          <t>HEBY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46063</v>
      </c>
      <c r="E467" s="1" t="n">
        <v>46296</v>
      </c>
      <c r="F467" t="inlineStr">
        <is>
          <t>UPPSALA LÄN</t>
        </is>
      </c>
      <c r="G467" t="inlineStr">
        <is>
          <t>HEBY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46296</v>
      </c>
      <c r="F468" t="inlineStr">
        <is>
          <t>UPPSALA LÄN</t>
        </is>
      </c>
      <c r="G468" t="inlineStr">
        <is>
          <t>HEBY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6660-2026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46296</v>
      </c>
      <c r="F469" t="inlineStr">
        <is>
          <t>UPPSALA LÄN</t>
        </is>
      </c>
      <c r="G469" t="inlineStr">
        <is>
          <t>HEBY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46296</v>
      </c>
      <c r="F470" t="inlineStr">
        <is>
          <t>UPPSALA LÄN</t>
        </is>
      </c>
      <c r="G470" t="inlineStr">
        <is>
          <t>HEBY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46296</v>
      </c>
      <c r="F471" t="inlineStr">
        <is>
          <t>UPPSALA LÄN</t>
        </is>
      </c>
      <c r="G471" t="inlineStr">
        <is>
          <t>HEBY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46296</v>
      </c>
      <c r="F472" t="inlineStr">
        <is>
          <t>UPPSALA LÄN</t>
        </is>
      </c>
      <c r="G472" t="inlineStr">
        <is>
          <t>HEBY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10131-2026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46296</v>
      </c>
      <c r="F473" t="inlineStr">
        <is>
          <t>UPPSALA LÄN</t>
        </is>
      </c>
      <c r="G473" t="inlineStr">
        <is>
          <t>HEBY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46296</v>
      </c>
      <c r="F474" t="inlineStr">
        <is>
          <t>UPPSALA LÄN</t>
        </is>
      </c>
      <c r="G474" t="inlineStr">
        <is>
          <t>HEBY</t>
        </is>
      </c>
      <c r="I474" t="n">
        <v>11.5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46296</v>
      </c>
      <c r="F475" t="inlineStr">
        <is>
          <t>UPPSALA LÄN</t>
        </is>
      </c>
      <c r="G475" t="inlineStr">
        <is>
          <t>HEBY</t>
        </is>
      </c>
      <c r="I475" t="n">
        <v>8.699999999999999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13302-2026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46296</v>
      </c>
      <c r="F476" t="inlineStr">
        <is>
          <t>UPPSALA LÄN</t>
        </is>
      </c>
      <c r="G476" t="inlineStr">
        <is>
          <t>HEBY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46296</v>
      </c>
      <c r="F477" t="inlineStr">
        <is>
          <t>UPPSALA LÄN</t>
        </is>
      </c>
      <c r="G477" t="inlineStr">
        <is>
          <t>HEBY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46296</v>
      </c>
      <c r="F478" t="inlineStr">
        <is>
          <t>UPPSALA LÄN</t>
        </is>
      </c>
      <c r="G478" t="inlineStr">
        <is>
          <t>HEBY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46296</v>
      </c>
      <c r="F479" t="inlineStr">
        <is>
          <t>UPPSALA LÄN</t>
        </is>
      </c>
      <c r="G479" t="inlineStr">
        <is>
          <t>HEBY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46093</v>
      </c>
      <c r="E480" s="1" t="n">
        <v>46296</v>
      </c>
      <c r="F480" t="inlineStr">
        <is>
          <t>UPPSALA LÄN</t>
        </is>
      </c>
      <c r="G480" t="inlineStr">
        <is>
          <t>HEBY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46296</v>
      </c>
      <c r="F481" t="inlineStr">
        <is>
          <t>UPPSALA LÄN</t>
        </is>
      </c>
      <c r="G481" t="inlineStr">
        <is>
          <t>HEBY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16164-2026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46110</v>
      </c>
      <c r="E482" s="1" t="n">
        <v>46296</v>
      </c>
      <c r="F482" t="inlineStr">
        <is>
          <t>UPPSALA LÄN</t>
        </is>
      </c>
      <c r="G482" t="inlineStr">
        <is>
          <t>HEBY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46296</v>
      </c>
      <c r="F483" t="inlineStr">
        <is>
          <t>UPPSALA LÄN</t>
        </is>
      </c>
      <c r="G483" t="inlineStr">
        <is>
          <t>HEBY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46296</v>
      </c>
      <c r="F484" t="inlineStr">
        <is>
          <t>UPPSALA LÄN</t>
        </is>
      </c>
      <c r="G484" t="inlineStr">
        <is>
          <t>HEBY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46296</v>
      </c>
      <c r="F485" t="inlineStr">
        <is>
          <t>UPPSALA LÄN</t>
        </is>
      </c>
      <c r="G485" t="inlineStr">
        <is>
          <t>HEBY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16506-2026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46112</v>
      </c>
      <c r="E486" s="1" t="n">
        <v>46296</v>
      </c>
      <c r="F486" t="inlineStr">
        <is>
          <t>UPPSALA LÄN</t>
        </is>
      </c>
      <c r="G486" t="inlineStr">
        <is>
          <t>HEBY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46296</v>
      </c>
      <c r="F487" t="inlineStr">
        <is>
          <t>UPPSALA LÄN</t>
        </is>
      </c>
      <c r="G487" t="inlineStr">
        <is>
          <t>HEBY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46296</v>
      </c>
      <c r="F488" t="inlineStr">
        <is>
          <t>UPPSALA LÄN</t>
        </is>
      </c>
      <c r="G488" t="inlineStr">
        <is>
          <t>HEBY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46114</v>
      </c>
      <c r="E489" s="1" t="n">
        <v>46296</v>
      </c>
      <c r="F489" t="inlineStr">
        <is>
          <t>UPPSALA LÄN</t>
        </is>
      </c>
      <c r="G489" t="inlineStr">
        <is>
          <t>HEBY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46296</v>
      </c>
      <c r="F490" t="inlineStr">
        <is>
          <t>UPPSALA LÄN</t>
        </is>
      </c>
      <c r="G490" t="inlineStr">
        <is>
          <t>HEBY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18374-2026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46296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46127</v>
      </c>
      <c r="E492" s="1" t="n">
        <v>46296</v>
      </c>
      <c r="F492" t="inlineStr">
        <is>
          <t>UPPSALA LÄN</t>
        </is>
      </c>
      <c r="G492" t="inlineStr">
        <is>
          <t>HEBY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19337-2026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46296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46296</v>
      </c>
      <c r="F494" t="inlineStr">
        <is>
          <t>UPPSALA LÄN</t>
        </is>
      </c>
      <c r="G494" t="inlineStr">
        <is>
          <t>HEBY</t>
        </is>
      </c>
      <c r="H494" t="inlineStr">
        <is>
          <t>Kyrkan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46135</v>
      </c>
      <c r="E495" s="1" t="n">
        <v>46296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45904</v>
      </c>
      <c r="E496" s="1" t="n">
        <v>46296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öst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38472-2025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45884</v>
      </c>
      <c r="E497" s="1" t="n">
        <v>46296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47861-2025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45932</v>
      </c>
      <c r="E498" s="1" t="n">
        <v>46296</v>
      </c>
      <c r="F498" t="inlineStr">
        <is>
          <t>UPPSALA LÄN</t>
        </is>
      </c>
      <c r="G498" t="inlineStr">
        <is>
          <t>HEBY</t>
        </is>
      </c>
      <c r="H498" t="inlineStr">
        <is>
          <t>Allmännings- och besparingsskogar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45317</v>
      </c>
      <c r="E499" s="1" t="n">
        <v>46296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39831-2025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45891</v>
      </c>
      <c r="E500" s="1" t="n">
        <v>46296</v>
      </c>
      <c r="F500" t="inlineStr">
        <is>
          <t>UPPSALA LÄN</t>
        </is>
      </c>
      <c r="G500" t="inlineStr">
        <is>
          <t>HEBY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46296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47890-2025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46296</v>
      </c>
      <c r="F502" t="inlineStr">
        <is>
          <t>UPPSALA LÄN</t>
        </is>
      </c>
      <c r="G502" t="inlineStr">
        <is>
          <t>HEBY</t>
        </is>
      </c>
      <c r="H502" t="inlineStr">
        <is>
          <t>Allmännings- och besparingsskogar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46296</v>
      </c>
      <c r="F503" t="inlineStr">
        <is>
          <t>UPPSALA LÄN</t>
        </is>
      </c>
      <c r="G503" t="inlineStr">
        <is>
          <t>HEBY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45946</v>
      </c>
      <c r="E504" s="1" t="n">
        <v>46296</v>
      </c>
      <c r="F504" t="inlineStr">
        <is>
          <t>UPPSALA LÄN</t>
        </is>
      </c>
      <c r="G504" t="inlineStr">
        <is>
          <t>HEBY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46296</v>
      </c>
      <c r="F505" t="inlineStr">
        <is>
          <t>UPPSALA LÄN</t>
        </is>
      </c>
      <c r="G505" t="inlineStr">
        <is>
          <t>HEBY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45884</v>
      </c>
      <c r="E506" s="1" t="n">
        <v>46296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40455-2025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45895</v>
      </c>
      <c r="E507" s="1" t="n">
        <v>46296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öst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46296</v>
      </c>
      <c r="F508" t="inlineStr">
        <is>
          <t>UPPSALA LÄN</t>
        </is>
      </c>
      <c r="G508" t="inlineStr">
        <is>
          <t>HEBY</t>
        </is>
      </c>
      <c r="H508" t="inlineStr">
        <is>
          <t>Kyrkan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46296</v>
      </c>
      <c r="F509" t="inlineStr">
        <is>
          <t>UPPSALA LÄN</t>
        </is>
      </c>
      <c r="G509" t="inlineStr">
        <is>
          <t>HEBY</t>
        </is>
      </c>
      <c r="H509" t="inlineStr">
        <is>
          <t>Övriga Aktiebolag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46296</v>
      </c>
      <c r="F510" t="inlineStr">
        <is>
          <t>UPPSALA LÄN</t>
        </is>
      </c>
      <c r="G510" t="inlineStr">
        <is>
          <t>HEBY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46296</v>
      </c>
      <c r="F511" t="inlineStr">
        <is>
          <t>UPPSALA LÄN</t>
        </is>
      </c>
      <c r="G511" t="inlineStr">
        <is>
          <t>HEBY</t>
        </is>
      </c>
      <c r="H511" t="inlineStr">
        <is>
          <t>Övriga Aktiebolag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46296</v>
      </c>
      <c r="F512" t="inlineStr">
        <is>
          <t>UPPSALA LÄN</t>
        </is>
      </c>
      <c r="G512" t="inlineStr">
        <is>
          <t>HEBY</t>
        </is>
      </c>
      <c r="H512" t="inlineStr">
        <is>
          <t>Övriga Aktiebolag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45805</v>
      </c>
      <c r="E513" s="1" t="n">
        <v>46296</v>
      </c>
      <c r="F513" t="inlineStr">
        <is>
          <t>UPPSALA LÄN</t>
        </is>
      </c>
      <c r="G513" t="inlineStr">
        <is>
          <t>HEBY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46296</v>
      </c>
      <c r="F514" t="inlineStr">
        <is>
          <t>UPPSALA LÄN</t>
        </is>
      </c>
      <c r="G514" t="inlineStr">
        <is>
          <t>HEBY</t>
        </is>
      </c>
      <c r="H514" t="inlineStr">
        <is>
          <t>Kyrkan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46296</v>
      </c>
      <c r="F515" t="inlineStr">
        <is>
          <t>UPPSALA LÄN</t>
        </is>
      </c>
      <c r="G515" t="inlineStr">
        <is>
          <t>HEBY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46149</v>
      </c>
      <c r="E516" s="1" t="n">
        <v>46296</v>
      </c>
      <c r="F516" t="inlineStr">
        <is>
          <t>UPPSALA LÄN</t>
        </is>
      </c>
      <c r="G516" t="inlineStr">
        <is>
          <t>HEBY</t>
        </is>
      </c>
      <c r="H516" t="inlineStr">
        <is>
          <t>Allmännings- och besparingsskogar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26099-2025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45805</v>
      </c>
      <c r="E517" s="1" t="n">
        <v>46296</v>
      </c>
      <c r="F517" t="inlineStr">
        <is>
          <t>UPPSALA LÄN</t>
        </is>
      </c>
      <c r="G517" t="inlineStr">
        <is>
          <t>HEBY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19559-2025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45770</v>
      </c>
      <c r="E518" s="1" t="n">
        <v>46296</v>
      </c>
      <c r="F518" t="inlineStr">
        <is>
          <t>UPPSALA LÄN</t>
        </is>
      </c>
      <c r="G518" t="inlineStr">
        <is>
          <t>HEBY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46296</v>
      </c>
      <c r="F519" t="inlineStr">
        <is>
          <t>UPPSALA LÄN</t>
        </is>
      </c>
      <c r="G519" t="inlineStr">
        <is>
          <t>HEBY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23490-2026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46296</v>
      </c>
      <c r="F520" t="inlineStr">
        <is>
          <t>UPPSALA LÄN</t>
        </is>
      </c>
      <c r="G520" t="inlineStr">
        <is>
          <t>HEBY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46296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35.2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46296</v>
      </c>
      <c r="F522" t="inlineStr">
        <is>
          <t>UPPSALA LÄN</t>
        </is>
      </c>
      <c r="G522" t="inlineStr">
        <is>
          <t>HEBY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46296</v>
      </c>
      <c r="F523" t="inlineStr">
        <is>
          <t>UPPSALA LÄN</t>
        </is>
      </c>
      <c r="G523" t="inlineStr">
        <is>
          <t>HEBY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45967</v>
      </c>
      <c r="E524" s="1" t="n">
        <v>46296</v>
      </c>
      <c r="F524" t="inlineStr">
        <is>
          <t>UPPSALA LÄN</t>
        </is>
      </c>
      <c r="G524" t="inlineStr">
        <is>
          <t>HEBY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46168</v>
      </c>
      <c r="E525" s="1" t="n">
        <v>46296</v>
      </c>
      <c r="F525" t="inlineStr">
        <is>
          <t>UPPSALA LÄN</t>
        </is>
      </c>
      <c r="G525" t="inlineStr">
        <is>
          <t>HEBY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46296</v>
      </c>
      <c r="F526" t="inlineStr">
        <is>
          <t>UPPSALA LÄN</t>
        </is>
      </c>
      <c r="G526" t="inlineStr">
        <is>
          <t>HEBY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46296</v>
      </c>
      <c r="F527" t="inlineStr">
        <is>
          <t>UPPSALA LÄN</t>
        </is>
      </c>
      <c r="G527" t="inlineStr">
        <is>
          <t>HEBY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25861-2026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46178</v>
      </c>
      <c r="E528" s="1" t="n">
        <v>46296</v>
      </c>
      <c r="F528" t="inlineStr">
        <is>
          <t>UPPSALA LÄN</t>
        </is>
      </c>
      <c r="G528" t="inlineStr">
        <is>
          <t>HEBY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46296</v>
      </c>
      <c r="F529" t="inlineStr">
        <is>
          <t>UPPSALA LÄN</t>
        </is>
      </c>
      <c r="G529" t="inlineStr">
        <is>
          <t>HEBY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46296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46296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46.8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46296</v>
      </c>
      <c r="F532" t="inlineStr">
        <is>
          <t>UPPSALA LÄN</t>
        </is>
      </c>
      <c r="G532" t="inlineStr">
        <is>
          <t>HEBY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46863-2025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45929</v>
      </c>
      <c r="E533" s="1" t="n">
        <v>46296</v>
      </c>
      <c r="F533" t="inlineStr">
        <is>
          <t>UPPSALA LÄN</t>
        </is>
      </c>
      <c r="G533" t="inlineStr">
        <is>
          <t>HEBY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29816-2026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46205</v>
      </c>
      <c r="E534" s="1" t="n">
        <v>46296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29826-2026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46205</v>
      </c>
      <c r="E535" s="1" t="n">
        <v>46296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29847-2026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46205</v>
      </c>
      <c r="E536" s="1" t="n">
        <v>46296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46296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46296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46296</v>
      </c>
      <c r="F539" t="inlineStr">
        <is>
          <t>UPPSALA LÄN</t>
        </is>
      </c>
      <c r="G539" t="inlineStr">
        <is>
          <t>HEBY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46296</v>
      </c>
      <c r="F540" t="inlineStr">
        <is>
          <t>UPPSALA LÄN</t>
        </is>
      </c>
      <c r="G540" t="inlineStr">
        <is>
          <t>HEBY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46296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46296</v>
      </c>
      <c r="F542" t="inlineStr">
        <is>
          <t>UPPSALA LÄN</t>
        </is>
      </c>
      <c r="G542" t="inlineStr">
        <is>
          <t>HEBY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46296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46296</v>
      </c>
      <c r="F544" t="inlineStr">
        <is>
          <t>UPPSALA LÄN</t>
        </is>
      </c>
      <c r="G544" t="inlineStr">
        <is>
          <t>HEBY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46296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46296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46296</v>
      </c>
      <c r="F547" t="inlineStr">
        <is>
          <t>UPPSALA LÄN</t>
        </is>
      </c>
      <c r="G547" t="inlineStr">
        <is>
          <t>HEBY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46296</v>
      </c>
      <c r="F548" t="inlineStr">
        <is>
          <t>UPPSALA LÄN</t>
        </is>
      </c>
      <c r="G548" t="inlineStr">
        <is>
          <t>HEBY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46296</v>
      </c>
      <c r="F549" t="inlineStr">
        <is>
          <t>UPPSALA LÄN</t>
        </is>
      </c>
      <c r="G549" t="inlineStr">
        <is>
          <t>HEBY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46296</v>
      </c>
      <c r="F550" t="inlineStr">
        <is>
          <t>UPPSALA LÄN</t>
        </is>
      </c>
      <c r="G550" t="inlineStr">
        <is>
          <t>HEBY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35435-2026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46262</v>
      </c>
      <c r="E551" s="1" t="n">
        <v>46296</v>
      </c>
      <c r="F551" t="inlineStr">
        <is>
          <t>UPPSALA LÄN</t>
        </is>
      </c>
      <c r="G551" t="inlineStr">
        <is>
          <t>HEBY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46265</v>
      </c>
      <c r="E552" s="1" t="n">
        <v>46296</v>
      </c>
      <c r="F552" t="inlineStr">
        <is>
          <t>UPPSALA LÄN</t>
        </is>
      </c>
      <c r="G552" t="inlineStr">
        <is>
          <t>HEBY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46220</v>
      </c>
      <c r="E553" s="1" t="n">
        <v>46296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55.9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46223</v>
      </c>
      <c r="E554" s="1" t="n">
        <v>46296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46223</v>
      </c>
      <c r="E555" s="1" t="n">
        <v>46296</v>
      </c>
      <c r="F555" t="inlineStr">
        <is>
          <t>UPPSALA LÄN</t>
        </is>
      </c>
      <c r="G555" t="inlineStr">
        <is>
          <t>HEBY</t>
        </is>
      </c>
      <c r="H555" t="inlineStr">
        <is>
          <t>Bergvik skog väst AB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46296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46296</v>
      </c>
      <c r="F557" t="inlineStr">
        <is>
          <t>UPPSALA LÄN</t>
        </is>
      </c>
      <c r="G557" t="inlineStr">
        <is>
          <t>HEBY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36359-2026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46268</v>
      </c>
      <c r="E558" s="1" t="n">
        <v>46296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36367-2026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46268</v>
      </c>
      <c r="E559" s="1" t="n">
        <v>46296</v>
      </c>
      <c r="F559" t="inlineStr">
        <is>
          <t>UPPSALA LÄN</t>
        </is>
      </c>
      <c r="G559" t="inlineStr">
        <is>
          <t>HEBY</t>
        </is>
      </c>
      <c r="H559" t="inlineStr">
        <is>
          <t>Kyrkan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46296</v>
      </c>
      <c r="F560" t="inlineStr">
        <is>
          <t>UPPSALA LÄN</t>
        </is>
      </c>
      <c r="G560" t="inlineStr">
        <is>
          <t>HEBY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37091-2026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46296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46296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46296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36754-2026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46296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46231</v>
      </c>
      <c r="E565" s="1" t="n">
        <v>46296</v>
      </c>
      <c r="F565" t="inlineStr">
        <is>
          <t>UPPSALA LÄN</t>
        </is>
      </c>
      <c r="G565" t="inlineStr">
        <is>
          <t>HEBY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46231</v>
      </c>
      <c r="E566" s="1" t="n">
        <v>46296</v>
      </c>
      <c r="F566" t="inlineStr">
        <is>
          <t>UPPSALA LÄN</t>
        </is>
      </c>
      <c r="G566" t="inlineStr">
        <is>
          <t>HEBY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46296</v>
      </c>
      <c r="F567" t="inlineStr">
        <is>
          <t>UPPSALA LÄN</t>
        </is>
      </c>
      <c r="G567" t="inlineStr">
        <is>
          <t>HEBY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46296</v>
      </c>
      <c r="F568" t="inlineStr">
        <is>
          <t>UPPSALA LÄN</t>
        </is>
      </c>
      <c r="G568" t="inlineStr">
        <is>
          <t>HEBY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46278</v>
      </c>
      <c r="E569" s="1" t="n">
        <v>46296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46238</v>
      </c>
      <c r="E570" s="1" t="n">
        <v>46296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46237</v>
      </c>
      <c r="E571" s="1" t="n">
        <v>46296</v>
      </c>
      <c r="F571" t="inlineStr">
        <is>
          <t>UPPSALA LÄN</t>
        </is>
      </c>
      <c r="G571" t="inlineStr">
        <is>
          <t>HEBY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32347-2026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46238</v>
      </c>
      <c r="E572" s="1" t="n">
        <v>46296</v>
      </c>
      <c r="F572" t="inlineStr">
        <is>
          <t>UPPSALA LÄN</t>
        </is>
      </c>
      <c r="G572" t="inlineStr">
        <is>
          <t>HEBY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46237</v>
      </c>
      <c r="E573" s="1" t="n">
        <v>46296</v>
      </c>
      <c r="F573" t="inlineStr">
        <is>
          <t>UPPSALA LÄN</t>
        </is>
      </c>
      <c r="G573" t="inlineStr">
        <is>
          <t>HEBY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46296</v>
      </c>
      <c r="F574" t="inlineStr">
        <is>
          <t>UPPSALA LÄN</t>
        </is>
      </c>
      <c r="G574" t="inlineStr">
        <is>
          <t>HEBY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46280</v>
      </c>
      <c r="E575" s="1" t="n">
        <v>46296</v>
      </c>
      <c r="F575" t="inlineStr">
        <is>
          <t>UPPSALA LÄN</t>
        </is>
      </c>
      <c r="G575" t="inlineStr">
        <is>
          <t>HEBY</t>
        </is>
      </c>
      <c r="H575" t="inlineStr">
        <is>
          <t>Sveaskog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38038-2026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46280</v>
      </c>
      <c r="E576" s="1" t="n">
        <v>46296</v>
      </c>
      <c r="F576" t="inlineStr">
        <is>
          <t>UPPSALA LÄN</t>
        </is>
      </c>
      <c r="G576" t="inlineStr">
        <is>
          <t>HEBY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46280</v>
      </c>
      <c r="E577" s="1" t="n">
        <v>46296</v>
      </c>
      <c r="F577" t="inlineStr">
        <is>
          <t>UPPSALA LÄN</t>
        </is>
      </c>
      <c r="G577" t="inlineStr">
        <is>
          <t>HEBY</t>
        </is>
      </c>
      <c r="H577" t="inlineStr">
        <is>
          <t>Sveaskog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46281</v>
      </c>
      <c r="E578" s="1" t="n">
        <v>46296</v>
      </c>
      <c r="F578" t="inlineStr">
        <is>
          <t>UPPSALA LÄN</t>
        </is>
      </c>
      <c r="G578" t="inlineStr">
        <is>
          <t>HEBY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46119</v>
      </c>
      <c r="E579" s="1" t="n">
        <v>46296</v>
      </c>
      <c r="F579" t="inlineStr">
        <is>
          <t>UPPSALA LÄN</t>
        </is>
      </c>
      <c r="G579" t="inlineStr">
        <is>
          <t>HEBY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37975-2026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46280</v>
      </c>
      <c r="E580" s="1" t="n">
        <v>46296</v>
      </c>
      <c r="F580" t="inlineStr">
        <is>
          <t>UPPSALA LÄN</t>
        </is>
      </c>
      <c r="G580" t="inlineStr">
        <is>
          <t>HEBY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46287</v>
      </c>
      <c r="E581" s="1" t="n">
        <v>46296</v>
      </c>
      <c r="F581" t="inlineStr">
        <is>
          <t>UPPSALA LÄN</t>
        </is>
      </c>
      <c r="G581" t="inlineStr">
        <is>
          <t>HEBY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46281</v>
      </c>
      <c r="E582" s="1" t="n">
        <v>46296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39687-2026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46289</v>
      </c>
      <c r="E583" s="1" t="n">
        <v>46296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38818-2026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46286</v>
      </c>
      <c r="E584" s="1" t="n">
        <v>46296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39555-2026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46289</v>
      </c>
      <c r="E585" s="1" t="n">
        <v>46296</v>
      </c>
      <c r="F585" t="inlineStr">
        <is>
          <t>UPPSALA LÄN</t>
        </is>
      </c>
      <c r="G585" t="inlineStr">
        <is>
          <t>HEBY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39683-2026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46289</v>
      </c>
      <c r="E586" s="1" t="n">
        <v>46296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öst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39690-2026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46296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öst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39688-2026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46289</v>
      </c>
      <c r="E588" s="1" t="n">
        <v>46296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46289</v>
      </c>
      <c r="E589" s="1" t="n">
        <v>46296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öst AB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46289</v>
      </c>
      <c r="E590" s="1" t="n">
        <v>46296</v>
      </c>
      <c r="F590" t="inlineStr">
        <is>
          <t>UPPSALA LÄN</t>
        </is>
      </c>
      <c r="G590" t="inlineStr">
        <is>
          <t>HEBY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46293</v>
      </c>
      <c r="E591" s="1" t="n">
        <v>46296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46296</v>
      </c>
      <c r="F592" t="inlineStr">
        <is>
          <t>UPPSALA LÄN</t>
        </is>
      </c>
      <c r="G592" t="inlineStr">
        <is>
          <t>HEBY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39713-2026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46296</v>
      </c>
      <c r="F593" t="inlineStr">
        <is>
          <t>UPPSALA LÄN</t>
        </is>
      </c>
      <c r="G593" t="inlineStr">
        <is>
          <t>HEBY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46293</v>
      </c>
      <c r="E594" s="1" t="n">
        <v>46296</v>
      </c>
      <c r="F594" t="inlineStr">
        <is>
          <t>UPPSALA LÄN</t>
        </is>
      </c>
      <c r="G594" t="inlineStr">
        <is>
          <t>HEBY</t>
        </is>
      </c>
      <c r="H594" t="inlineStr">
        <is>
          <t>Bergvik skog öst AB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34270-2026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46296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40491-2026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46295</v>
      </c>
      <c r="E596" s="1" t="n">
        <v>46296</v>
      </c>
      <c r="F596" t="inlineStr">
        <is>
          <t>UPPSALA LÄN</t>
        </is>
      </c>
      <c r="G596" t="inlineStr">
        <is>
          <t>HEBY</t>
        </is>
      </c>
      <c r="H596" t="inlineStr">
        <is>
          <t>Allmännings- och besparingsskogar</t>
        </is>
      </c>
      <c r="I596" t="n">
        <v>10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40610-2026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46295</v>
      </c>
      <c r="E597" s="1" t="n">
        <v>46296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öst AB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33943-2026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46252</v>
      </c>
      <c r="E598" s="1" t="n">
        <v>46296</v>
      </c>
      <c r="F598" t="inlineStr">
        <is>
          <t>UPPSALA LÄN</t>
        </is>
      </c>
      <c r="G598" t="inlineStr">
        <is>
          <t>HEBY</t>
        </is>
      </c>
      <c r="H598" t="inlineStr">
        <is>
          <t>Kyrkan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46296</v>
      </c>
      <c r="F599" t="inlineStr">
        <is>
          <t>UPPSALA LÄN</t>
        </is>
      </c>
      <c r="G599" t="inlineStr">
        <is>
          <t>HEBY</t>
        </is>
      </c>
      <c r="H599" t="inlineStr">
        <is>
          <t>Allmännings- och besparingsskogar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1334-2022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44629</v>
      </c>
      <c r="E600" s="1" t="n">
        <v>46296</v>
      </c>
      <c r="F600" t="inlineStr">
        <is>
          <t>UPPSALA LÄN</t>
        </is>
      </c>
      <c r="G600" t="inlineStr">
        <is>
          <t>HEBY</t>
        </is>
      </c>
      <c r="I600" t="n">
        <v>6.9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10324-2021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44546</v>
      </c>
      <c r="E601" s="1" t="n">
        <v>46296</v>
      </c>
      <c r="F601" t="inlineStr">
        <is>
          <t>UPPSALA LÄN</t>
        </is>
      </c>
      <c r="G601" t="inlineStr">
        <is>
          <t>HEBY</t>
        </is>
      </c>
      <c r="H601" t="inlineStr">
        <is>
          <t>Bergvik skog väst AB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3256-2023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45191</v>
      </c>
      <c r="E602" s="1" t="n">
        <v>46296</v>
      </c>
      <c r="F602" t="inlineStr">
        <is>
          <t>UPPSALA LÄN</t>
        </is>
      </c>
      <c r="G602" t="inlineStr">
        <is>
          <t>HEBY</t>
        </is>
      </c>
      <c r="H602" t="inlineStr">
        <is>
          <t>Bergvik skog väst AB</t>
        </is>
      </c>
      <c r="I602" t="n">
        <v>20.9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517-2022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44588</v>
      </c>
      <c r="E603" s="1" t="n">
        <v>46296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öst AB</t>
        </is>
      </c>
      <c r="I603" t="n">
        <v>30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4466-2022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44788</v>
      </c>
      <c r="E604" s="1" t="n">
        <v>46296</v>
      </c>
      <c r="F604" t="inlineStr">
        <is>
          <t>UPPSALA LÄN</t>
        </is>
      </c>
      <c r="G604" t="inlineStr">
        <is>
          <t>HEBY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2310-2022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44684</v>
      </c>
      <c r="E605" s="1" t="n">
        <v>46296</v>
      </c>
      <c r="F605" t="inlineStr">
        <is>
          <t>UPPSALA LÄN</t>
        </is>
      </c>
      <c r="G605" t="inlineStr">
        <is>
          <t>HEBY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4423-2024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45590</v>
      </c>
      <c r="E606" s="1" t="n">
        <v>46296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47.6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1385-2024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45411</v>
      </c>
      <c r="E607" s="1" t="n">
        <v>46296</v>
      </c>
      <c r="F607" t="inlineStr">
        <is>
          <t>UPPSALA LÄN</t>
        </is>
      </c>
      <c r="G607" t="inlineStr">
        <is>
          <t>HEBY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2797-2024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45485</v>
      </c>
      <c r="E608" s="1" t="n">
        <v>46296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398-2025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45699</v>
      </c>
      <c r="E609" s="1" t="n">
        <v>46296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23.3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1386-2024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45411</v>
      </c>
      <c r="E610" s="1" t="n">
        <v>46296</v>
      </c>
      <c r="F610" t="inlineStr">
        <is>
          <t>UPPSALA LÄN</t>
        </is>
      </c>
      <c r="G610" t="inlineStr">
        <is>
          <t>HEBY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4464-2022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44788</v>
      </c>
      <c r="E611" s="1" t="n">
        <v>46296</v>
      </c>
      <c r="F611" t="inlineStr">
        <is>
          <t>UPPSALA LÄN</t>
        </is>
      </c>
      <c r="G611" t="inlineStr">
        <is>
          <t>HEBY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1330-2022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44629</v>
      </c>
      <c r="E612" s="1" t="n">
        <v>46296</v>
      </c>
      <c r="F612" t="inlineStr">
        <is>
          <t>UPPSALA LÄN</t>
        </is>
      </c>
      <c r="G612" t="inlineStr">
        <is>
          <t>HEBY</t>
        </is>
      </c>
      <c r="I612" t="n">
        <v>25.1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  <c r="Z612">
        <f>HYPERLINK("https://klasma.github.io/Logging_0331/knärot/S 1330-2022 karta knärot.png", "S 1330-2022")</f>
        <v/>
      </c>
      <c r="AA612">
        <f>HYPERLINK("https://klasma.github.io/Logging_0331/klagomål/S 1330-2022 FSC-klagomål.docx", "S 1330-2022")</f>
        <v/>
      </c>
      <c r="AB612">
        <f>HYPERLINK("https://klasma.github.io/Logging_0331/klagomålsmail/S 1330-2022 FSC-klagomål mail.docx", "S 1330-2022")</f>
        <v/>
      </c>
      <c r="AC612">
        <f>HYPERLINK("https://klasma.github.io/Logging_0331/tillsyn/S 1330-2022 tillsynsbegäran.docx", "S 1330-2022")</f>
        <v/>
      </c>
      <c r="AD612">
        <f>HYPERLINK("https://klasma.github.io/Logging_0331/tillsynsmail/S 1330-2022 tillsynsbegäran mail.docx", "S 1330-2022")</f>
        <v/>
      </c>
    </row>
    <row r="613" ht="15" customHeight="1">
      <c r="A613" t="inlineStr">
        <is>
          <t>S 3301-2025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45987</v>
      </c>
      <c r="E613" s="1" t="n">
        <v>46296</v>
      </c>
      <c r="F613" t="inlineStr">
        <is>
          <t>UPPSALA LÄN</t>
        </is>
      </c>
      <c r="G613" t="inlineStr">
        <is>
          <t>HEBY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3478-2025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46000</v>
      </c>
      <c r="E614" s="1" t="n">
        <v>46296</v>
      </c>
      <c r="F614" t="inlineStr">
        <is>
          <t>UPPSALA LÄN</t>
        </is>
      </c>
      <c r="G614" t="inlineStr">
        <is>
          <t>HEBY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598-2026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46085</v>
      </c>
      <c r="E615" s="1" t="n">
        <v>46296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43.4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1818-2026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46190</v>
      </c>
      <c r="E616" s="1" t="n">
        <v>46296</v>
      </c>
      <c r="F616" t="inlineStr">
        <is>
          <t>UPPSALA LÄN</t>
        </is>
      </c>
      <c r="G616" t="inlineStr">
        <is>
          <t>HEBY</t>
        </is>
      </c>
      <c r="H616" t="inlineStr">
        <is>
          <t>Kommuner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2346-2026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46273</v>
      </c>
      <c r="E617" s="1" t="n">
        <v>46296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2026-10-01T02:00:50Z</dcterms:created>
  <dcterms:modified xmlns:dcterms="http://purl.org/dc/terms/" xmlns:xsi="http://www.w3.org/2001/XMLSchema-instance" xsi:type="dcterms:W3CDTF">2026-10-01T02:00:51Z</dcterms:modified>
</cp:coreProperties>
</file>